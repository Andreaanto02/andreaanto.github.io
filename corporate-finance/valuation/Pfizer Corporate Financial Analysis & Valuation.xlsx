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andre\Desktop\Sito Andrea\"/>
    </mc:Choice>
  </mc:AlternateContent>
  <xr:revisionPtr revIDLastSave="0" documentId="8_{A2C9A203-4086-4159-950F-137790BFCFD3}" xr6:coauthVersionLast="47" xr6:coauthVersionMax="47" xr10:uidLastSave="{00000000-0000-0000-0000-000000000000}"/>
  <bookViews>
    <workbookView xWindow="-108" yWindow="-108" windowWidth="23256" windowHeight="13896" xr2:uid="{4793A53B-FA25-4660-9C41-FF6983F8EE33}"/>
  </bookViews>
  <sheets>
    <sheet name="Answer Sheet" sheetId="8" r:id="rId1"/>
    <sheet name="1. Income Statement" sheetId="1" r:id="rId2"/>
    <sheet name="2. Balance Sheet" sheetId="2" r:id="rId3"/>
    <sheet name="3. Cash Flow" sheetId="5" r:id="rId4"/>
    <sheet name="4. Valuation 1-3" sheetId="4" state="hidden" r:id="rId5"/>
    <sheet name="5. Projected Analysis" sheetId="6" r:id="rId6"/>
    <sheet name="5. DCF" sheetId="7" state="hidden" r:id="rId7"/>
  </sheets>
  <externalReferences>
    <externalReference r:id="rId8"/>
  </externalReferences>
  <definedNames>
    <definedName name="_xlnm.Print_Area" localSheetId="5">'5. Projected Analysis'!$A$1:$O$52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2" i="8" l="1"/>
  <c r="C133" i="8"/>
  <c r="C134" i="8" s="1"/>
  <c r="E133" i="8"/>
  <c r="F133" i="8" s="1"/>
  <c r="C145" i="8"/>
  <c r="E132" i="8" s="1"/>
  <c r="F132" i="8" s="1"/>
  <c r="C111" i="8"/>
  <c r="E111" i="8"/>
  <c r="F111" i="8"/>
  <c r="C112" i="8"/>
  <c r="E112" i="8"/>
  <c r="F112" i="8" s="1"/>
  <c r="G92" i="8"/>
  <c r="D83" i="8"/>
  <c r="C10" i="8"/>
  <c r="F34" i="6"/>
  <c r="E21" i="4"/>
  <c r="B4" i="7"/>
  <c r="D43" i="7"/>
  <c r="H43" i="7"/>
  <c r="J91" i="8"/>
  <c r="K7" i="2"/>
  <c r="G7" i="2"/>
  <c r="H7" i="2"/>
  <c r="I7" i="2"/>
  <c r="J7" i="2"/>
  <c r="C56" i="7"/>
  <c r="C55" i="7"/>
  <c r="G43" i="7"/>
  <c r="F43" i="7"/>
  <c r="E43" i="7"/>
  <c r="H37" i="7"/>
  <c r="B35" i="7"/>
  <c r="B34" i="7"/>
  <c r="H28" i="7"/>
  <c r="G28" i="7"/>
  <c r="F28" i="7"/>
  <c r="E28" i="7"/>
  <c r="D28" i="7"/>
  <c r="C28" i="7"/>
  <c r="H27" i="7"/>
  <c r="G27" i="7"/>
  <c r="F27" i="7"/>
  <c r="E27" i="7"/>
  <c r="D27" i="7"/>
  <c r="C27" i="7"/>
  <c r="H26" i="7"/>
  <c r="G26" i="7"/>
  <c r="F26" i="7"/>
  <c r="E26" i="7"/>
  <c r="D26" i="7"/>
  <c r="C26" i="7"/>
  <c r="H24" i="7"/>
  <c r="G24" i="7"/>
  <c r="F24" i="7"/>
  <c r="E24" i="7"/>
  <c r="D24" i="7"/>
  <c r="C24" i="7"/>
  <c r="H22" i="7"/>
  <c r="G22" i="7"/>
  <c r="F22" i="7"/>
  <c r="E22" i="7"/>
  <c r="D22" i="7"/>
  <c r="C22" i="7"/>
  <c r="H20" i="7"/>
  <c r="G20" i="7"/>
  <c r="F20" i="7"/>
  <c r="E20" i="7"/>
  <c r="D20" i="7"/>
  <c r="C20" i="7"/>
  <c r="G19" i="7"/>
  <c r="H19" i="7" s="1"/>
  <c r="H25" i="7" s="1"/>
  <c r="F19" i="7"/>
  <c r="F25" i="7" s="1"/>
  <c r="E19" i="7"/>
  <c r="E25" i="7" s="1"/>
  <c r="D19" i="7"/>
  <c r="D25" i="7" s="1"/>
  <c r="C19" i="7"/>
  <c r="C25" i="7" s="1"/>
  <c r="E18" i="7"/>
  <c r="F18" i="7" s="1"/>
  <c r="G18" i="7" s="1"/>
  <c r="H18" i="7" s="1"/>
  <c r="F73" i="8"/>
  <c r="D74" i="8"/>
  <c r="E74" i="8"/>
  <c r="F74" i="8"/>
  <c r="E75" i="8"/>
  <c r="F75" i="8"/>
  <c r="G75" i="8"/>
  <c r="D77" i="8"/>
  <c r="E77" i="8"/>
  <c r="F77" i="8"/>
  <c r="G77" i="8"/>
  <c r="D79" i="8"/>
  <c r="E79" i="8"/>
  <c r="F79" i="8"/>
  <c r="G79" i="8"/>
  <c r="D81" i="8"/>
  <c r="E81" i="8"/>
  <c r="F81" i="8"/>
  <c r="G81" i="8"/>
  <c r="D82" i="8"/>
  <c r="E82" i="8"/>
  <c r="F82" i="8"/>
  <c r="G82" i="8"/>
  <c r="E83" i="8"/>
  <c r="F83" i="8"/>
  <c r="G83" i="8"/>
  <c r="C89" i="8"/>
  <c r="K65" i="8"/>
  <c r="H65" i="8"/>
  <c r="C10" i="7"/>
  <c r="D4" i="7" s="1"/>
  <c r="G65" i="8"/>
  <c r="E51" i="8"/>
  <c r="E50" i="8"/>
  <c r="E49" i="8"/>
  <c r="E48" i="8"/>
  <c r="Z32" i="4"/>
  <c r="Z33" i="4"/>
  <c r="AC33" i="4" s="1"/>
  <c r="AE33" i="4" s="1"/>
  <c r="Z34" i="4"/>
  <c r="Z35" i="4"/>
  <c r="Z36" i="4"/>
  <c r="Z31" i="4"/>
  <c r="X31" i="4"/>
  <c r="X32" i="4"/>
  <c r="X33" i="4"/>
  <c r="X34" i="4"/>
  <c r="X35" i="4"/>
  <c r="X36" i="4"/>
  <c r="AC31" i="4"/>
  <c r="AD31" i="4"/>
  <c r="AC32" i="4"/>
  <c r="AE32" i="4" s="1"/>
  <c r="AC34" i="4"/>
  <c r="AE34" i="4" s="1"/>
  <c r="AC35" i="4"/>
  <c r="AE35" i="4"/>
  <c r="AC36" i="4"/>
  <c r="AE36" i="4"/>
  <c r="G59" i="8"/>
  <c r="J59" i="8" s="1"/>
  <c r="K59" i="8"/>
  <c r="G60" i="8"/>
  <c r="J60" i="8" s="1"/>
  <c r="L60" i="8" s="1"/>
  <c r="G61" i="8"/>
  <c r="J61" i="8" s="1"/>
  <c r="L61" i="8" s="1"/>
  <c r="G62" i="8"/>
  <c r="J62" i="8" s="1"/>
  <c r="L62" i="8" s="1"/>
  <c r="G63" i="8"/>
  <c r="J63" i="8" s="1"/>
  <c r="L63" i="8" s="1"/>
  <c r="G64" i="8"/>
  <c r="J64" i="8" s="1"/>
  <c r="L64" i="8" s="1"/>
  <c r="J35" i="8"/>
  <c r="B41" i="1"/>
  <c r="B40" i="1"/>
  <c r="B39" i="1"/>
  <c r="B38" i="1"/>
  <c r="B37" i="1"/>
  <c r="B36" i="1"/>
  <c r="B35" i="1"/>
  <c r="B34" i="1"/>
  <c r="A37" i="1"/>
  <c r="G20" i="1"/>
  <c r="G22" i="1" s="1"/>
  <c r="A36" i="1"/>
  <c r="A35" i="1"/>
  <c r="A34" i="1"/>
  <c r="G21" i="1"/>
  <c r="B32" i="1"/>
  <c r="E35" i="8"/>
  <c r="D35" i="8"/>
  <c r="F30" i="8"/>
  <c r="I30" i="8" s="1"/>
  <c r="K30" i="8" s="1"/>
  <c r="F29" i="8"/>
  <c r="I29" i="8" s="1"/>
  <c r="K29" i="8" s="1"/>
  <c r="F28" i="8"/>
  <c r="I28" i="8" s="1"/>
  <c r="K28" i="8" s="1"/>
  <c r="F27" i="8"/>
  <c r="I27" i="8" s="1"/>
  <c r="K27" i="8" s="1"/>
  <c r="F26" i="8"/>
  <c r="I26" i="8" s="1"/>
  <c r="K26" i="8" s="1"/>
  <c r="F25" i="8"/>
  <c r="I25" i="8" s="1"/>
  <c r="K25" i="8" s="1"/>
  <c r="F24" i="8"/>
  <c r="I24" i="8" s="1"/>
  <c r="K24" i="8" s="1"/>
  <c r="F23" i="8"/>
  <c r="I23" i="8" s="1"/>
  <c r="K23" i="8" s="1"/>
  <c r="F22" i="8"/>
  <c r="I22" i="8" s="1"/>
  <c r="K22" i="8" s="1"/>
  <c r="C9" i="8"/>
  <c r="C52" i="8" s="1"/>
  <c r="H16" i="8"/>
  <c r="H35" i="8" s="1"/>
  <c r="G3" i="4"/>
  <c r="G21" i="4" s="1"/>
  <c r="G16" i="8"/>
  <c r="G35" i="8" s="1"/>
  <c r="F3" i="4"/>
  <c r="F21" i="4" s="1"/>
  <c r="B5" i="7" s="1"/>
  <c r="D5" i="7" s="1"/>
  <c r="E5" i="7" s="1"/>
  <c r="F16" i="8"/>
  <c r="F35" i="8" s="1"/>
  <c r="C64" i="6"/>
  <c r="E64" i="6"/>
  <c r="D64" i="6"/>
  <c r="F64" i="6"/>
  <c r="A77" i="6"/>
  <c r="P19" i="6"/>
  <c r="P18" i="6"/>
  <c r="P17" i="6"/>
  <c r="P16" i="6"/>
  <c r="R2" i="7"/>
  <c r="S2" i="7" s="1"/>
  <c r="U2" i="7"/>
  <c r="V2" i="7" s="1"/>
  <c r="W2" i="7" s="1"/>
  <c r="X2" i="7" s="1"/>
  <c r="N3" i="7"/>
  <c r="O3" i="7"/>
  <c r="P3" i="7"/>
  <c r="Q3" i="7"/>
  <c r="R3" i="7"/>
  <c r="C12" i="7"/>
  <c r="J31" i="4"/>
  <c r="H8" i="4"/>
  <c r="J8" i="4" s="1"/>
  <c r="C7" i="4"/>
  <c r="F30" i="6"/>
  <c r="E30" i="6"/>
  <c r="C30" i="6"/>
  <c r="B30" i="6"/>
  <c r="F29" i="6"/>
  <c r="E29" i="6"/>
  <c r="D29" i="6"/>
  <c r="C29" i="6"/>
  <c r="B29" i="6"/>
  <c r="F23" i="6"/>
  <c r="E23" i="6"/>
  <c r="D23" i="6"/>
  <c r="C23" i="6"/>
  <c r="B23" i="6"/>
  <c r="F22" i="6"/>
  <c r="E22" i="6"/>
  <c r="D22" i="6"/>
  <c r="C22" i="6"/>
  <c r="B22" i="6"/>
  <c r="F12" i="6"/>
  <c r="E12" i="6"/>
  <c r="D12" i="6"/>
  <c r="C12" i="6"/>
  <c r="B12" i="6"/>
  <c r="F10" i="6"/>
  <c r="E10" i="6"/>
  <c r="D10" i="6"/>
  <c r="C10" i="6"/>
  <c r="B10" i="6"/>
  <c r="F7" i="6"/>
  <c r="E7" i="6"/>
  <c r="D7" i="6"/>
  <c r="C7" i="6"/>
  <c r="B7" i="6"/>
  <c r="F5" i="6"/>
  <c r="E5" i="6"/>
  <c r="D5" i="6"/>
  <c r="C5" i="6"/>
  <c r="B5" i="6"/>
  <c r="F4" i="6"/>
  <c r="E4" i="6"/>
  <c r="D4" i="6"/>
  <c r="C4" i="6"/>
  <c r="C16" i="6" s="1"/>
  <c r="B4" i="6"/>
  <c r="B21" i="1"/>
  <c r="M36" i="6"/>
  <c r="N36" i="6" s="1"/>
  <c r="O36" i="6" s="1"/>
  <c r="D30" i="6"/>
  <c r="K17" i="6"/>
  <c r="L17" i="6" s="1"/>
  <c r="M17" i="6" s="1"/>
  <c r="N17" i="6" s="1"/>
  <c r="O17" i="6" s="1"/>
  <c r="F36" i="4"/>
  <c r="I36" i="4" s="1"/>
  <c r="K36" i="4" s="1"/>
  <c r="F35" i="4"/>
  <c r="I35" i="4" s="1"/>
  <c r="K35" i="4" s="1"/>
  <c r="F34" i="4"/>
  <c r="I34" i="4" s="1"/>
  <c r="K34" i="4" s="1"/>
  <c r="F33" i="4"/>
  <c r="I33" i="4" s="1"/>
  <c r="K33" i="4" s="1"/>
  <c r="F32" i="4"/>
  <c r="I32" i="4" s="1"/>
  <c r="K32" i="4" s="1"/>
  <c r="F31" i="4"/>
  <c r="I31" i="4" s="1"/>
  <c r="D21" i="4"/>
  <c r="C21" i="4"/>
  <c r="L23" i="4"/>
  <c r="F54" i="5"/>
  <c r="E54" i="5"/>
  <c r="B53" i="5"/>
  <c r="B54" i="5" s="1"/>
  <c r="E49" i="5"/>
  <c r="D49" i="5"/>
  <c r="F47" i="5"/>
  <c r="F49" i="5" s="1"/>
  <c r="E47" i="5"/>
  <c r="D47" i="5"/>
  <c r="C47" i="5"/>
  <c r="C49" i="5" s="1"/>
  <c r="B47" i="5"/>
  <c r="B49" i="5" s="1"/>
  <c r="F38" i="5"/>
  <c r="F36" i="5"/>
  <c r="E36" i="5"/>
  <c r="E38" i="5" s="1"/>
  <c r="D36" i="5"/>
  <c r="D38" i="5" s="1"/>
  <c r="C36" i="5"/>
  <c r="C38" i="5" s="1"/>
  <c r="B36" i="5"/>
  <c r="B38" i="5" s="1"/>
  <c r="F23" i="5"/>
  <c r="F25" i="5" s="1"/>
  <c r="E23" i="5"/>
  <c r="E25" i="5" s="1"/>
  <c r="C23" i="5"/>
  <c r="C51" i="5" s="1"/>
  <c r="B23" i="5"/>
  <c r="B51" i="5" s="1"/>
  <c r="F17" i="5"/>
  <c r="F11" i="5"/>
  <c r="F6" i="5"/>
  <c r="E6" i="5"/>
  <c r="D6" i="5"/>
  <c r="D23" i="5" s="1"/>
  <c r="C6" i="5"/>
  <c r="B6" i="5"/>
  <c r="E16" i="4"/>
  <c r="H16" i="4" s="1"/>
  <c r="E15" i="4"/>
  <c r="H15" i="4" s="1"/>
  <c r="E14" i="4"/>
  <c r="H14" i="4" s="1"/>
  <c r="E13" i="4"/>
  <c r="H13" i="4" s="1"/>
  <c r="J13" i="4" s="1"/>
  <c r="E12" i="4"/>
  <c r="E11" i="4"/>
  <c r="H11" i="4" s="1"/>
  <c r="E10" i="4"/>
  <c r="H10" i="4" s="1"/>
  <c r="E9" i="4"/>
  <c r="H9" i="4" s="1"/>
  <c r="E8" i="4"/>
  <c r="E3" i="4"/>
  <c r="F48" i="2"/>
  <c r="C47" i="2"/>
  <c r="B47" i="2"/>
  <c r="E45" i="2"/>
  <c r="E47" i="2" s="1"/>
  <c r="E48" i="2" s="1"/>
  <c r="D45" i="2"/>
  <c r="D47" i="2" s="1"/>
  <c r="C45" i="2"/>
  <c r="B45" i="2"/>
  <c r="E42" i="2"/>
  <c r="E37" i="2"/>
  <c r="C37" i="2"/>
  <c r="C48" i="2" s="1"/>
  <c r="B37" i="2"/>
  <c r="B48" i="2" s="1"/>
  <c r="D30" i="2"/>
  <c r="D37" i="2" s="1"/>
  <c r="C30" i="2"/>
  <c r="B30" i="2"/>
  <c r="C21" i="2"/>
  <c r="C49" i="2" s="1"/>
  <c r="B21" i="2"/>
  <c r="B49" i="2" s="1"/>
  <c r="F13" i="2"/>
  <c r="F21" i="2" s="1"/>
  <c r="F49" i="2" s="1"/>
  <c r="E13" i="2"/>
  <c r="E21" i="2" s="1"/>
  <c r="D13" i="2"/>
  <c r="D21" i="2" s="1"/>
  <c r="C13" i="2"/>
  <c r="B13" i="2"/>
  <c r="E26" i="1"/>
  <c r="E28" i="1" s="1"/>
  <c r="F22" i="1"/>
  <c r="F24" i="1" s="1"/>
  <c r="F26" i="1" s="1"/>
  <c r="F28" i="1" s="1"/>
  <c r="F21" i="1"/>
  <c r="E21" i="1"/>
  <c r="E22" i="1" s="1"/>
  <c r="D21" i="1"/>
  <c r="D22" i="1" s="1"/>
  <c r="D24" i="1" s="1"/>
  <c r="D26" i="1" s="1"/>
  <c r="D28" i="1" s="1"/>
  <c r="C21" i="1"/>
  <c r="E11" i="1"/>
  <c r="D11" i="1"/>
  <c r="C11" i="1"/>
  <c r="C22" i="1" s="1"/>
  <c r="C24" i="1" s="1"/>
  <c r="C26" i="1" s="1"/>
  <c r="C28" i="1" s="1"/>
  <c r="B11" i="1"/>
  <c r="D132" i="8" l="1"/>
  <c r="D134" i="8" s="1"/>
  <c r="D133" i="8"/>
  <c r="G133" i="8" s="1"/>
  <c r="C113" i="8"/>
  <c r="D111" i="8"/>
  <c r="D112" i="8"/>
  <c r="G112" i="8" s="1"/>
  <c r="C29" i="7"/>
  <c r="C31" i="7"/>
  <c r="D29" i="7"/>
  <c r="D41" i="7" s="1"/>
  <c r="C46" i="7" s="1"/>
  <c r="D31" i="7"/>
  <c r="E29" i="7"/>
  <c r="E41" i="7" s="1"/>
  <c r="E31" i="7"/>
  <c r="F29" i="7"/>
  <c r="F41" i="7" s="1"/>
  <c r="C48" i="7" s="1"/>
  <c r="F31" i="7"/>
  <c r="G25" i="7"/>
  <c r="G29" i="7" s="1"/>
  <c r="G41" i="7" s="1"/>
  <c r="C47" i="7"/>
  <c r="C49" i="7"/>
  <c r="D80" i="8"/>
  <c r="G74" i="8"/>
  <c r="G80" i="8" s="1"/>
  <c r="F80" i="8"/>
  <c r="F86" i="8" s="1"/>
  <c r="E80" i="8"/>
  <c r="E84" i="8" s="1"/>
  <c r="E96" i="8" s="1"/>
  <c r="H29" i="7"/>
  <c r="H35" i="7" s="1"/>
  <c r="H31" i="7"/>
  <c r="H34" i="7" s="1"/>
  <c r="G31" i="7"/>
  <c r="J65" i="8"/>
  <c r="L65" i="8" s="1"/>
  <c r="E4" i="7"/>
  <c r="AE38" i="4"/>
  <c r="AE31" i="4"/>
  <c r="AE37" i="4" s="1"/>
  <c r="L59" i="8"/>
  <c r="L66" i="8" s="1"/>
  <c r="L67" i="8"/>
  <c r="I35" i="8"/>
  <c r="K35" i="8" s="1"/>
  <c r="L38" i="8" s="1"/>
  <c r="L37" i="8"/>
  <c r="I21" i="4"/>
  <c r="B24" i="4" s="1"/>
  <c r="B40" i="4" s="1"/>
  <c r="I16" i="8"/>
  <c r="B6" i="7"/>
  <c r="C5" i="7" s="1"/>
  <c r="K38" i="4"/>
  <c r="C40" i="4" s="1"/>
  <c r="H12" i="4"/>
  <c r="J12" i="4" s="1"/>
  <c r="I3" i="4"/>
  <c r="C3" i="8" s="1"/>
  <c r="F40" i="6"/>
  <c r="K4" i="6"/>
  <c r="B26" i="6"/>
  <c r="D31" i="6"/>
  <c r="Q5" i="7"/>
  <c r="P5" i="7"/>
  <c r="F31" i="6"/>
  <c r="I33" i="6" s="1"/>
  <c r="O5" i="7"/>
  <c r="F32" i="6"/>
  <c r="F26" i="6"/>
  <c r="K31" i="4"/>
  <c r="K37" i="4" s="1"/>
  <c r="R5" i="7"/>
  <c r="J14" i="4"/>
  <c r="J15" i="4"/>
  <c r="J16" i="4"/>
  <c r="J9" i="4"/>
  <c r="J10" i="4"/>
  <c r="J11" i="4"/>
  <c r="D26" i="6"/>
  <c r="F25" i="6"/>
  <c r="E25" i="6"/>
  <c r="E26" i="6"/>
  <c r="D16" i="6"/>
  <c r="E16" i="6"/>
  <c r="D18" i="6"/>
  <c r="E18" i="6"/>
  <c r="B31" i="6"/>
  <c r="D25" i="6"/>
  <c r="B25" i="6"/>
  <c r="F18" i="6"/>
  <c r="C31" i="6"/>
  <c r="C25" i="6"/>
  <c r="B18" i="6"/>
  <c r="C26" i="6"/>
  <c r="F16" i="6"/>
  <c r="C18" i="6"/>
  <c r="E31" i="6"/>
  <c r="E6" i="6"/>
  <c r="E9" i="6" s="1"/>
  <c r="F6" i="6"/>
  <c r="F17" i="6" s="1"/>
  <c r="D40" i="6"/>
  <c r="E40" i="6"/>
  <c r="B6" i="6"/>
  <c r="B17" i="6" s="1"/>
  <c r="C40" i="6"/>
  <c r="D6" i="6"/>
  <c r="C6" i="6"/>
  <c r="E51" i="5"/>
  <c r="D51" i="5"/>
  <c r="D25" i="5"/>
  <c r="D53" i="5"/>
  <c r="D54" i="5" s="1"/>
  <c r="F51" i="5"/>
  <c r="C53" i="5"/>
  <c r="C54" i="5" s="1"/>
  <c r="B25" i="5"/>
  <c r="C25" i="5"/>
  <c r="D49" i="2"/>
  <c r="E49" i="2"/>
  <c r="D48" i="2"/>
  <c r="B22" i="1"/>
  <c r="G132" i="8" l="1"/>
  <c r="G134" i="8" s="1"/>
  <c r="C136" i="8" s="1"/>
  <c r="D113" i="8"/>
  <c r="G111" i="8"/>
  <c r="G113" i="8" s="1"/>
  <c r="C115" i="8" s="1"/>
  <c r="G84" i="8"/>
  <c r="G86" i="8"/>
  <c r="G89" i="8" s="1"/>
  <c r="D84" i="8"/>
  <c r="D86" i="8"/>
  <c r="E86" i="8"/>
  <c r="F84" i="8"/>
  <c r="F96" i="8" s="1"/>
  <c r="H36" i="7"/>
  <c r="H39" i="7" s="1"/>
  <c r="S4" i="7"/>
  <c r="S3" i="7" s="1"/>
  <c r="S5" i="7" s="1"/>
  <c r="H21" i="4"/>
  <c r="L39" i="8"/>
  <c r="C39" i="8" s="1"/>
  <c r="C4" i="8"/>
  <c r="J21" i="4"/>
  <c r="E40" i="4"/>
  <c r="K40" i="6"/>
  <c r="T4" i="7"/>
  <c r="K23" i="4"/>
  <c r="K24" i="4"/>
  <c r="C24" i="4" s="1"/>
  <c r="C4" i="7"/>
  <c r="C6" i="7" s="1"/>
  <c r="F4" i="7"/>
  <c r="K33" i="6"/>
  <c r="K10" i="6" s="1"/>
  <c r="K32" i="6"/>
  <c r="K31" i="6" s="1"/>
  <c r="L33" i="6" s="1"/>
  <c r="K6" i="6"/>
  <c r="K5" i="6" s="1"/>
  <c r="B24" i="1"/>
  <c r="B26" i="1" s="1"/>
  <c r="B28" i="1" s="1"/>
  <c r="F5" i="7"/>
  <c r="H16" i="6"/>
  <c r="H18" i="6"/>
  <c r="F48" i="6"/>
  <c r="F9" i="6"/>
  <c r="F37" i="6" s="1"/>
  <c r="F43" i="6" s="1"/>
  <c r="H26" i="6"/>
  <c r="E17" i="6"/>
  <c r="E48" i="6"/>
  <c r="K23" i="6"/>
  <c r="E50" i="6"/>
  <c r="E11" i="6"/>
  <c r="E19" i="6" s="1"/>
  <c r="E37" i="6"/>
  <c r="E45" i="6"/>
  <c r="B48" i="6"/>
  <c r="B9" i="6"/>
  <c r="C9" i="6"/>
  <c r="C48" i="6"/>
  <c r="C17" i="6"/>
  <c r="D9" i="6"/>
  <c r="D48" i="6"/>
  <c r="D17" i="6"/>
  <c r="L4" i="6"/>
  <c r="K7" i="6"/>
  <c r="H25" i="6"/>
  <c r="K25" i="6" s="1"/>
  <c r="L25" i="6" s="1"/>
  <c r="M25" i="6" s="1"/>
  <c r="C90" i="8" l="1"/>
  <c r="H41" i="7"/>
  <c r="C50" i="7" s="1"/>
  <c r="C51" i="7" s="1"/>
  <c r="C54" i="7" s="1"/>
  <c r="C57" i="7" s="1"/>
  <c r="C11" i="8"/>
  <c r="D52" i="8"/>
  <c r="E52" i="8" s="1"/>
  <c r="C5" i="8"/>
  <c r="C38" i="8"/>
  <c r="K22" i="6"/>
  <c r="T3" i="7"/>
  <c r="T5" i="7" s="1"/>
  <c r="U4" i="7"/>
  <c r="F6" i="7"/>
  <c r="B26" i="4"/>
  <c r="L32" i="6"/>
  <c r="M32" i="6" s="1"/>
  <c r="N32" i="6" s="1"/>
  <c r="O32" i="6" s="1"/>
  <c r="H17" i="6"/>
  <c r="L22" i="6"/>
  <c r="L40" i="6"/>
  <c r="K9" i="6"/>
  <c r="F49" i="6"/>
  <c r="F44" i="6"/>
  <c r="F45" i="6"/>
  <c r="F11" i="6"/>
  <c r="F19" i="6" s="1"/>
  <c r="F50" i="6"/>
  <c r="L10" i="6"/>
  <c r="E13" i="6"/>
  <c r="D45" i="6"/>
  <c r="D11" i="6"/>
  <c r="D19" i="6" s="1"/>
  <c r="D50" i="6"/>
  <c r="D37" i="6"/>
  <c r="M4" i="6"/>
  <c r="L6" i="6"/>
  <c r="L5" i="6" s="1"/>
  <c r="L23" i="6"/>
  <c r="L7" i="6"/>
  <c r="B11" i="6"/>
  <c r="B19" i="6" s="1"/>
  <c r="B50" i="6"/>
  <c r="B45" i="6"/>
  <c r="B37" i="6"/>
  <c r="K48" i="6"/>
  <c r="C50" i="6"/>
  <c r="C45" i="6"/>
  <c r="C37" i="6"/>
  <c r="C11" i="6"/>
  <c r="C19" i="6" s="1"/>
  <c r="N25" i="6"/>
  <c r="E44" i="6"/>
  <c r="E49" i="6"/>
  <c r="E43" i="6"/>
  <c r="E98" i="8" l="1"/>
  <c r="D101" i="8" s="1"/>
  <c r="G98" i="8"/>
  <c r="F98" i="8"/>
  <c r="D102" i="8" s="1"/>
  <c r="G90" i="8"/>
  <c r="C40" i="8"/>
  <c r="L31" i="6"/>
  <c r="M33" i="6" s="1"/>
  <c r="M10" i="6" s="1"/>
  <c r="U3" i="7"/>
  <c r="U5" i="7" s="1"/>
  <c r="V4" i="7"/>
  <c r="M22" i="6"/>
  <c r="M40" i="6"/>
  <c r="F13" i="6"/>
  <c r="H19" i="6"/>
  <c r="L48" i="6"/>
  <c r="L9" i="6"/>
  <c r="C49" i="6"/>
  <c r="C44" i="6"/>
  <c r="C43" i="6"/>
  <c r="B13" i="6"/>
  <c r="O25" i="6"/>
  <c r="N4" i="6"/>
  <c r="M6" i="6"/>
  <c r="M5" i="6" s="1"/>
  <c r="M23" i="6"/>
  <c r="M7" i="6"/>
  <c r="C13" i="6"/>
  <c r="K11" i="6"/>
  <c r="K50" i="6"/>
  <c r="K45" i="6"/>
  <c r="K37" i="6"/>
  <c r="D13" i="6"/>
  <c r="B49" i="6"/>
  <c r="B44" i="6"/>
  <c r="B43" i="6"/>
  <c r="D49" i="6"/>
  <c r="D44" i="6"/>
  <c r="D43" i="6"/>
  <c r="G91" i="8" l="1"/>
  <c r="G94" i="8" s="1"/>
  <c r="G96" i="8" s="1"/>
  <c r="D103" i="8" s="1"/>
  <c r="D104" i="8" s="1"/>
  <c r="M31" i="6"/>
  <c r="N33" i="6" s="1"/>
  <c r="N10" i="6" s="1"/>
  <c r="V3" i="7"/>
  <c r="V5" i="7" s="1"/>
  <c r="W4" i="7"/>
  <c r="N40" i="6"/>
  <c r="O4" i="6"/>
  <c r="N6" i="6"/>
  <c r="N5" i="6" s="1"/>
  <c r="N7" i="6"/>
  <c r="N23" i="6"/>
  <c r="N22" i="6"/>
  <c r="K44" i="6"/>
  <c r="K49" i="6"/>
  <c r="K43" i="6"/>
  <c r="N31" i="6"/>
  <c r="O33" i="6" s="1"/>
  <c r="K12" i="6"/>
  <c r="M9" i="6"/>
  <c r="M48" i="6"/>
  <c r="L50" i="6"/>
  <c r="L45" i="6"/>
  <c r="L11" i="6"/>
  <c r="L37" i="6"/>
  <c r="W3" i="7" l="1"/>
  <c r="W5" i="7" s="1"/>
  <c r="K13" i="6"/>
  <c r="O22" i="6"/>
  <c r="O40" i="6"/>
  <c r="L12" i="6"/>
  <c r="O31" i="6"/>
  <c r="O10" i="6"/>
  <c r="N9" i="6"/>
  <c r="N48" i="6"/>
  <c r="M50" i="6"/>
  <c r="M45" i="6"/>
  <c r="M11" i="6"/>
  <c r="M37" i="6"/>
  <c r="L49" i="6"/>
  <c r="L44" i="6"/>
  <c r="L43" i="6"/>
  <c r="O6" i="6"/>
  <c r="O5" i="6" s="1"/>
  <c r="O23" i="6"/>
  <c r="O7" i="6"/>
  <c r="L13" i="6" l="1"/>
  <c r="N50" i="6"/>
  <c r="N45" i="6"/>
  <c r="N11" i="6"/>
  <c r="M12" i="6"/>
  <c r="M49" i="6"/>
  <c r="M44" i="6"/>
  <c r="M43" i="6"/>
  <c r="O9" i="6"/>
  <c r="O48" i="6"/>
  <c r="N37" i="6"/>
  <c r="M13" i="6" l="1"/>
  <c r="O50" i="6"/>
  <c r="O45" i="6"/>
  <c r="O11" i="6"/>
  <c r="O37" i="6"/>
  <c r="N44" i="6"/>
  <c r="N49" i="6"/>
  <c r="N43" i="6"/>
  <c r="N12" i="6"/>
  <c r="N13" i="6" l="1"/>
  <c r="O44" i="6"/>
  <c r="O49" i="6"/>
  <c r="O43" i="6"/>
  <c r="O12" i="6"/>
  <c r="O13"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tc={7983D777-FB39-4597-942B-35440454FCC8}</author>
  </authors>
  <commentList>
    <comment ref="L66" authorId="0" shapeId="0" xr:uid="{7983D777-FB39-4597-942B-35440454FCC8}">
      <text>
        <t xml:space="preserve">[Threaded comment]
Your version of Excel allows you to read this threaded comment; however, any edits to it will get removed if the file is opened in a newer version of Excel. Learn more: https://go.microsoft.com/fwlink/?linkid=870924
Comment:
    Since most of the target companies operate in the pharmaceutical sector and are relatively small in size, they exhibit negative EBITDA multiples due to substantial investments in research and development. </t>
      </text>
    </comment>
  </commentList>
</comments>
</file>

<file path=xl/sharedStrings.xml><?xml version="1.0" encoding="utf-8"?>
<sst xmlns="http://schemas.openxmlformats.org/spreadsheetml/2006/main" count="642" uniqueCount="402">
  <si>
    <t>Pfizer Inc. and Subsidiary Companies</t>
  </si>
  <si>
    <t>Consolidated Statements of Operations</t>
  </si>
  <si>
    <t>(MILLIONS, EXCEPT PER SHARE DATA)</t>
  </si>
  <si>
    <t>Income Statement</t>
  </si>
  <si>
    <t>Year Ended December 31,</t>
  </si>
  <si>
    <t>Particulars</t>
  </si>
  <si>
    <t xml:space="preserve">Revenues: </t>
  </si>
  <si>
    <t>Product revenues</t>
  </si>
  <si>
    <t>Alliance revenues</t>
  </si>
  <si>
    <t>Royalty revenues(a)</t>
  </si>
  <si>
    <t>Total revenues</t>
  </si>
  <si>
    <t>Costs and expenses</t>
  </si>
  <si>
    <t>Cost of sales(b), (c)</t>
  </si>
  <si>
    <t>Selling, informational and administrative expenses(b)</t>
  </si>
  <si>
    <t>Research and development expenses(b)</t>
  </si>
  <si>
    <t>Acquired in-process research and development expenses</t>
  </si>
  <si>
    <t>Amortization of intangible assets</t>
  </si>
  <si>
    <t>Restructuring charges and certain acquisition-related costs</t>
  </si>
  <si>
    <t>(Gain) on completion of Consumer Healthcare JV transaction</t>
  </si>
  <si>
    <t>Other (income)/deductions—net</t>
  </si>
  <si>
    <t>Total Expenses</t>
  </si>
  <si>
    <t>Income from continuing operations before provision/(benefit) for taxes on income</t>
  </si>
  <si>
    <t>Provision/(benefit) for taxes on income</t>
  </si>
  <si>
    <t>Income from continuing operations</t>
  </si>
  <si>
    <t>Discontinued operations—net of tax</t>
  </si>
  <si>
    <t>Net income before allocation to noncontrolling interests</t>
  </si>
  <si>
    <t>Less: Net income attributable to noncontrolling interests</t>
  </si>
  <si>
    <t>Net income attributable to Pfizer Inc. common shareholders</t>
  </si>
  <si>
    <t>Cash Flow</t>
  </si>
  <si>
    <t>(MILLIONS)</t>
  </si>
  <si>
    <t>Year Ended Decembe</t>
  </si>
  <si>
    <t>Ooetatino Activities Net iriCtwne before allocation to noncontrolling inteests</t>
  </si>
  <si>
    <t>Discontinued</t>
  </si>
  <si>
    <t>o' tax</t>
  </si>
  <si>
    <t>Net income from continuing operations efore anocatiOh to rorgontrolling interests Adjustments to 1%Orble net inccme bettye allocation to noncontrolling interests ta net cash provided by</t>
  </si>
  <si>
    <t>activities:</t>
  </si>
  <si>
    <t>Depreciation and amortization</t>
  </si>
  <si>
    <t>Asset write-ors and inpairments</t>
  </si>
  <si>
    <t>TCJA impact Gain on completion O' Consumer Healthcare JV transaction, net Of cash conveyed</t>
  </si>
  <si>
    <t>Deferred taxes from continuing</t>
  </si>
  <si>
    <t>Share-based compensation expense</t>
  </si>
  <si>
    <t>plan Contributms in excess Of expanse"inc•ame</t>
  </si>
  <si>
    <t>Other agugtrhEntS, net</t>
  </si>
  <si>
    <t>Other changes in assets and liabilities, net 0 acgLisitiOhS and divestitures: Trade accounts receivable</t>
  </si>
  <si>
    <t>Inventories</t>
  </si>
  <si>
    <t>Other a SS etS</t>
  </si>
  <si>
    <t>Trade accounts payable</t>
  </si>
  <si>
    <t>Other liabiities</t>
  </si>
  <si>
    <t>Other tax accounts, net</t>
  </si>
  <si>
    <t>Net Cash provided by operating activities from continuing operations</t>
  </si>
  <si>
    <t>Net Cash provided by/(uged in) operating activities from</t>
  </si>
  <si>
    <t>operations</t>
  </si>
  <si>
    <t>Net Cash provided by operatirO activities</t>
  </si>
  <si>
    <t>Inyeslinqkiydies Purchases o' property, plant ard equipment</t>
  </si>
  <si>
    <t>Purchases o' Short-term investments</t>
  </si>
  <si>
    <t>Proceeds from redemptions.'gales Of Short-term investments</t>
  </si>
  <si>
    <t>Net (purchases Opproceedg 'rtm redemptions.'sales O' Short-term investments With ariginal maturities a' three months or less</t>
  </si>
  <si>
    <t>Purchases o' long-term investments</t>
  </si>
  <si>
    <t>Proceeds frtwn redemptions.'gales Of Ong-term investments Acquisitions o' businesses, net Of cash acquired</t>
  </si>
  <si>
    <t>Other investing activities, netlO</t>
  </si>
  <si>
    <t>Net Cagh provided by/(used in) investing activities from continuing cperations</t>
  </si>
  <si>
    <t>(2.25.44)</t>
  </si>
  <si>
    <t>Net Cash provided by/(uged in) investing activities from discontinued operations</t>
  </si>
  <si>
    <t>Net cash provided by/(used in) investing activities</t>
  </si>
  <si>
    <t>F Narrcirxa Activities Proceeds frtwn Short-term borrowings</t>
  </si>
  <si>
    <t>Principal paymentg on Short-term borro%•virgs</t>
  </si>
  <si>
    <t>Net (payments on)'proceedg 'rtm Short-term borrowings With original maturities Of thr* months</t>
  </si>
  <si>
    <t>less</t>
  </si>
  <si>
    <t>Proceeds 'rtm issuance o' long-term</t>
  </si>
  <si>
    <t>Principal payments on long-term debt Purchases o' common Stock</t>
  </si>
  <si>
    <t>(4,d.3)</t>
  </si>
  <si>
    <t>Cagh divide ros paid</t>
  </si>
  <si>
    <t>Other financing activities, net</t>
  </si>
  <si>
    <t>(.4.44 )</t>
  </si>
  <si>
    <t>Net Cash provided by/(uged in) financing activities from continuing operations</t>
  </si>
  <si>
    <t>Net Cash provided by/(used i") financing activities from WSC01tinuad operations</t>
  </si>
  <si>
    <t>Net Cagh provided by/(uged in) financing activities</t>
  </si>
  <si>
    <t>Effect Of exchange-rate changes on cash and Cagh equivalents and restricted cash and cagh equivalents</t>
  </si>
  <si>
    <t>Net increasel(decrease) in Cash and cash equivalents arc restricted Cash and cash equivalents</t>
  </si>
  <si>
    <t>.4.55</t>
  </si>
  <si>
    <t>Cash and cash equivalents and restricted Cash and cash equivalents, at beginning o' period</t>
  </si>
  <si>
    <t>Cash and cash equivalents aro restricted cash and cash equivalents, at ers Of *riad</t>
  </si>
  <si>
    <t>• Continued</t>
  </si>
  <si>
    <t>Balance Sheet</t>
  </si>
  <si>
    <t xml:space="preserve">Assets </t>
  </si>
  <si>
    <t>Cash and cash equivalents</t>
  </si>
  <si>
    <t>Short-term investments</t>
  </si>
  <si>
    <t>Trade accounts receivable, less allowance for doubtful accounts: 2021 —$492; 2020—$508</t>
  </si>
  <si>
    <t>Current tax assets</t>
  </si>
  <si>
    <t>Other current assets</t>
  </si>
  <si>
    <t>Total current assets</t>
  </si>
  <si>
    <t>Equity-method investments</t>
  </si>
  <si>
    <t>Long-term investments</t>
  </si>
  <si>
    <t>Property, plant and equipment</t>
  </si>
  <si>
    <t>Identifiable intangible assets</t>
  </si>
  <si>
    <t>Goodwill</t>
  </si>
  <si>
    <t>Noncurrent deferred tax assets and other noncurrent tax assets</t>
  </si>
  <si>
    <t>Other noncurrent assets</t>
  </si>
  <si>
    <t>Total assets</t>
  </si>
  <si>
    <t xml:space="preserve">Liabilities and Equity </t>
  </si>
  <si>
    <t>Short-term borrowings. including current portion of long•term deu• 2021—5,636; 2020—2002</t>
  </si>
  <si>
    <t>Divdends payable</t>
  </si>
  <si>
    <t>Income taxes payable</t>
  </si>
  <si>
    <t>Accrued compensation and related items</t>
  </si>
  <si>
    <t>Deferred revenues</t>
  </si>
  <si>
    <t>Other current liabilities</t>
  </si>
  <si>
    <t>Total current liabilities</t>
  </si>
  <si>
    <t>Long-term debt</t>
  </si>
  <si>
    <t>Pension benefit obligations</t>
  </si>
  <si>
    <t>Postretirement benefit oblOations</t>
  </si>
  <si>
    <t>Noncurrent deferred tax liabilities</t>
  </si>
  <si>
    <t>Other taxes payable</t>
  </si>
  <si>
    <t>Other noncurrent labilties</t>
  </si>
  <si>
    <t>Total liabilities</t>
  </si>
  <si>
    <t>Commitments and Contingencies</t>
  </si>
  <si>
    <t>Preferred stock,</t>
  </si>
  <si>
    <t>Common stock, SO_05 par value; 12,000 shares authorized; issued' 2021—9,471 2020—9,.407</t>
  </si>
  <si>
    <t>Additional paid•in capital</t>
  </si>
  <si>
    <t>Treasury stock, shares at cost: 2021—3,851; 2020—3,840</t>
  </si>
  <si>
    <t>Retained earnings</t>
  </si>
  <si>
    <t>Accumulated other comprehensive loss</t>
  </si>
  <si>
    <t>Total Pfizer Inc shareholders' equity</t>
  </si>
  <si>
    <t>Equity attributable</t>
  </si>
  <si>
    <t>Total equity</t>
  </si>
  <si>
    <t>Total liabilities and equity</t>
  </si>
  <si>
    <t>Check</t>
  </si>
  <si>
    <t>Company</t>
  </si>
  <si>
    <t>Symbol</t>
  </si>
  <si>
    <t>Stock Price 
(as of 10/03/2025)</t>
  </si>
  <si>
    <t>Stocks Outstanding ($0000)</t>
  </si>
  <si>
    <t>Equity Value
 ($000)</t>
  </si>
  <si>
    <t>Debt (ST&amp;LT)
($000)</t>
  </si>
  <si>
    <t>Cash
 ($000)</t>
  </si>
  <si>
    <t>Enterprise Value 
($000)</t>
  </si>
  <si>
    <t>Pfizer</t>
  </si>
  <si>
    <t>PFE</t>
  </si>
  <si>
    <t>Stock Price</t>
  </si>
  <si>
    <t>Stocks Outstanding ($000)</t>
  </si>
  <si>
    <t>Bloomberg</t>
  </si>
  <si>
    <t>EBITDA 
($000)</t>
  </si>
  <si>
    <t>EBITDA Multiple</t>
  </si>
  <si>
    <t>Beta</t>
  </si>
  <si>
    <t>Eli Lilly and Company</t>
  </si>
  <si>
    <t>LLY</t>
  </si>
  <si>
    <t>Johnson &amp; Johnson</t>
  </si>
  <si>
    <t>JNJ</t>
  </si>
  <si>
    <t>Merck &amp; Co. Inc.</t>
  </si>
  <si>
    <t>MRK</t>
  </si>
  <si>
    <t>Moderna Inc.</t>
  </si>
  <si>
    <t>MRNA</t>
  </si>
  <si>
    <t>Vertex Pharmaceuticals Inc.</t>
  </si>
  <si>
    <t>VRTX</t>
  </si>
  <si>
    <t>Regeneron Pharmaceuticals</t>
  </si>
  <si>
    <t>REGN</t>
  </si>
  <si>
    <t>Bristol-Myers Squibb</t>
  </si>
  <si>
    <t>BMY</t>
  </si>
  <si>
    <t>Ionis Pharmaceuticals</t>
  </si>
  <si>
    <t>IONS</t>
  </si>
  <si>
    <t>AbbVie Inc.</t>
  </si>
  <si>
    <t>ABBV</t>
  </si>
  <si>
    <t xml:space="preserve"> Net income before allocation to noncontrolling interests</t>
  </si>
  <si>
    <t>Net income from continuing operations before allocation to noncontrolling interests</t>
  </si>
  <si>
    <t>Adjustments to reconcile net income from continuing operations before allocation to noncontrolling interests to net cash provided by/(used in) operating activities:</t>
  </si>
  <si>
    <t>Asset write-offs and impairments</t>
  </si>
  <si>
    <t>Gain on completion of Consumer Healthcare JV transaction, net of cash conveyed(a)</t>
  </si>
  <si>
    <t>Deferred taxes</t>
  </si>
  <si>
    <t>Benefit plan contributions in excess of expense/income</t>
  </si>
  <si>
    <t>Inventory write-offs and related charges associated with COVID-19 products(a)</t>
  </si>
  <si>
    <t>Other adjustments. net</t>
  </si>
  <si>
    <t>Other changes in assets and liabilities, net of acquisitions and divestitures:</t>
  </si>
  <si>
    <t>Trade accounts receivabe</t>
  </si>
  <si>
    <t>Inventories"</t>
  </si>
  <si>
    <t>Other assets</t>
  </si>
  <si>
    <t>Other liabilities</t>
  </si>
  <si>
    <t>Net cash provided by/(used in) operating activities</t>
  </si>
  <si>
    <t>Net cash provided by/(used in) operating activities from discontinued operations</t>
  </si>
  <si>
    <t>Net cash provided by operating activities</t>
  </si>
  <si>
    <t>Purchases of property, plant and equipment</t>
  </si>
  <si>
    <t xml:space="preserve"> Purchases of short-term investments</t>
  </si>
  <si>
    <t>Proceeds from redemptions/sales of short-term investments</t>
  </si>
  <si>
    <t>Net (purchases of)/proceeds from redemptions/sales of short-term investments with original maturities of three months or less</t>
  </si>
  <si>
    <t>Purchases of long-term investments</t>
  </si>
  <si>
    <t>Proceeds from redemptions/sales of long-term investments</t>
  </si>
  <si>
    <t>Proceeds from partial sales of investment in Haleon(c)</t>
  </si>
  <si>
    <t>Acquisitions of businesses, net of cash acquired</t>
  </si>
  <si>
    <t>Dividend received from the Consumer Walthcare JWP)</t>
  </si>
  <si>
    <t>Other</t>
  </si>
  <si>
    <t>Net cash provided by/(used in) investing activities from discontinued operations</t>
  </si>
  <si>
    <t>Net cash provided by investing activities</t>
  </si>
  <si>
    <t>Proceeds from short-term borrrowings</t>
  </si>
  <si>
    <t>Payments on short-term borrowings</t>
  </si>
  <si>
    <t>Net (payments on)/proceeds from short-term borrowings with original maturities of three months or less</t>
  </si>
  <si>
    <t>Proceeds from issuance of long-term debt</t>
  </si>
  <si>
    <t>Payments on long-term debt</t>
  </si>
  <si>
    <t>Purchases of common stock</t>
  </si>
  <si>
    <t>Cash dividends paid</t>
  </si>
  <si>
    <t>Net cash provided by/(used in) financing activities</t>
  </si>
  <si>
    <t>Net cash provided by/(used in) financing activities from discontinued operations</t>
  </si>
  <si>
    <t>Effect of exchange-rate changes on cash and cash equivalents and restricted cash and cash equivaOnts</t>
  </si>
  <si>
    <t>Net increase/(decrease) in cash and cash equivalents and restricted cash and cash equivalents</t>
  </si>
  <si>
    <t>Cash and cash equivalents and restricted cash and cash equivalents, at beginning of period</t>
  </si>
  <si>
    <t>Cash ard cash equivaOnts and restricted cash and cash equivalents, at end of period</t>
  </si>
  <si>
    <t>Average</t>
  </si>
  <si>
    <t>EBITDA * Average Multiple</t>
  </si>
  <si>
    <t>Excl. Outlier</t>
  </si>
  <si>
    <t xml:space="preserve"> (taken out the high and low)</t>
  </si>
  <si>
    <t>Pfyzer's EV</t>
  </si>
  <si>
    <t>Date Anouncement</t>
  </si>
  <si>
    <t xml:space="preserve">Target </t>
  </si>
  <si>
    <t>Acquirer</t>
  </si>
  <si>
    <t>Acquisition Price /Share</t>
  </si>
  <si>
    <t>Shares Outstanding</t>
  </si>
  <si>
    <t>Equity Value ($mm)</t>
  </si>
  <si>
    <t>Total Debt ($mm)</t>
  </si>
  <si>
    <t>Cash</t>
  </si>
  <si>
    <t>Enterpised Value (EV)</t>
  </si>
  <si>
    <t>EBITDA (last reported)</t>
  </si>
  <si>
    <t>Seagen</t>
  </si>
  <si>
    <t>Karuna Therapeutics</t>
  </si>
  <si>
    <t>Bristol‑Myers Squibb (BMS)</t>
  </si>
  <si>
    <t>Prometheus Biosciences</t>
  </si>
  <si>
    <t>Merck &amp; Co.</t>
  </si>
  <si>
    <t>Fusion Pharmaceuticals</t>
  </si>
  <si>
    <t>AstraZeneca</t>
  </si>
  <si>
    <t>Checkpoint Therapeutics</t>
  </si>
  <si>
    <t>Sun Pharma</t>
  </si>
  <si>
    <t>Verona Pharma</t>
  </si>
  <si>
    <t>Adjust. Outlier</t>
  </si>
  <si>
    <t>Projections</t>
  </si>
  <si>
    <t>Operating Assumpt.
Input</t>
  </si>
  <si>
    <t>Total Revenue</t>
  </si>
  <si>
    <t>Cost of Revenue</t>
  </si>
  <si>
    <t>Gross Profit</t>
  </si>
  <si>
    <t>Total Operating Expenses</t>
  </si>
  <si>
    <t>EBIT</t>
  </si>
  <si>
    <t>Interest Expense</t>
  </si>
  <si>
    <t>EBT</t>
  </si>
  <si>
    <t>Income Tax Expense</t>
  </si>
  <si>
    <t>Net Income</t>
  </si>
  <si>
    <t>Income Statement Assumptions</t>
  </si>
  <si>
    <t>Revenue Growth</t>
  </si>
  <si>
    <t>Gross Margin</t>
  </si>
  <si>
    <t>Operating Exp as % of Revenue</t>
  </si>
  <si>
    <t>Tax as % of EBT</t>
  </si>
  <si>
    <t>Other Assumptions % of Revenue</t>
  </si>
  <si>
    <t>Depreciation</t>
  </si>
  <si>
    <t>Capex</t>
  </si>
  <si>
    <t>Capital Expenditures</t>
  </si>
  <si>
    <t>Debt Schedule</t>
  </si>
  <si>
    <t>Short Term Debt</t>
  </si>
  <si>
    <t>Long Term Debt</t>
  </si>
  <si>
    <t>Total Debt Outstanding</t>
  </si>
  <si>
    <t>Increase/Decease</t>
  </si>
  <si>
    <t>Interest Payment</t>
  </si>
  <si>
    <t>Ratio Analysis - Assumptions</t>
  </si>
  <si>
    <t>EBITDA</t>
  </si>
  <si>
    <t>Trend Analysis</t>
  </si>
  <si>
    <t>Solvency Ratios (Leverage Management Ratios)</t>
  </si>
  <si>
    <t>Total Debt / EBITDA (Incl. CPLTD)</t>
  </si>
  <si>
    <t>EBITDA / Interest Coverage Ratio</t>
  </si>
  <si>
    <t>EBIT / Interest Coverage Ratio</t>
  </si>
  <si>
    <t>Profitability Ratios</t>
  </si>
  <si>
    <t>Gross Margin %</t>
  </si>
  <si>
    <t>EBITDA Margin %</t>
  </si>
  <si>
    <t>EBIT Margin %</t>
  </si>
  <si>
    <t>5-year 
Average</t>
  </si>
  <si>
    <t>PARTICULARS</t>
  </si>
  <si>
    <t>Comments</t>
  </si>
  <si>
    <t>Ebitda Multiples</t>
  </si>
  <si>
    <t>transaction Comparative Analysis</t>
  </si>
  <si>
    <t>Merck=75% Johnson and Johnson= 69%  Pfizer=72% AbbVie Inc=69.99%</t>
  </si>
  <si>
    <t>merck= 31.03%  abbvie=15.44% Johnson Johnson= 23.69%</t>
  </si>
  <si>
    <t>METHOD #4 - Discount Cash Flow Valuation Analysis</t>
  </si>
  <si>
    <t>Calculating WACC</t>
  </si>
  <si>
    <t>Amount</t>
  </si>
  <si>
    <t xml:space="preserve"> % Cap</t>
  </si>
  <si>
    <t>Return/Inter</t>
  </si>
  <si>
    <t>After Tax</t>
  </si>
  <si>
    <t xml:space="preserve"> WACC</t>
  </si>
  <si>
    <t>Market Value of Equity (Trading)</t>
  </si>
  <si>
    <t>Total Debt</t>
  </si>
  <si>
    <t xml:space="preserve">  Total Capital</t>
  </si>
  <si>
    <t>Historical Market Premium =</t>
  </si>
  <si>
    <t>Company Beta =</t>
  </si>
  <si>
    <t>Historical Tax Rate =</t>
  </si>
  <si>
    <t xml:space="preserve">  year (n) =</t>
  </si>
  <si>
    <t>Discout Cash Flow Valuation Analysis</t>
  </si>
  <si>
    <t>Projected</t>
  </si>
  <si>
    <t>Input Actual</t>
  </si>
  <si>
    <t>EXIT YEAR</t>
  </si>
  <si>
    <t>Assumptions</t>
  </si>
  <si>
    <t>Revenues</t>
  </si>
  <si>
    <t xml:space="preserve">  Revenue Growth Assumptions</t>
  </si>
  <si>
    <t>Cost of Revenues (CoGS)</t>
  </si>
  <si>
    <t>Operating Expenses</t>
  </si>
  <si>
    <t xml:space="preserve"> EBIT</t>
  </si>
  <si>
    <t>Less Taxes / % of EBIT</t>
  </si>
  <si>
    <t>Plus Depreciation</t>
  </si>
  <si>
    <t xml:space="preserve">Less Capex </t>
  </si>
  <si>
    <t>Terminal Value</t>
  </si>
  <si>
    <t xml:space="preserve">  EBITDA Multiple Method</t>
  </si>
  <si>
    <t>(EBITDA x Market EBITDA Multiple)</t>
  </si>
  <si>
    <t xml:space="preserve">  Perpetuity Method </t>
  </si>
  <si>
    <t>Next Yr Cash Flow / (WACC - Next Yr Rev Growth)</t>
  </si>
  <si>
    <t>Less Debt Outstanding (at Exit)</t>
  </si>
  <si>
    <t>Plus Cash (at Exit)</t>
  </si>
  <si>
    <t>Equity Value at Terminal</t>
  </si>
  <si>
    <t>Equity Cash Flows</t>
  </si>
  <si>
    <t>x</t>
  </si>
  <si>
    <t>=</t>
  </si>
  <si>
    <t>PV (1) =</t>
  </si>
  <si>
    <t>PV (2) =</t>
  </si>
  <si>
    <t>PV (3) =</t>
  </si>
  <si>
    <t>PV (4) =</t>
  </si>
  <si>
    <t>PV (5) =</t>
  </si>
  <si>
    <t>PV=</t>
  </si>
  <si>
    <t>at Discount Rate using Average of Purchase Multiple and Perpetuity Method</t>
  </si>
  <si>
    <t>Enteprise Value =</t>
  </si>
  <si>
    <t>PV of Equity + PV of Debt</t>
  </si>
  <si>
    <t xml:space="preserve">PV of Equity = </t>
  </si>
  <si>
    <t xml:space="preserve">+ PV of Debt = </t>
  </si>
  <si>
    <t xml:space="preserve">- Less Cash  = </t>
  </si>
  <si>
    <t>5-year Treasury Note =</t>
  </si>
  <si>
    <t>DCF</t>
  </si>
  <si>
    <t>Pfizer's EV</t>
  </si>
  <si>
    <t>D&amp;A</t>
  </si>
  <si>
    <t>Working Capital</t>
  </si>
  <si>
    <t>net working capital</t>
  </si>
  <si>
    <t>Asset turnover ratio</t>
  </si>
  <si>
    <t>Change in net working capital</t>
  </si>
  <si>
    <t>Note 1</t>
  </si>
  <si>
    <t>Note 2</t>
  </si>
  <si>
    <t>Note 3</t>
  </si>
  <si>
    <t>Note 4</t>
  </si>
  <si>
    <t>Although taxes have been relatively low over the past five years due to reconciliation and adjustments noted in the 10-K, we expect taxation to increase over the next five years and return to a higher rate</t>
  </si>
  <si>
    <t>Revenue</t>
  </si>
  <si>
    <t>Revenue increase</t>
  </si>
  <si>
    <t xml:space="preserve">The EBITDA of the target companies is negative because they are still loss-making, often due to high R&amp;D expenses and low operating income. </t>
  </si>
  <si>
    <t>Since EV/EBITDA relies on a positive denominator, negative EBITDA produces meaningless multiples. For this reason, the transaction multiple analysis is not useful for our valuation, as it cannot provide a reliable benchmark.</t>
  </si>
  <si>
    <t>Note 5</t>
  </si>
  <si>
    <t>We believe that, since capital expenditures (CapEx) increased during the COVID period, we are now expecting to gradually decrease. Accordingly, we assume that Depreciation &amp; Amortization will also decline over time and stabilize at around 8.83% of revenues in the forecast period</t>
  </si>
  <si>
    <t>Note:</t>
  </si>
  <si>
    <t>Johnson &amp; Johnson, Pfizer, and Merck have all expanded during the past five years, despite data that was skewed toward COVID due to the vaccine revolution.  We think that sales will be increasing over the next five years compered to 2024 because those companies are maintaining strong capital expenditures even though they are below the COVID period. According to Bloomberg, 54% of analysts currently recommend buying Pfizer, while 40% suggest holding the stock.</t>
  </si>
  <si>
    <t>There has been a gradual increase in the revenues of Johnson &amp; Johnson and Merck, which are the competitors of Pfizer.</t>
  </si>
  <si>
    <t>. According to Bloomberg, 54% of analysts currently recommend buying Pfizer, while 40% suggest holding the stock.</t>
  </si>
  <si>
    <t>We think that sales will be increasing over the next five years compared to the year 2024 because those companies are maintaining strong capital expenditures even though they are below the COVID period</t>
  </si>
  <si>
    <t>Calculations</t>
  </si>
  <si>
    <t>Enterprise Value</t>
  </si>
  <si>
    <t>EV/ EBITDA</t>
  </si>
  <si>
    <t>Calculated</t>
  </si>
  <si>
    <t>1. Stock Price</t>
  </si>
  <si>
    <t>1. EV/ EBITDA</t>
  </si>
  <si>
    <t>2. LT Debt/ EBITDA</t>
  </si>
  <si>
    <t>LT Debt</t>
  </si>
  <si>
    <t>LT Debt/ EBITDA</t>
  </si>
  <si>
    <t xml:space="preserve">Linked </t>
  </si>
  <si>
    <t>Linked</t>
  </si>
  <si>
    <t>Question 2</t>
  </si>
  <si>
    <t>Calculation of EBITDA</t>
  </si>
  <si>
    <t>Average Peers</t>
  </si>
  <si>
    <t>Less: Operating Expenses</t>
  </si>
  <si>
    <t>Operating Profit</t>
  </si>
  <si>
    <t>Add: Depreciation</t>
  </si>
  <si>
    <t>Excl. Outlier (excluding High and Low and including Pfizer)</t>
  </si>
  <si>
    <t>Linked to the CashFlow Statement</t>
  </si>
  <si>
    <t>As per Bloomberg</t>
  </si>
  <si>
    <t xml:space="preserve">EBITDA </t>
  </si>
  <si>
    <t>Market Average Multiple</t>
  </si>
  <si>
    <t>Pfizer Multiple</t>
  </si>
  <si>
    <t>Acquisition Price taken into account Inflation</t>
  </si>
  <si>
    <t>Inflation Rate</t>
  </si>
  <si>
    <t>Debt</t>
  </si>
  <si>
    <t>Merck</t>
  </si>
  <si>
    <t>Astrazenica</t>
  </si>
  <si>
    <t>Eli Lilly</t>
  </si>
  <si>
    <t>Hospira</t>
  </si>
  <si>
    <t>Expected Market Return</t>
  </si>
  <si>
    <t>LT debt/ EBITDA</t>
  </si>
  <si>
    <t>Competitors</t>
  </si>
  <si>
    <t>Johnosn And Johnson</t>
  </si>
  <si>
    <t>Transaction Comparative Analysis</t>
  </si>
  <si>
    <t>Fed 2026 Growth rate</t>
  </si>
  <si>
    <t>Assumption increase</t>
  </si>
  <si>
    <t>Calculation</t>
  </si>
  <si>
    <t xml:space="preserve">Historical Market Premium </t>
  </si>
  <si>
    <t xml:space="preserve">Company Beta </t>
  </si>
  <si>
    <t xml:space="preserve">WACC </t>
  </si>
  <si>
    <t>Calculation of the cost of equity as per CAPM</t>
  </si>
  <si>
    <t>CAPM = Rf+(RM-RF)*Beta</t>
  </si>
  <si>
    <t>Given</t>
  </si>
  <si>
    <t>Reference</t>
  </si>
  <si>
    <t xml:space="preserve">10-year Treasury Note </t>
  </si>
  <si>
    <t>Growth Rate</t>
  </si>
  <si>
    <t>Calculation of Growth Rate:</t>
  </si>
  <si>
    <t>Notes</t>
  </si>
  <si>
    <t>Calculation of WACC</t>
  </si>
  <si>
    <t>Final Answer</t>
  </si>
  <si>
    <t xml:space="preserve">Less: Capex </t>
  </si>
  <si>
    <t>Calculated the adjusted average EV/EBITDA from the peer group</t>
  </si>
  <si>
    <t>Calculated the LT/ EBITDA ratio of the peers</t>
  </si>
  <si>
    <t>Past Acquisition of Pharma Industry</t>
  </si>
  <si>
    <t>WACC (Tax rate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</si>
</sst>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8" formatCode="&quot;$&quot;#,##0.00_);[Red]\(&quot;$&quot;#,##0.00\)"/>
    <numFmt numFmtId="44" formatCode="_(&quot;$&quot;* #,##0.00_);_(&quot;$&quot;* \(#,##0.00\);_(&quot;$&quot;* &quot;-&quot;??_);_(@_)"/>
    <numFmt numFmtId="43" formatCode="_(* #,##0.00_);_(* \(#,##0.00\);_(* &quot;-&quot;??_);_(@_)"/>
    <numFmt numFmtId="164" formatCode="_(* #,##0_);_(* \(#,##0\);_(* &quot;-&quot;??_);_(@_)"/>
    <numFmt numFmtId="165" formatCode="0.00\x"/>
    <numFmt numFmtId="166" formatCode="_([$$-409]* #,##0.00_);_([$$-409]* \(#,##0.00\);_([$$-409]* &quot;-&quot;??_);_(@_)"/>
    <numFmt numFmtId="167" formatCode="0.000%"/>
    <numFmt numFmtId="168" formatCode="0.0%"/>
    <numFmt numFmtId="169" formatCode="0.0\x"/>
    <numFmt numFmtId="170" formatCode="_(* #,##0.0000000_);_(* \(#,##0.0000000\);_(* &quot;-&quot;??_);_(@_)"/>
    <numFmt numFmtId="171" formatCode="0.0000\x"/>
  </numFmts>
  <fonts count="34" x14ac:knownFonts="1">
    <font>
      <sz val="10"/>
      <name val="Arial"/>
      <family val="2"/>
    </font>
    <font>
      <sz val="11"/>
      <color theme="1"/>
      <name val="Calibri"/>
      <family val="2"/>
      <scheme val="minor"/>
    </font>
    <font>
      <sz val="10"/>
      <name val="Arial"/>
      <family val="2"/>
    </font>
    <font>
      <b/>
      <sz val="10"/>
      <name val="Arial"/>
      <family val="2"/>
    </font>
    <font>
      <b/>
      <sz val="8"/>
      <name val="Times New Roman"/>
      <family val="1"/>
    </font>
    <font>
      <sz val="8"/>
      <name val="Arial"/>
      <family val="2"/>
    </font>
    <font>
      <b/>
      <sz val="8"/>
      <name val="Arial"/>
      <family val="2"/>
    </font>
    <font>
      <sz val="8"/>
      <color indexed="12"/>
      <name val="Arial"/>
      <family val="2"/>
    </font>
    <font>
      <sz val="8"/>
      <color rgb="FF232A31"/>
      <name val="Arial"/>
      <family val="2"/>
    </font>
    <font>
      <b/>
      <sz val="8"/>
      <color indexed="12"/>
      <name val="Arial"/>
      <family val="2"/>
    </font>
    <font>
      <b/>
      <sz val="11"/>
      <name val="Times New Roman"/>
      <family val="1"/>
    </font>
    <font>
      <u/>
      <sz val="10"/>
      <color theme="10"/>
      <name val="Arial"/>
      <family val="2"/>
    </font>
    <font>
      <b/>
      <sz val="16"/>
      <name val="Arial"/>
      <family val="2"/>
    </font>
    <font>
      <b/>
      <i/>
      <sz val="10"/>
      <name val="Arial"/>
      <family val="2"/>
    </font>
    <font>
      <b/>
      <u val="singleAccounting"/>
      <sz val="10"/>
      <name val="Arial"/>
      <family val="2"/>
    </font>
    <font>
      <sz val="10"/>
      <color indexed="12"/>
      <name val="Arial"/>
      <family val="2"/>
    </font>
    <font>
      <i/>
      <sz val="8"/>
      <name val="Arial"/>
      <family val="2"/>
    </font>
    <font>
      <b/>
      <sz val="10"/>
      <color indexed="48"/>
      <name val="Arial"/>
      <family val="2"/>
    </font>
    <font>
      <b/>
      <u/>
      <sz val="10"/>
      <name val="Arial"/>
      <family val="2"/>
    </font>
    <font>
      <b/>
      <sz val="8"/>
      <color theme="1"/>
      <name val="Times New Roman"/>
      <family val="1"/>
    </font>
    <font>
      <b/>
      <sz val="8"/>
      <color theme="1"/>
      <name val="Arial"/>
      <family val="2"/>
    </font>
    <font>
      <b/>
      <i/>
      <sz val="10"/>
      <color rgb="FF000000"/>
      <name val="Arial"/>
      <family val="2"/>
    </font>
    <font>
      <i/>
      <sz val="10"/>
      <color rgb="FF000000"/>
      <name val="Arial"/>
      <family val="2"/>
    </font>
    <font>
      <i/>
      <sz val="10"/>
      <color rgb="FFFF0000"/>
      <name val="Arial"/>
      <family val="2"/>
    </font>
    <font>
      <b/>
      <sz val="10"/>
      <color rgb="FFFFC000"/>
      <name val="Arial"/>
      <family val="2"/>
    </font>
    <font>
      <b/>
      <sz val="11"/>
      <name val="Arial"/>
      <family val="2"/>
    </font>
    <font>
      <sz val="11"/>
      <name val="Arial"/>
      <family val="2"/>
    </font>
    <font>
      <sz val="11"/>
      <color indexed="12"/>
      <name val="Arial"/>
      <family val="2"/>
    </font>
    <font>
      <sz val="11"/>
      <color theme="1"/>
      <name val="Arial"/>
      <family val="2"/>
    </font>
    <font>
      <i/>
      <sz val="11"/>
      <color rgb="FFFF0000"/>
      <name val="Arial"/>
      <family val="2"/>
    </font>
    <font>
      <i/>
      <sz val="10"/>
      <color rgb="FF000000"/>
      <name val="Segoe UI"/>
      <family val="2"/>
    </font>
    <font>
      <b/>
      <i/>
      <sz val="8"/>
      <name val="Arial"/>
      <family val="2"/>
    </font>
    <font>
      <b/>
      <i/>
      <sz val="10"/>
      <color rgb="FF000000"/>
      <name val="Segoe UI"/>
      <family val="2"/>
    </font>
    <font>
      <sz val="9"/>
      <color indexed="81"/>
      <name val="Tahoma"/>
      <family val="2"/>
    </font>
  </fonts>
  <fills count="1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indexed="43"/>
        <bgColor indexed="64"/>
      </patternFill>
    </fill>
    <fill>
      <patternFill patternType="solid">
        <fgColor indexed="22"/>
        <bgColor indexed="64"/>
      </patternFill>
    </fill>
    <fill>
      <patternFill patternType="solid">
        <fgColor indexed="42"/>
        <bgColor indexed="64"/>
      </patternFill>
    </fill>
    <fill>
      <patternFill patternType="solid">
        <fgColor rgb="FFFFFF00"/>
        <bgColor indexed="64"/>
      </patternFill>
    </fill>
    <fill>
      <patternFill patternType="solid">
        <fgColor rgb="FFFFFFFF"/>
        <bgColor indexed="64"/>
      </patternFill>
    </fill>
    <fill>
      <patternFill patternType="solid">
        <fgColor rgb="FFFF0000"/>
        <bgColor indexed="64"/>
      </patternFill>
    </fill>
    <fill>
      <patternFill patternType="solid">
        <fgColor indexed="13"/>
        <bgColor indexed="64"/>
      </patternFill>
    </fill>
    <fill>
      <patternFill patternType="solid">
        <fgColor indexed="11"/>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79998168889431442"/>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auto="1"/>
      </left>
      <right style="thin">
        <color auto="1"/>
      </right>
      <top style="thin">
        <color auto="1"/>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style="thin">
        <color indexed="64"/>
      </top>
      <bottom style="double">
        <color indexed="64"/>
      </bottom>
      <diagonal/>
    </border>
    <border>
      <left style="thin">
        <color indexed="64"/>
      </left>
      <right style="thin">
        <color indexed="64"/>
      </right>
      <top/>
      <bottom style="double">
        <color indexed="64"/>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rgb="FF000000"/>
      </top>
      <bottom/>
      <diagonal/>
    </border>
  </borders>
  <cellStyleXfs count="6">
    <xf numFmtId="0" fontId="0" fillId="0" borderId="0"/>
    <xf numFmtId="43" fontId="2"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1" fillId="0" borderId="0" applyNumberFormat="0" applyFill="0" applyBorder="0" applyAlignment="0" applyProtection="0"/>
    <xf numFmtId="9" fontId="2" fillId="0" borderId="0" applyFont="0" applyFill="0" applyBorder="0" applyAlignment="0" applyProtection="0"/>
  </cellStyleXfs>
  <cellXfs count="480">
    <xf numFmtId="0" fontId="0" fillId="0" borderId="0" xfId="0"/>
    <xf numFmtId="0" fontId="3" fillId="0" borderId="0" xfId="0" applyFont="1"/>
    <xf numFmtId="0" fontId="3" fillId="2" borderId="1" xfId="0" applyFont="1" applyFill="1" applyBorder="1"/>
    <xf numFmtId="0" fontId="3" fillId="2" borderId="2" xfId="0" applyFont="1" applyFill="1" applyBorder="1"/>
    <xf numFmtId="0" fontId="2" fillId="0" borderId="3" xfId="0" applyFont="1" applyBorder="1"/>
    <xf numFmtId="0" fontId="0" fillId="0" borderId="4" xfId="0" applyBorder="1"/>
    <xf numFmtId="0" fontId="0" fillId="0" borderId="5" xfId="0" applyBorder="1"/>
    <xf numFmtId="0" fontId="0" fillId="0" borderId="3" xfId="0" applyBorder="1"/>
    <xf numFmtId="3" fontId="0" fillId="0" borderId="4" xfId="0" applyNumberFormat="1" applyBorder="1"/>
    <xf numFmtId="164" fontId="0" fillId="0" borderId="4" xfId="1" applyNumberFormat="1" applyFont="1" applyBorder="1"/>
    <xf numFmtId="3" fontId="3" fillId="0" borderId="4" xfId="0" applyNumberFormat="1" applyFont="1" applyBorder="1"/>
    <xf numFmtId="164" fontId="3" fillId="0" borderId="4" xfId="1" applyNumberFormat="1" applyFont="1" applyBorder="1"/>
    <xf numFmtId="164" fontId="3" fillId="0" borderId="5" xfId="1" applyNumberFormat="1" applyFont="1" applyBorder="1"/>
    <xf numFmtId="3" fontId="0" fillId="0" borderId="0" xfId="0" applyNumberFormat="1"/>
    <xf numFmtId="3" fontId="0" fillId="3" borderId="4" xfId="0" applyNumberFormat="1" applyFill="1" applyBorder="1"/>
    <xf numFmtId="3" fontId="0" fillId="0" borderId="5" xfId="0" applyNumberFormat="1" applyBorder="1"/>
    <xf numFmtId="0" fontId="3" fillId="0" borderId="3" xfId="0" applyFont="1" applyBorder="1"/>
    <xf numFmtId="3" fontId="3" fillId="0" borderId="5" xfId="0" applyNumberFormat="1" applyFont="1" applyBorder="1"/>
    <xf numFmtId="3" fontId="3" fillId="0" borderId="0" xfId="0" applyNumberFormat="1" applyFont="1"/>
    <xf numFmtId="3" fontId="3" fillId="2" borderId="1" xfId="0" applyNumberFormat="1" applyFont="1" applyFill="1" applyBorder="1"/>
    <xf numFmtId="164" fontId="3" fillId="2" borderId="1" xfId="1" applyNumberFormat="1" applyFont="1" applyFill="1" applyBorder="1"/>
    <xf numFmtId="3" fontId="3" fillId="2" borderId="2" xfId="0" applyNumberFormat="1" applyFont="1" applyFill="1" applyBorder="1"/>
    <xf numFmtId="0" fontId="0" fillId="0" borderId="6" xfId="0" applyBorder="1"/>
    <xf numFmtId="3" fontId="3" fillId="0" borderId="7" xfId="0" applyNumberFormat="1" applyFont="1" applyBorder="1"/>
    <xf numFmtId="164" fontId="3" fillId="0" borderId="7" xfId="1" applyNumberFormat="1" applyFont="1" applyBorder="1"/>
    <xf numFmtId="0" fontId="3" fillId="0" borderId="0" xfId="0" applyFont="1" applyAlignment="1">
      <alignment horizontal="left"/>
    </xf>
    <xf numFmtId="0" fontId="0" fillId="0" borderId="0" xfId="0" applyAlignment="1">
      <alignment vertical="top"/>
    </xf>
    <xf numFmtId="0" fontId="2" fillId="0" borderId="4" xfId="0" applyFont="1" applyBorder="1"/>
    <xf numFmtId="0" fontId="0" fillId="0" borderId="8" xfId="0" applyBorder="1"/>
    <xf numFmtId="37" fontId="0" fillId="0" borderId="0" xfId="0" applyNumberFormat="1" applyAlignment="1">
      <alignment vertical="top"/>
    </xf>
    <xf numFmtId="0" fontId="3" fillId="0" borderId="4" xfId="0" applyFont="1" applyBorder="1"/>
    <xf numFmtId="0" fontId="0" fillId="0" borderId="9" xfId="0" applyBorder="1"/>
    <xf numFmtId="0" fontId="3" fillId="0" borderId="1" xfId="0" applyFont="1" applyBorder="1"/>
    <xf numFmtId="164" fontId="3" fillId="0" borderId="1" xfId="1" applyNumberFormat="1" applyFont="1" applyBorder="1"/>
    <xf numFmtId="3" fontId="3" fillId="0" borderId="1" xfId="0" applyNumberFormat="1" applyFont="1" applyBorder="1"/>
    <xf numFmtId="164" fontId="0" fillId="0" borderId="0" xfId="1" applyNumberFormat="1" applyFont="1"/>
    <xf numFmtId="164" fontId="3" fillId="0" borderId="0" xfId="0" applyNumberFormat="1" applyFont="1"/>
    <xf numFmtId="0" fontId="3" fillId="4" borderId="10" xfId="0" applyFont="1" applyFill="1" applyBorder="1"/>
    <xf numFmtId="0" fontId="3" fillId="4" borderId="11" xfId="0" applyFont="1" applyFill="1" applyBorder="1"/>
    <xf numFmtId="0" fontId="3" fillId="4" borderId="11" xfId="0" applyFont="1" applyFill="1" applyBorder="1" applyAlignment="1">
      <alignment horizontal="center" wrapText="1"/>
    </xf>
    <xf numFmtId="0" fontId="3" fillId="4" borderId="12" xfId="0" applyFont="1" applyFill="1" applyBorder="1" applyAlignment="1">
      <alignment horizontal="center" wrapText="1"/>
    </xf>
    <xf numFmtId="0" fontId="3" fillId="4" borderId="13" xfId="0" applyFont="1" applyFill="1" applyBorder="1" applyAlignment="1">
      <alignment horizontal="center" wrapText="1"/>
    </xf>
    <xf numFmtId="0" fontId="3" fillId="4" borderId="14" xfId="0" applyFont="1" applyFill="1" applyBorder="1" applyAlignment="1">
      <alignment horizontal="center" wrapText="1"/>
    </xf>
    <xf numFmtId="0" fontId="3" fillId="5" borderId="15" xfId="0" applyFont="1" applyFill="1" applyBorder="1" applyAlignment="1">
      <alignment horizontal="center" wrapText="1"/>
    </xf>
    <xf numFmtId="0" fontId="4" fillId="0" borderId="18" xfId="0" applyFont="1" applyBorder="1" applyAlignment="1">
      <alignment horizontal="left" vertical="center" wrapText="1"/>
    </xf>
    <xf numFmtId="0" fontId="0" fillId="0" borderId="20" xfId="0" applyBorder="1"/>
    <xf numFmtId="0" fontId="3" fillId="4" borderId="1" xfId="0" applyFont="1" applyFill="1" applyBorder="1" applyAlignment="1">
      <alignment horizontal="center"/>
    </xf>
    <xf numFmtId="0" fontId="3" fillId="4" borderId="1" xfId="0" applyFont="1" applyFill="1" applyBorder="1" applyAlignment="1">
      <alignment horizontal="center" wrapText="1"/>
    </xf>
    <xf numFmtId="0" fontId="3" fillId="5" borderId="1" xfId="0" applyFont="1" applyFill="1" applyBorder="1" applyAlignment="1">
      <alignment horizontal="center" wrapText="1"/>
    </xf>
    <xf numFmtId="0" fontId="3" fillId="5" borderId="1" xfId="0" applyFont="1" applyFill="1" applyBorder="1" applyAlignment="1">
      <alignment wrapText="1"/>
    </xf>
    <xf numFmtId="0" fontId="4" fillId="0" borderId="1" xfId="0" applyFont="1" applyBorder="1" applyAlignment="1">
      <alignment horizontal="left" vertical="center" wrapText="1"/>
    </xf>
    <xf numFmtId="44" fontId="5" fillId="6" borderId="1" xfId="2" applyFont="1" applyFill="1" applyBorder="1"/>
    <xf numFmtId="43" fontId="7" fillId="0" borderId="1" xfId="1" applyFont="1" applyBorder="1"/>
    <xf numFmtId="164" fontId="5" fillId="0" borderId="1" xfId="1" applyNumberFormat="1" applyFont="1" applyBorder="1"/>
    <xf numFmtId="164" fontId="6" fillId="5" borderId="1" xfId="1" applyNumberFormat="1" applyFont="1" applyFill="1" applyBorder="1"/>
    <xf numFmtId="165" fontId="6" fillId="5" borderId="1" xfId="1" applyNumberFormat="1" applyFont="1" applyFill="1" applyBorder="1"/>
    <xf numFmtId="0" fontId="0" fillId="0" borderId="1" xfId="0" applyBorder="1"/>
    <xf numFmtId="164" fontId="7" fillId="0" borderId="1" xfId="1" applyNumberFormat="1" applyFont="1" applyBorder="1"/>
    <xf numFmtId="0" fontId="3" fillId="2" borderId="1" xfId="0" applyFont="1" applyFill="1" applyBorder="1" applyAlignment="1">
      <alignment horizontal="center" vertical="top"/>
    </xf>
    <xf numFmtId="0" fontId="3" fillId="0" borderId="4" xfId="0" applyFont="1" applyBorder="1" applyAlignment="1">
      <alignment vertical="top"/>
    </xf>
    <xf numFmtId="164" fontId="3" fillId="0" borderId="4" xfId="1" applyNumberFormat="1" applyFont="1" applyBorder="1" applyAlignment="1">
      <alignment vertical="top"/>
    </xf>
    <xf numFmtId="0" fontId="2" fillId="0" borderId="4" xfId="0" applyFont="1" applyBorder="1" applyAlignment="1">
      <alignment vertical="top" wrapText="1"/>
    </xf>
    <xf numFmtId="0" fontId="0" fillId="0" borderId="4" xfId="0" applyBorder="1" applyAlignment="1">
      <alignment vertical="top"/>
    </xf>
    <xf numFmtId="164" fontId="0" fillId="0" borderId="4" xfId="1" applyNumberFormat="1" applyFont="1" applyBorder="1" applyAlignment="1">
      <alignment vertical="top"/>
    </xf>
    <xf numFmtId="164" fontId="2" fillId="0" borderId="4" xfId="1" applyNumberFormat="1" applyFont="1" applyBorder="1"/>
    <xf numFmtId="0" fontId="0" fillId="0" borderId="16" xfId="0" applyBorder="1"/>
    <xf numFmtId="164" fontId="0" fillId="0" borderId="16" xfId="1" applyNumberFormat="1" applyFont="1" applyBorder="1"/>
    <xf numFmtId="164" fontId="0" fillId="0" borderId="0" xfId="0" applyNumberFormat="1"/>
    <xf numFmtId="0" fontId="0" fillId="0" borderId="0" xfId="0" applyAlignment="1">
      <alignment wrapText="1"/>
    </xf>
    <xf numFmtId="0" fontId="10" fillId="4" borderId="22" xfId="0" applyFont="1" applyFill="1" applyBorder="1" applyAlignment="1">
      <alignment horizontal="left" vertical="center" wrapText="1"/>
    </xf>
    <xf numFmtId="164" fontId="3" fillId="4" borderId="14" xfId="0" applyNumberFormat="1" applyFont="1" applyFill="1" applyBorder="1"/>
    <xf numFmtId="44" fontId="0" fillId="0" borderId="1" xfId="2" applyFont="1" applyBorder="1" applyAlignment="1">
      <alignment vertical="center"/>
    </xf>
    <xf numFmtId="9" fontId="0" fillId="0" borderId="0" xfId="0" applyNumberFormat="1"/>
    <xf numFmtId="0" fontId="12" fillId="0" borderId="0" xfId="0" applyFont="1"/>
    <xf numFmtId="0" fontId="3" fillId="0" borderId="20" xfId="0" applyFont="1" applyBorder="1"/>
    <xf numFmtId="0" fontId="3" fillId="0" borderId="0" xfId="0" applyFont="1" applyAlignment="1">
      <alignment horizontal="center" wrapText="1"/>
    </xf>
    <xf numFmtId="15" fontId="3" fillId="0" borderId="0" xfId="0" applyNumberFormat="1" applyFont="1" applyAlignment="1">
      <alignment horizontal="right" wrapText="1"/>
    </xf>
    <xf numFmtId="164" fontId="3" fillId="0" borderId="0" xfId="1" applyNumberFormat="1" applyFont="1" applyAlignment="1">
      <alignment horizontal="right" wrapText="1"/>
    </xf>
    <xf numFmtId="0" fontId="3" fillId="0" borderId="0" xfId="0" applyFont="1" applyAlignment="1">
      <alignment horizontal="center" vertical="top" wrapText="1"/>
    </xf>
    <xf numFmtId="0" fontId="3" fillId="11" borderId="22" xfId="0" applyFont="1" applyFill="1" applyBorder="1" applyAlignment="1">
      <alignment horizontal="center" vertical="top" wrapText="1"/>
    </xf>
    <xf numFmtId="0" fontId="3" fillId="11" borderId="14" xfId="0" applyFont="1" applyFill="1" applyBorder="1" applyAlignment="1">
      <alignment horizontal="center" vertical="top" wrapText="1"/>
    </xf>
    <xf numFmtId="164" fontId="3" fillId="0" borderId="4" xfId="1" applyNumberFormat="1" applyFont="1" applyBorder="1" applyAlignment="1">
      <alignment wrapText="1"/>
    </xf>
    <xf numFmtId="164" fontId="13" fillId="0" borderId="4" xfId="1" applyNumberFormat="1" applyFont="1" applyBorder="1" applyAlignment="1">
      <alignment wrapText="1"/>
    </xf>
    <xf numFmtId="164" fontId="14" fillId="0" borderId="4" xfId="1" applyNumberFormat="1" applyFont="1" applyBorder="1" applyAlignment="1">
      <alignment wrapText="1"/>
    </xf>
    <xf numFmtId="0" fontId="3" fillId="10" borderId="11" xfId="0" applyFont="1" applyFill="1" applyBorder="1" applyAlignment="1">
      <alignment horizontal="right" vertical="top" wrapText="1"/>
    </xf>
    <xf numFmtId="164" fontId="0" fillId="0" borderId="4" xfId="1" applyNumberFormat="1" applyFont="1" applyBorder="1" applyAlignment="1">
      <alignment wrapText="1"/>
    </xf>
    <xf numFmtId="164" fontId="0" fillId="0" borderId="34" xfId="1" applyNumberFormat="1" applyFont="1" applyBorder="1" applyAlignment="1">
      <alignment wrapText="1"/>
    </xf>
    <xf numFmtId="0" fontId="3" fillId="2" borderId="32" xfId="0" applyFont="1" applyFill="1" applyBorder="1" applyAlignment="1">
      <alignment horizontal="center" vertical="top" wrapText="1"/>
    </xf>
    <xf numFmtId="0" fontId="3" fillId="4" borderId="18" xfId="0" applyFont="1" applyFill="1" applyBorder="1"/>
    <xf numFmtId="0" fontId="3" fillId="4" borderId="36" xfId="0" applyFont="1" applyFill="1" applyBorder="1" applyAlignment="1">
      <alignment horizontal="center" wrapText="1"/>
    </xf>
    <xf numFmtId="0" fontId="8" fillId="8" borderId="36" xfId="0" applyFont="1" applyFill="1" applyBorder="1" applyAlignment="1">
      <alignment horizontal="right" vertical="center"/>
    </xf>
    <xf numFmtId="0" fontId="0" fillId="0" borderId="18" xfId="0" applyBorder="1"/>
    <xf numFmtId="165" fontId="9" fillId="5" borderId="36" xfId="1" applyNumberFormat="1" applyFont="1" applyFill="1" applyBorder="1"/>
    <xf numFmtId="0" fontId="0" fillId="0" borderId="18" xfId="0" applyBorder="1" applyAlignment="1">
      <alignment vertical="center" wrapText="1"/>
    </xf>
    <xf numFmtId="0" fontId="0" fillId="0" borderId="37" xfId="0" applyBorder="1"/>
    <xf numFmtId="0" fontId="0" fillId="0" borderId="32" xfId="0" applyBorder="1"/>
    <xf numFmtId="44" fontId="5" fillId="6" borderId="32" xfId="2" applyFont="1" applyFill="1" applyBorder="1"/>
    <xf numFmtId="164" fontId="7" fillId="0" borderId="32" xfId="1" applyNumberFormat="1" applyFont="1" applyBorder="1"/>
    <xf numFmtId="164" fontId="5" fillId="0" borderId="32" xfId="1" applyNumberFormat="1" applyFont="1" applyBorder="1"/>
    <xf numFmtId="164" fontId="6" fillId="5" borderId="32" xfId="1" applyNumberFormat="1" applyFont="1" applyFill="1" applyBorder="1"/>
    <xf numFmtId="165" fontId="6" fillId="5" borderId="32" xfId="1" applyNumberFormat="1" applyFont="1" applyFill="1" applyBorder="1"/>
    <xf numFmtId="165" fontId="9" fillId="5" borderId="38" xfId="1" applyNumberFormat="1" applyFont="1" applyFill="1" applyBorder="1"/>
    <xf numFmtId="0" fontId="3" fillId="2" borderId="1" xfId="0" applyFont="1" applyFill="1" applyBorder="1" applyAlignment="1">
      <alignment horizontal="center" vertical="top" wrapText="1"/>
    </xf>
    <xf numFmtId="0" fontId="4" fillId="0" borderId="37" xfId="0" applyFont="1" applyBorder="1" applyAlignment="1">
      <alignment horizontal="left" vertical="center" wrapText="1"/>
    </xf>
    <xf numFmtId="44" fontId="5" fillId="0" borderId="32" xfId="2" applyFont="1" applyFill="1" applyBorder="1"/>
    <xf numFmtId="44" fontId="5" fillId="6" borderId="32" xfId="2" applyFont="1" applyFill="1" applyBorder="1" applyAlignment="1">
      <alignment horizontal="center"/>
    </xf>
    <xf numFmtId="43" fontId="5" fillId="6" borderId="32" xfId="1" applyFont="1" applyFill="1" applyBorder="1"/>
    <xf numFmtId="164" fontId="5" fillId="0" borderId="7" xfId="1" applyNumberFormat="1" applyFont="1" applyBorder="1"/>
    <xf numFmtId="164" fontId="5" fillId="0" borderId="39" xfId="1" applyNumberFormat="1" applyFont="1" applyFill="1" applyBorder="1"/>
    <xf numFmtId="164" fontId="5" fillId="0" borderId="40" xfId="1" applyNumberFormat="1" applyFont="1" applyFill="1" applyBorder="1"/>
    <xf numFmtId="164" fontId="6" fillId="5" borderId="41" xfId="1" applyNumberFormat="1" applyFont="1" applyFill="1" applyBorder="1"/>
    <xf numFmtId="0" fontId="0" fillId="0" borderId="1" xfId="0" applyBorder="1" applyAlignment="1">
      <alignment vertical="center"/>
    </xf>
    <xf numFmtId="14" fontId="0" fillId="0" borderId="1" xfId="0" applyNumberFormat="1" applyBorder="1" applyAlignment="1">
      <alignment horizontal="left" vertical="center" wrapText="1"/>
    </xf>
    <xf numFmtId="166" fontId="0" fillId="0" borderId="1" xfId="0" applyNumberFormat="1" applyBorder="1" applyAlignment="1">
      <alignment vertical="center"/>
    </xf>
    <xf numFmtId="44" fontId="0" fillId="0" borderId="1" xfId="0" applyNumberFormat="1" applyBorder="1" applyAlignment="1">
      <alignment vertical="center"/>
    </xf>
    <xf numFmtId="44" fontId="0" fillId="0" borderId="16" xfId="0" applyNumberFormat="1" applyBorder="1" applyAlignment="1">
      <alignment vertical="center"/>
    </xf>
    <xf numFmtId="14" fontId="0" fillId="0" borderId="18" xfId="0" applyNumberFormat="1" applyBorder="1" applyAlignment="1">
      <alignment horizontal="left"/>
    </xf>
    <xf numFmtId="165" fontId="0" fillId="0" borderId="36" xfId="0" applyNumberFormat="1" applyBorder="1" applyAlignment="1">
      <alignment vertical="center"/>
    </xf>
    <xf numFmtId="0" fontId="0" fillId="0" borderId="28" xfId="0" applyBorder="1"/>
    <xf numFmtId="0" fontId="11" fillId="0" borderId="0" xfId="4" applyBorder="1"/>
    <xf numFmtId="0" fontId="3" fillId="0" borderId="28" xfId="0" applyFont="1" applyBorder="1"/>
    <xf numFmtId="164" fontId="0" fillId="0" borderId="0" xfId="1" applyNumberFormat="1" applyFont="1" applyBorder="1"/>
    <xf numFmtId="165" fontId="5" fillId="0" borderId="0" xfId="0" applyNumberFormat="1" applyFont="1"/>
    <xf numFmtId="165" fontId="6" fillId="0" borderId="0" xfId="0" applyNumberFormat="1" applyFont="1"/>
    <xf numFmtId="165" fontId="6" fillId="0" borderId="5" xfId="0" applyNumberFormat="1" applyFont="1" applyBorder="1"/>
    <xf numFmtId="0" fontId="0" fillId="0" borderId="21" xfId="0" applyBorder="1"/>
    <xf numFmtId="0" fontId="3" fillId="0" borderId="19" xfId="0" applyFont="1" applyBorder="1"/>
    <xf numFmtId="0" fontId="3" fillId="2" borderId="1" xfId="0" applyFont="1" applyFill="1" applyBorder="1" applyAlignment="1">
      <alignment vertical="top" wrapText="1"/>
    </xf>
    <xf numFmtId="164" fontId="0" fillId="0" borderId="16" xfId="1" applyNumberFormat="1" applyFont="1" applyBorder="1" applyAlignment="1">
      <alignment wrapText="1"/>
    </xf>
    <xf numFmtId="164" fontId="0" fillId="0" borderId="0" xfId="1" applyNumberFormat="1" applyFont="1" applyBorder="1" applyAlignment="1">
      <alignment horizontal="right" wrapText="1"/>
    </xf>
    <xf numFmtId="164" fontId="0" fillId="0" borderId="0" xfId="1" applyNumberFormat="1" applyFont="1" applyAlignment="1">
      <alignment wrapText="1"/>
    </xf>
    <xf numFmtId="164" fontId="0" fillId="0" borderId="0" xfId="1" applyNumberFormat="1" applyFont="1" applyAlignment="1">
      <alignment horizontal="right" wrapText="1"/>
    </xf>
    <xf numFmtId="10" fontId="0" fillId="0" borderId="0" xfId="5" applyNumberFormat="1" applyFont="1"/>
    <xf numFmtId="10" fontId="0" fillId="0" borderId="0" xfId="5" applyNumberFormat="1" applyFont="1" applyAlignment="1">
      <alignment horizontal="right" wrapText="1"/>
    </xf>
    <xf numFmtId="165" fontId="0" fillId="0" borderId="0" xfId="1" applyNumberFormat="1" applyFont="1" applyAlignment="1">
      <alignment horizontal="right" wrapText="1"/>
    </xf>
    <xf numFmtId="0" fontId="3" fillId="0" borderId="20" xfId="0" applyFont="1" applyBorder="1" applyAlignment="1">
      <alignment horizontal="center" wrapText="1"/>
    </xf>
    <xf numFmtId="164" fontId="3" fillId="0" borderId="5" xfId="1" applyNumberFormat="1" applyFont="1" applyBorder="1" applyAlignment="1">
      <alignment horizontal="right" wrapText="1"/>
    </xf>
    <xf numFmtId="164" fontId="3" fillId="0" borderId="4" xfId="1" applyNumberFormat="1" applyFont="1" applyBorder="1" applyAlignment="1">
      <alignment horizontal="right" wrapText="1"/>
    </xf>
    <xf numFmtId="164" fontId="0" fillId="0" borderId="5" xfId="1" applyNumberFormat="1" applyFont="1" applyBorder="1" applyAlignment="1">
      <alignment horizontal="right" wrapText="1"/>
    </xf>
    <xf numFmtId="164" fontId="0" fillId="0" borderId="16" xfId="1" applyNumberFormat="1" applyFont="1" applyBorder="1" applyAlignment="1">
      <alignment horizontal="right" wrapText="1"/>
    </xf>
    <xf numFmtId="164" fontId="0" fillId="0" borderId="5" xfId="1" applyNumberFormat="1" applyFont="1" applyBorder="1" applyAlignment="1">
      <alignment wrapText="1"/>
    </xf>
    <xf numFmtId="164" fontId="0" fillId="0" borderId="4" xfId="1" applyNumberFormat="1" applyFont="1" applyBorder="1" applyAlignment="1">
      <alignment horizontal="right" wrapText="1"/>
    </xf>
    <xf numFmtId="164" fontId="0" fillId="0" borderId="28" xfId="1" applyNumberFormat="1" applyFont="1" applyBorder="1" applyAlignment="1">
      <alignment horizontal="right" wrapText="1"/>
    </xf>
    <xf numFmtId="164" fontId="15" fillId="0" borderId="28" xfId="1" applyNumberFormat="1" applyFont="1" applyBorder="1" applyAlignment="1">
      <alignment horizontal="right" wrapText="1"/>
    </xf>
    <xf numFmtId="164" fontId="0" fillId="0" borderId="28" xfId="1" applyNumberFormat="1" applyFont="1" applyBorder="1" applyAlignment="1">
      <alignment wrapText="1"/>
    </xf>
    <xf numFmtId="10" fontId="0" fillId="0" borderId="28" xfId="5" applyNumberFormat="1" applyFont="1" applyBorder="1" applyAlignment="1">
      <alignment wrapText="1"/>
    </xf>
    <xf numFmtId="10" fontId="0" fillId="0" borderId="5" xfId="5" applyNumberFormat="1" applyFont="1" applyBorder="1"/>
    <xf numFmtId="10" fontId="0" fillId="0" borderId="4" xfId="5" applyNumberFormat="1" applyFont="1" applyBorder="1" applyAlignment="1">
      <alignment wrapText="1"/>
    </xf>
    <xf numFmtId="10" fontId="0" fillId="0" borderId="28" xfId="5" applyNumberFormat="1" applyFont="1" applyBorder="1" applyAlignment="1">
      <alignment horizontal="right" wrapText="1"/>
    </xf>
    <xf numFmtId="10" fontId="15" fillId="0" borderId="5" xfId="5" applyNumberFormat="1" applyFont="1" applyBorder="1" applyAlignment="1">
      <alignment horizontal="right"/>
    </xf>
    <xf numFmtId="10" fontId="0" fillId="0" borderId="4" xfId="5" applyNumberFormat="1" applyFont="1" applyBorder="1" applyAlignment="1">
      <alignment horizontal="right" wrapText="1"/>
    </xf>
    <xf numFmtId="10" fontId="15" fillId="0" borderId="5" xfId="5" applyNumberFormat="1" applyFont="1" applyBorder="1"/>
    <xf numFmtId="9" fontId="0" fillId="0" borderId="4" xfId="5" applyFont="1" applyBorder="1" applyAlignment="1">
      <alignment horizontal="right" wrapText="1"/>
    </xf>
    <xf numFmtId="10" fontId="15" fillId="0" borderId="5" xfId="5" applyNumberFormat="1" applyFont="1" applyBorder="1" applyAlignment="1">
      <alignment horizontal="right" wrapText="1"/>
    </xf>
    <xf numFmtId="10" fontId="15" fillId="0" borderId="28" xfId="5" applyNumberFormat="1" applyFont="1" applyBorder="1" applyAlignment="1">
      <alignment horizontal="right" wrapText="1"/>
    </xf>
    <xf numFmtId="10" fontId="0" fillId="0" borderId="5" xfId="5" applyNumberFormat="1" applyFont="1" applyBorder="1" applyAlignment="1">
      <alignment horizontal="right" wrapText="1"/>
    </xf>
    <xf numFmtId="10" fontId="15" fillId="0" borderId="4" xfId="5" applyNumberFormat="1" applyFont="1" applyBorder="1" applyAlignment="1">
      <alignment horizontal="right" wrapText="1"/>
    </xf>
    <xf numFmtId="164" fontId="15" fillId="0" borderId="28" xfId="1" applyNumberFormat="1" applyFont="1" applyBorder="1"/>
    <xf numFmtId="164" fontId="0" fillId="0" borderId="33" xfId="1" applyNumberFormat="1" applyFont="1" applyBorder="1" applyAlignment="1">
      <alignment horizontal="right" wrapText="1"/>
    </xf>
    <xf numFmtId="167" fontId="0" fillId="0" borderId="28" xfId="5" applyNumberFormat="1" applyFont="1" applyBorder="1" applyAlignment="1">
      <alignment horizontal="right" wrapText="1"/>
    </xf>
    <xf numFmtId="164" fontId="0" fillId="0" borderId="28" xfId="1" applyNumberFormat="1" applyFont="1" applyBorder="1"/>
    <xf numFmtId="164" fontId="0" fillId="0" borderId="5" xfId="1" applyNumberFormat="1" applyFont="1" applyBorder="1"/>
    <xf numFmtId="168" fontId="0" fillId="0" borderId="4" xfId="5" applyNumberFormat="1" applyFont="1" applyBorder="1" applyAlignment="1">
      <alignment wrapText="1"/>
    </xf>
    <xf numFmtId="165" fontId="0" fillId="0" borderId="4" xfId="1" applyNumberFormat="1" applyFont="1" applyBorder="1" applyAlignment="1">
      <alignment horizontal="right" wrapText="1"/>
    </xf>
    <xf numFmtId="165" fontId="0" fillId="0" borderId="28" xfId="1" applyNumberFormat="1" applyFont="1" applyBorder="1" applyAlignment="1">
      <alignment horizontal="right" wrapText="1"/>
    </xf>
    <xf numFmtId="165" fontId="0" fillId="0" borderId="5" xfId="1" applyNumberFormat="1" applyFont="1" applyBorder="1" applyAlignment="1">
      <alignment horizontal="right" wrapText="1"/>
    </xf>
    <xf numFmtId="10" fontId="0" fillId="0" borderId="16" xfId="5" applyNumberFormat="1" applyFont="1" applyBorder="1" applyAlignment="1">
      <alignment horizontal="right" wrapText="1"/>
    </xf>
    <xf numFmtId="164" fontId="0" fillId="0" borderId="19" xfId="1" applyNumberFormat="1" applyFont="1" applyBorder="1" applyAlignment="1">
      <alignment horizontal="right" wrapText="1"/>
    </xf>
    <xf numFmtId="164" fontId="0" fillId="0" borderId="21" xfId="1" applyNumberFormat="1" applyFont="1" applyBorder="1" applyAlignment="1">
      <alignment horizontal="right" wrapText="1"/>
    </xf>
    <xf numFmtId="0" fontId="0" fillId="0" borderId="27" xfId="0" applyBorder="1"/>
    <xf numFmtId="10" fontId="0" fillId="0" borderId="0" xfId="0" applyNumberFormat="1"/>
    <xf numFmtId="165" fontId="0" fillId="0" borderId="0" xfId="1" applyNumberFormat="1" applyFont="1"/>
    <xf numFmtId="0" fontId="16" fillId="0" borderId="0" xfId="0" applyFont="1" applyAlignment="1">
      <alignment horizontal="right"/>
    </xf>
    <xf numFmtId="0" fontId="16" fillId="0" borderId="0" xfId="0" applyFont="1" applyAlignment="1">
      <alignment horizontal="center"/>
    </xf>
    <xf numFmtId="0" fontId="3" fillId="4" borderId="0" xfId="0" applyFont="1" applyFill="1" applyAlignment="1">
      <alignment horizontal="center"/>
    </xf>
    <xf numFmtId="0" fontId="3" fillId="4" borderId="47" xfId="0" applyFont="1" applyFill="1" applyBorder="1" applyAlignment="1">
      <alignment horizontal="center"/>
    </xf>
    <xf numFmtId="164" fontId="0" fillId="0" borderId="25" xfId="1" applyNumberFormat="1" applyFont="1" applyBorder="1"/>
    <xf numFmtId="168" fontId="0" fillId="0" borderId="0" xfId="0" applyNumberFormat="1"/>
    <xf numFmtId="168" fontId="5" fillId="0" borderId="0" xfId="3" applyNumberFormat="1" applyFont="1"/>
    <xf numFmtId="9" fontId="0" fillId="0" borderId="0" xfId="0" applyNumberFormat="1" applyAlignment="1">
      <alignment shrinkToFit="1"/>
    </xf>
    <xf numFmtId="168" fontId="5" fillId="0" borderId="25" xfId="3" applyNumberFormat="1" applyFont="1" applyBorder="1"/>
    <xf numFmtId="168" fontId="15" fillId="0" borderId="0" xfId="0" applyNumberFormat="1" applyFont="1"/>
    <xf numFmtId="164" fontId="0" fillId="0" borderId="17" xfId="1" applyNumberFormat="1" applyFont="1" applyBorder="1"/>
    <xf numFmtId="164" fontId="3" fillId="0" borderId="30" xfId="1" applyNumberFormat="1" applyFont="1" applyBorder="1"/>
    <xf numFmtId="164" fontId="3" fillId="0" borderId="25" xfId="0" applyNumberFormat="1" applyFont="1" applyBorder="1"/>
    <xf numFmtId="0" fontId="0" fillId="0" borderId="25" xfId="0" applyBorder="1"/>
    <xf numFmtId="0" fontId="13" fillId="0" borderId="0" xfId="0" applyFont="1"/>
    <xf numFmtId="0" fontId="3" fillId="0" borderId="20" xfId="0" applyFont="1" applyBorder="1" applyAlignment="1">
      <alignment horizontal="right"/>
    </xf>
    <xf numFmtId="169" fontId="0" fillId="0" borderId="0" xfId="0" applyNumberFormat="1"/>
    <xf numFmtId="164" fontId="0" fillId="0" borderId="25" xfId="0" applyNumberFormat="1" applyBorder="1"/>
    <xf numFmtId="10" fontId="15" fillId="0" borderId="0" xfId="0" applyNumberFormat="1" applyFont="1"/>
    <xf numFmtId="167" fontId="0" fillId="0" borderId="0" xfId="0" applyNumberFormat="1"/>
    <xf numFmtId="164" fontId="0" fillId="0" borderId="48" xfId="1" applyNumberFormat="1" applyFont="1" applyBorder="1"/>
    <xf numFmtId="164" fontId="0" fillId="0" borderId="17" xfId="0" applyNumberFormat="1" applyBorder="1"/>
    <xf numFmtId="170" fontId="3" fillId="0" borderId="0" xfId="1" applyNumberFormat="1" applyFont="1" applyAlignment="1">
      <alignment horizontal="center"/>
    </xf>
    <xf numFmtId="170" fontId="3" fillId="0" borderId="25" xfId="1" applyNumberFormat="1" applyFont="1" applyBorder="1" applyAlignment="1">
      <alignment horizontal="center"/>
    </xf>
    <xf numFmtId="0" fontId="3" fillId="0" borderId="0" xfId="0" applyFont="1" applyAlignment="1">
      <alignment horizontal="right"/>
    </xf>
    <xf numFmtId="170" fontId="14" fillId="0" borderId="0" xfId="1" applyNumberFormat="1" applyFont="1"/>
    <xf numFmtId="6" fontId="3" fillId="0" borderId="0" xfId="0" applyNumberFormat="1" applyFont="1"/>
    <xf numFmtId="43" fontId="0" fillId="0" borderId="0" xfId="0" applyNumberFormat="1"/>
    <xf numFmtId="6" fontId="3" fillId="0" borderId="29" xfId="0" applyNumberFormat="1" applyFont="1" applyBorder="1"/>
    <xf numFmtId="0" fontId="18" fillId="0" borderId="0" xfId="0" applyFont="1" applyAlignment="1">
      <alignment horizontal="right"/>
    </xf>
    <xf numFmtId="6" fontId="18" fillId="0" borderId="0" xfId="0" applyNumberFormat="1" applyFont="1"/>
    <xf numFmtId="0" fontId="18" fillId="0" borderId="0" xfId="0" applyFont="1"/>
    <xf numFmtId="0" fontId="0" fillId="0" borderId="0" xfId="0" applyAlignment="1">
      <alignment horizontal="right"/>
    </xf>
    <xf numFmtId="0" fontId="0" fillId="4" borderId="24" xfId="0" applyFill="1" applyBorder="1"/>
    <xf numFmtId="6" fontId="0" fillId="0" borderId="0" xfId="0" applyNumberFormat="1"/>
    <xf numFmtId="0" fontId="0" fillId="0" borderId="0" xfId="0" quotePrefix="1"/>
    <xf numFmtId="0" fontId="3" fillId="0" borderId="0" xfId="0" quotePrefix="1" applyFont="1" applyAlignment="1">
      <alignment horizontal="left"/>
    </xf>
    <xf numFmtId="0" fontId="0" fillId="0" borderId="0" xfId="0" quotePrefix="1" applyAlignment="1">
      <alignment horizontal="right"/>
    </xf>
    <xf numFmtId="0" fontId="3" fillId="4" borderId="20" xfId="0" applyFont="1" applyFill="1" applyBorder="1" applyAlignment="1">
      <alignment horizontal="center" vertical="top" wrapText="1"/>
    </xf>
    <xf numFmtId="0" fontId="17" fillId="4" borderId="31" xfId="0" applyFont="1" applyFill="1" applyBorder="1" applyAlignment="1">
      <alignment horizontal="center" vertical="top"/>
    </xf>
    <xf numFmtId="164" fontId="0" fillId="0" borderId="4" xfId="0" applyNumberFormat="1" applyBorder="1"/>
    <xf numFmtId="168" fontId="0" fillId="0" borderId="4" xfId="5" applyNumberFormat="1" applyFont="1" applyBorder="1"/>
    <xf numFmtId="10" fontId="0" fillId="0" borderId="4" xfId="5" applyNumberFormat="1" applyFont="1" applyBorder="1"/>
    <xf numFmtId="15" fontId="3" fillId="2" borderId="1" xfId="0" applyNumberFormat="1" applyFont="1" applyFill="1" applyBorder="1" applyAlignment="1">
      <alignment horizontal="center"/>
    </xf>
    <xf numFmtId="164" fontId="3" fillId="2" borderId="1" xfId="0" applyNumberFormat="1" applyFont="1" applyFill="1" applyBorder="1"/>
    <xf numFmtId="168" fontId="3" fillId="2" borderId="1" xfId="5" applyNumberFormat="1" applyFont="1" applyFill="1" applyBorder="1"/>
    <xf numFmtId="10" fontId="0" fillId="0" borderId="4" xfId="0" applyNumberFormat="1" applyBorder="1"/>
    <xf numFmtId="171" fontId="0" fillId="0" borderId="0" xfId="0" applyNumberFormat="1"/>
    <xf numFmtId="10" fontId="0" fillId="0" borderId="4" xfId="3" applyNumberFormat="1" applyFont="1" applyBorder="1" applyAlignment="1">
      <alignment wrapText="1"/>
    </xf>
    <xf numFmtId="171" fontId="6" fillId="0" borderId="0" xfId="0" applyNumberFormat="1" applyFont="1"/>
    <xf numFmtId="0" fontId="0" fillId="0" borderId="0" xfId="0" applyAlignment="1">
      <alignment horizontal="left" vertical="center" indent="1"/>
    </xf>
    <xf numFmtId="44" fontId="2" fillId="0" borderId="4" xfId="1" applyNumberFormat="1" applyFont="1" applyBorder="1"/>
    <xf numFmtId="43" fontId="2" fillId="0" borderId="1" xfId="1" applyFont="1" applyBorder="1" applyAlignment="1">
      <alignment horizontal="center" vertical="center"/>
    </xf>
    <xf numFmtId="0" fontId="0" fillId="0" borderId="0" xfId="0" applyAlignment="1">
      <alignment horizontal="center" wrapText="1"/>
    </xf>
    <xf numFmtId="0" fontId="0" fillId="7" borderId="28" xfId="0" applyFill="1" applyBorder="1"/>
    <xf numFmtId="0" fontId="0" fillId="7" borderId="0" xfId="0" applyFill="1"/>
    <xf numFmtId="0" fontId="0" fillId="7" borderId="5" xfId="0" applyFill="1" applyBorder="1"/>
    <xf numFmtId="3" fontId="0" fillId="7" borderId="0" xfId="0" applyNumberFormat="1" applyFill="1"/>
    <xf numFmtId="0" fontId="0" fillId="7" borderId="0" xfId="0" applyFill="1" applyAlignment="1">
      <alignment vertical="top"/>
    </xf>
    <xf numFmtId="0" fontId="0" fillId="7" borderId="5" xfId="0" applyFill="1" applyBorder="1" applyAlignment="1">
      <alignment vertical="top"/>
    </xf>
    <xf numFmtId="0" fontId="0" fillId="7" borderId="19" xfId="0" applyFill="1" applyBorder="1"/>
    <xf numFmtId="0" fontId="0" fillId="7" borderId="20" xfId="0" applyFill="1" applyBorder="1"/>
    <xf numFmtId="3" fontId="0" fillId="7" borderId="20" xfId="0" applyNumberFormat="1" applyFill="1" applyBorder="1"/>
    <xf numFmtId="3" fontId="0" fillId="7" borderId="21" xfId="0" applyNumberFormat="1" applyFill="1" applyBorder="1"/>
    <xf numFmtId="164" fontId="3" fillId="0" borderId="0" xfId="1" applyNumberFormat="1" applyFont="1" applyFill="1" applyBorder="1" applyAlignment="1">
      <alignment wrapText="1"/>
    </xf>
    <xf numFmtId="14" fontId="0" fillId="0" borderId="18" xfId="0" applyNumberFormat="1" applyBorder="1" applyAlignment="1">
      <alignment horizontal="left" vertical="top" wrapText="1"/>
    </xf>
    <xf numFmtId="0" fontId="0" fillId="0" borderId="1" xfId="0" applyBorder="1" applyAlignment="1">
      <alignment vertical="top"/>
    </xf>
    <xf numFmtId="44" fontId="2" fillId="0" borderId="1" xfId="2" applyFont="1" applyBorder="1" applyAlignment="1">
      <alignment vertical="top"/>
    </xf>
    <xf numFmtId="43" fontId="2" fillId="0" borderId="1" xfId="1" applyFont="1" applyBorder="1" applyAlignment="1">
      <alignment horizontal="center" vertical="top"/>
    </xf>
    <xf numFmtId="166" fontId="0" fillId="0" borderId="1" xfId="0" applyNumberFormat="1" applyBorder="1" applyAlignment="1">
      <alignment vertical="top"/>
    </xf>
    <xf numFmtId="44" fontId="0" fillId="0" borderId="1" xfId="0" applyNumberFormat="1" applyBorder="1" applyAlignment="1">
      <alignment vertical="top"/>
    </xf>
    <xf numFmtId="44" fontId="0" fillId="0" borderId="16" xfId="0" applyNumberFormat="1" applyBorder="1" applyAlignment="1">
      <alignment vertical="top"/>
    </xf>
    <xf numFmtId="165" fontId="0" fillId="0" borderId="36" xfId="0" applyNumberFormat="1" applyBorder="1" applyAlignment="1">
      <alignment vertical="top"/>
    </xf>
    <xf numFmtId="14" fontId="0" fillId="0" borderId="18" xfId="0" applyNumberFormat="1" applyBorder="1" applyAlignment="1">
      <alignment horizontal="left" vertical="top"/>
    </xf>
    <xf numFmtId="6" fontId="2" fillId="0" borderId="1" xfId="2" applyNumberFormat="1" applyFont="1" applyBorder="1" applyAlignment="1">
      <alignment vertical="top"/>
    </xf>
    <xf numFmtId="43" fontId="2" fillId="0" borderId="1" xfId="1" applyFont="1" applyBorder="1" applyAlignment="1">
      <alignment vertical="top"/>
    </xf>
    <xf numFmtId="8" fontId="2" fillId="0" borderId="1" xfId="2" applyNumberFormat="1" applyFont="1" applyBorder="1" applyAlignment="1">
      <alignment vertical="top"/>
    </xf>
    <xf numFmtId="14" fontId="0" fillId="0" borderId="45" xfId="0" applyNumberFormat="1" applyBorder="1" applyAlignment="1">
      <alignment horizontal="left" vertical="top"/>
    </xf>
    <xf numFmtId="0" fontId="0" fillId="0" borderId="23" xfId="0" applyBorder="1" applyAlignment="1">
      <alignment vertical="top"/>
    </xf>
    <xf numFmtId="8" fontId="0" fillId="0" borderId="1" xfId="2" applyNumberFormat="1" applyFont="1" applyBorder="1" applyAlignment="1">
      <alignment vertical="top"/>
    </xf>
    <xf numFmtId="43" fontId="0" fillId="0" borderId="23" xfId="0" applyNumberFormat="1" applyBorder="1" applyAlignment="1">
      <alignment vertical="top"/>
    </xf>
    <xf numFmtId="44" fontId="0" fillId="0" borderId="23" xfId="0" applyNumberFormat="1" applyBorder="1" applyAlignment="1">
      <alignment vertical="top"/>
    </xf>
    <xf numFmtId="44" fontId="2" fillId="0" borderId="23" xfId="2" applyFont="1" applyBorder="1" applyAlignment="1">
      <alignment vertical="top"/>
    </xf>
    <xf numFmtId="165" fontId="0" fillId="0" borderId="46" xfId="0" applyNumberFormat="1" applyBorder="1" applyAlignment="1">
      <alignment vertical="top"/>
    </xf>
    <xf numFmtId="164" fontId="3" fillId="0" borderId="20" xfId="1" applyNumberFormat="1" applyFont="1" applyBorder="1"/>
    <xf numFmtId="164" fontId="3" fillId="0" borderId="20" xfId="0" applyNumberFormat="1" applyFont="1" applyBorder="1"/>
    <xf numFmtId="165" fontId="3" fillId="0" borderId="20" xfId="0" applyNumberFormat="1" applyFont="1" applyBorder="1"/>
    <xf numFmtId="43" fontId="3" fillId="0" borderId="5" xfId="1" applyFont="1" applyBorder="1"/>
    <xf numFmtId="165" fontId="6" fillId="12" borderId="1" xfId="1" applyNumberFormat="1" applyFont="1" applyFill="1" applyBorder="1"/>
    <xf numFmtId="0" fontId="19" fillId="0" borderId="10" xfId="0" applyFont="1" applyBorder="1" applyAlignment="1">
      <alignment horizontal="left" vertical="center" wrapText="1"/>
    </xf>
    <xf numFmtId="44" fontId="20" fillId="0" borderId="11" xfId="2" applyFont="1" applyFill="1" applyBorder="1" applyAlignment="1">
      <alignment horizontal="center"/>
    </xf>
    <xf numFmtId="44" fontId="20" fillId="9" borderId="11" xfId="2" applyFont="1" applyFill="1" applyBorder="1" applyAlignment="1">
      <alignment horizontal="right"/>
    </xf>
    <xf numFmtId="164" fontId="20" fillId="0" borderId="11" xfId="1" applyNumberFormat="1" applyFont="1" applyBorder="1"/>
    <xf numFmtId="164" fontId="20" fillId="5" borderId="15" xfId="1" applyNumberFormat="1" applyFont="1" applyFill="1" applyBorder="1"/>
    <xf numFmtId="164" fontId="20" fillId="0" borderId="12" xfId="1" applyNumberFormat="1" applyFont="1" applyBorder="1"/>
    <xf numFmtId="165" fontId="20" fillId="5" borderId="15" xfId="1" applyNumberFormat="1" applyFont="1" applyFill="1" applyBorder="1"/>
    <xf numFmtId="164" fontId="3" fillId="0" borderId="4" xfId="0" applyNumberFormat="1" applyFont="1" applyBorder="1" applyAlignment="1">
      <alignment horizontal="left" vertical="top"/>
    </xf>
    <xf numFmtId="10" fontId="0" fillId="0" borderId="25" xfId="3" applyNumberFormat="1" applyFont="1" applyBorder="1"/>
    <xf numFmtId="164" fontId="0" fillId="0" borderId="1" xfId="1" applyNumberFormat="1" applyFont="1" applyBorder="1"/>
    <xf numFmtId="10" fontId="0" fillId="0" borderId="1" xfId="3" applyNumberFormat="1" applyFont="1" applyBorder="1"/>
    <xf numFmtId="167" fontId="15" fillId="7" borderId="4" xfId="3" applyNumberFormat="1" applyFont="1" applyFill="1" applyBorder="1" applyAlignment="1">
      <alignment horizontal="right" wrapText="1"/>
    </xf>
    <xf numFmtId="10" fontId="0" fillId="7" borderId="4" xfId="5" applyNumberFormat="1" applyFont="1" applyFill="1" applyBorder="1" applyAlignment="1">
      <alignment horizontal="right" wrapText="1"/>
    </xf>
    <xf numFmtId="10" fontId="15" fillId="7" borderId="5" xfId="5" applyNumberFormat="1" applyFont="1" applyFill="1" applyBorder="1" applyAlignment="1">
      <alignment horizontal="right" wrapText="1"/>
    </xf>
    <xf numFmtId="10" fontId="0" fillId="7" borderId="0" xfId="0" applyNumberFormat="1" applyFill="1"/>
    <xf numFmtId="0" fontId="22" fillId="0" borderId="0" xfId="0" applyFont="1" applyAlignment="1">
      <alignment vertical="center"/>
    </xf>
    <xf numFmtId="0" fontId="21" fillId="0" borderId="0" xfId="0" applyFont="1" applyAlignment="1">
      <alignment vertical="center"/>
    </xf>
    <xf numFmtId="0" fontId="23" fillId="0" borderId="0" xfId="0" applyFont="1"/>
    <xf numFmtId="43" fontId="0" fillId="0" borderId="1" xfId="1" applyFont="1" applyBorder="1"/>
    <xf numFmtId="0" fontId="24" fillId="13" borderId="1" xfId="0" applyFont="1" applyFill="1" applyBorder="1"/>
    <xf numFmtId="43" fontId="24" fillId="13" borderId="1" xfId="1" applyFont="1" applyFill="1" applyBorder="1"/>
    <xf numFmtId="0" fontId="3" fillId="14" borderId="10" xfId="0" applyFont="1" applyFill="1" applyBorder="1"/>
    <xf numFmtId="0" fontId="3" fillId="14" borderId="11" xfId="0" applyFont="1" applyFill="1" applyBorder="1"/>
    <xf numFmtId="0" fontId="3" fillId="14" borderId="11" xfId="0" applyFont="1" applyFill="1" applyBorder="1" applyAlignment="1">
      <alignment horizontal="center"/>
    </xf>
    <xf numFmtId="0" fontId="3" fillId="14" borderId="12" xfId="0" applyFont="1" applyFill="1" applyBorder="1" applyAlignment="1">
      <alignment horizontal="center"/>
    </xf>
    <xf numFmtId="0" fontId="3" fillId="14" borderId="13" xfId="0" applyFont="1" applyFill="1" applyBorder="1" applyAlignment="1">
      <alignment horizontal="center"/>
    </xf>
    <xf numFmtId="0" fontId="3" fillId="14" borderId="15" xfId="0" applyFont="1" applyFill="1" applyBorder="1" applyAlignment="1">
      <alignment horizontal="center"/>
    </xf>
    <xf numFmtId="44" fontId="5" fillId="0" borderId="32" xfId="2" applyFont="1" applyFill="1" applyBorder="1" applyAlignment="1">
      <alignment horizontal="center"/>
    </xf>
    <xf numFmtId="43" fontId="5" fillId="0" borderId="32" xfId="1" applyFont="1" applyFill="1" applyBorder="1"/>
    <xf numFmtId="43" fontId="0" fillId="0" borderId="1" xfId="1" applyFont="1" applyFill="1" applyBorder="1"/>
    <xf numFmtId="43" fontId="27" fillId="0" borderId="1" xfId="1" applyFont="1" applyBorder="1"/>
    <xf numFmtId="0" fontId="26" fillId="0" borderId="1" xfId="0" applyFont="1" applyBorder="1"/>
    <xf numFmtId="164" fontId="27" fillId="0" borderId="1" xfId="1" applyNumberFormat="1" applyFont="1" applyBorder="1"/>
    <xf numFmtId="0" fontId="26" fillId="0" borderId="32" xfId="0" applyFont="1" applyBorder="1"/>
    <xf numFmtId="164" fontId="27" fillId="0" borderId="32" xfId="1" applyNumberFormat="1" applyFont="1" applyBorder="1"/>
    <xf numFmtId="0" fontId="26" fillId="0" borderId="28" xfId="0" applyFont="1" applyBorder="1"/>
    <xf numFmtId="0" fontId="26" fillId="0" borderId="0" xfId="0" applyFont="1"/>
    <xf numFmtId="0" fontId="26" fillId="0" borderId="5" xfId="0" applyFont="1" applyBorder="1"/>
    <xf numFmtId="164" fontId="26" fillId="0" borderId="0" xfId="1" applyNumberFormat="1" applyFont="1" applyBorder="1"/>
    <xf numFmtId="165" fontId="26" fillId="0" borderId="0" xfId="0" applyNumberFormat="1" applyFont="1"/>
    <xf numFmtId="0" fontId="25" fillId="0" borderId="0" xfId="0" applyFont="1"/>
    <xf numFmtId="171" fontId="26" fillId="0" borderId="0" xfId="0" applyNumberFormat="1" applyFont="1"/>
    <xf numFmtId="0" fontId="26" fillId="0" borderId="1" xfId="0" applyFont="1" applyBorder="1" applyAlignment="1">
      <alignment horizontal="left" vertical="center" wrapText="1"/>
    </xf>
    <xf numFmtId="164" fontId="26" fillId="5" borderId="1" xfId="1" applyNumberFormat="1" applyFont="1" applyFill="1" applyBorder="1"/>
    <xf numFmtId="165" fontId="26" fillId="5" borderId="1" xfId="1" applyNumberFormat="1" applyFont="1" applyFill="1" applyBorder="1"/>
    <xf numFmtId="165" fontId="27" fillId="5" borderId="36" xfId="1" applyNumberFormat="1" applyFont="1" applyFill="1" applyBorder="1"/>
    <xf numFmtId="165" fontId="26" fillId="12" borderId="1" xfId="1" applyNumberFormat="1" applyFont="1" applyFill="1" applyBorder="1"/>
    <xf numFmtId="164" fontId="26" fillId="5" borderId="32" xfId="1" applyNumberFormat="1" applyFont="1" applyFill="1" applyBorder="1"/>
    <xf numFmtId="165" fontId="26" fillId="5" borderId="32" xfId="1" applyNumberFormat="1" applyFont="1" applyFill="1" applyBorder="1"/>
    <xf numFmtId="165" fontId="27" fillId="5" borderId="38" xfId="1" applyNumberFormat="1" applyFont="1" applyFill="1" applyBorder="1"/>
    <xf numFmtId="0" fontId="28" fillId="0" borderId="10" xfId="0" applyFont="1" applyBorder="1" applyAlignment="1">
      <alignment horizontal="left" vertical="center" wrapText="1"/>
    </xf>
    <xf numFmtId="164" fontId="28" fillId="5" borderId="15" xfId="1" applyNumberFormat="1" applyFont="1" applyFill="1" applyBorder="1"/>
    <xf numFmtId="164" fontId="28" fillId="0" borderId="12" xfId="1" applyNumberFormat="1" applyFont="1" applyBorder="1"/>
    <xf numFmtId="165" fontId="28" fillId="5" borderId="15" xfId="1" applyNumberFormat="1" applyFont="1" applyFill="1" applyBorder="1"/>
    <xf numFmtId="0" fontId="26" fillId="0" borderId="18" xfId="0" applyFont="1" applyBorder="1" applyAlignment="1">
      <alignment horizontal="left" vertical="center"/>
    </xf>
    <xf numFmtId="0" fontId="26" fillId="0" borderId="18" xfId="0" applyFont="1" applyBorder="1"/>
    <xf numFmtId="0" fontId="26" fillId="0" borderId="18" xfId="0" applyFont="1" applyBorder="1" applyAlignment="1">
      <alignment vertical="center"/>
    </xf>
    <xf numFmtId="0" fontId="26" fillId="0" borderId="37" xfId="0" applyFont="1" applyBorder="1"/>
    <xf numFmtId="44" fontId="26" fillId="0" borderId="1" xfId="2" applyFont="1" applyFill="1" applyBorder="1"/>
    <xf numFmtId="44" fontId="26" fillId="0" borderId="32" xfId="2" applyFont="1" applyFill="1" applyBorder="1"/>
    <xf numFmtId="43" fontId="28" fillId="0" borderId="1" xfId="1" applyFont="1" applyBorder="1"/>
    <xf numFmtId="164" fontId="28" fillId="0" borderId="1" xfId="1" applyNumberFormat="1" applyFont="1" applyBorder="1"/>
    <xf numFmtId="164" fontId="28" fillId="0" borderId="32" xfId="1" applyNumberFormat="1" applyFont="1" applyBorder="1"/>
    <xf numFmtId="164" fontId="26" fillId="0" borderId="1" xfId="1" applyNumberFormat="1" applyFont="1" applyFill="1" applyBorder="1"/>
    <xf numFmtId="164" fontId="26" fillId="0" borderId="32" xfId="1" applyNumberFormat="1" applyFont="1" applyFill="1" applyBorder="1"/>
    <xf numFmtId="44" fontId="28" fillId="15" borderId="11" xfId="2" applyFont="1" applyFill="1" applyBorder="1" applyAlignment="1">
      <alignment horizontal="center"/>
    </xf>
    <xf numFmtId="44" fontId="28" fillId="15" borderId="11" xfId="2" applyFont="1" applyFill="1" applyBorder="1" applyAlignment="1">
      <alignment horizontal="right"/>
    </xf>
    <xf numFmtId="0" fontId="3" fillId="16" borderId="1" xfId="0" applyFont="1" applyFill="1" applyBorder="1"/>
    <xf numFmtId="164" fontId="3" fillId="16" borderId="1" xfId="1" applyNumberFormat="1" applyFont="1" applyFill="1" applyBorder="1"/>
    <xf numFmtId="0" fontId="3" fillId="14" borderId="49" xfId="0" applyFont="1" applyFill="1" applyBorder="1" applyAlignment="1">
      <alignment horizontal="center"/>
    </xf>
    <xf numFmtId="0" fontId="23" fillId="16" borderId="1" xfId="0" applyFont="1" applyFill="1" applyBorder="1" applyAlignment="1">
      <alignment horizontal="center"/>
    </xf>
    <xf numFmtId="0" fontId="23" fillId="16" borderId="1" xfId="0" applyFont="1" applyFill="1" applyBorder="1"/>
    <xf numFmtId="44" fontId="28" fillId="15" borderId="12" xfId="2" applyFont="1" applyFill="1" applyBorder="1" applyAlignment="1">
      <alignment horizontal="right"/>
    </xf>
    <xf numFmtId="44" fontId="28" fillId="15" borderId="50" xfId="2" applyFont="1" applyFill="1" applyBorder="1" applyAlignment="1">
      <alignment horizontal="right"/>
    </xf>
    <xf numFmtId="164" fontId="28" fillId="15" borderId="15" xfId="1" applyNumberFormat="1" applyFont="1" applyFill="1" applyBorder="1"/>
    <xf numFmtId="171" fontId="26" fillId="0" borderId="0" xfId="0" applyNumberFormat="1" applyFont="1" applyAlignment="1">
      <alignment vertical="top"/>
    </xf>
    <xf numFmtId="0" fontId="26" fillId="0" borderId="28" xfId="0" applyFont="1" applyBorder="1" applyAlignment="1">
      <alignment vertical="top"/>
    </xf>
    <xf numFmtId="164" fontId="26" fillId="0" borderId="0" xfId="0" applyNumberFormat="1" applyFont="1" applyAlignment="1">
      <alignment vertical="top"/>
    </xf>
    <xf numFmtId="171" fontId="29" fillId="0" borderId="0" xfId="0" applyNumberFormat="1" applyFont="1"/>
    <xf numFmtId="0" fontId="30" fillId="0" borderId="0" xfId="0" applyFont="1"/>
    <xf numFmtId="43" fontId="0" fillId="0" borderId="1" xfId="1" applyFont="1" applyBorder="1" applyAlignment="1">
      <alignment horizontal="center" vertical="center"/>
    </xf>
    <xf numFmtId="44" fontId="0" fillId="0" borderId="1" xfId="2" applyFont="1" applyBorder="1" applyAlignment="1">
      <alignment vertical="top"/>
    </xf>
    <xf numFmtId="43" fontId="0" fillId="0" borderId="1" xfId="1" applyFont="1" applyBorder="1" applyAlignment="1">
      <alignment horizontal="center" vertical="top"/>
    </xf>
    <xf numFmtId="6" fontId="0" fillId="0" borderId="1" xfId="2" applyNumberFormat="1" applyFont="1" applyBorder="1" applyAlignment="1">
      <alignment vertical="top"/>
    </xf>
    <xf numFmtId="43" fontId="0" fillId="0" borderId="1" xfId="1" applyFont="1" applyBorder="1" applyAlignment="1">
      <alignment vertical="top"/>
    </xf>
    <xf numFmtId="44" fontId="0" fillId="0" borderId="23" xfId="2" applyFont="1" applyBorder="1" applyAlignment="1">
      <alignment vertical="top"/>
    </xf>
    <xf numFmtId="0" fontId="11" fillId="0" borderId="0" xfId="4"/>
    <xf numFmtId="14" fontId="0" fillId="0" borderId="1" xfId="0" applyNumberFormat="1" applyBorder="1" applyAlignment="1">
      <alignment horizontal="left" vertical="center"/>
    </xf>
    <xf numFmtId="44" fontId="0" fillId="0" borderId="4" xfId="1" applyNumberFormat="1" applyFont="1" applyBorder="1" applyAlignment="1"/>
    <xf numFmtId="0" fontId="26" fillId="0" borderId="51" xfId="0" applyFont="1" applyBorder="1"/>
    <xf numFmtId="43" fontId="26" fillId="0" borderId="51" xfId="0" applyNumberFormat="1" applyFont="1" applyBorder="1"/>
    <xf numFmtId="0" fontId="26" fillId="0" borderId="52" xfId="0" applyFont="1" applyBorder="1"/>
    <xf numFmtId="0" fontId="0" fillId="4" borderId="18" xfId="0" applyFill="1" applyBorder="1" applyAlignment="1">
      <alignment horizontal="center" vertical="top" wrapText="1"/>
    </xf>
    <xf numFmtId="0" fontId="0" fillId="4" borderId="1" xfId="0" applyFill="1" applyBorder="1" applyAlignment="1">
      <alignment horizontal="center" vertical="top" wrapText="1"/>
    </xf>
    <xf numFmtId="0" fontId="0" fillId="5" borderId="36" xfId="0" applyFill="1" applyBorder="1" applyAlignment="1">
      <alignment horizontal="center" vertical="top" wrapText="1"/>
    </xf>
    <xf numFmtId="0" fontId="0" fillId="4" borderId="18" xfId="0" applyFill="1" applyBorder="1" applyAlignment="1">
      <alignment horizontal="center" vertical="top"/>
    </xf>
    <xf numFmtId="0" fontId="0" fillId="4" borderId="1" xfId="0" applyFill="1" applyBorder="1" applyAlignment="1">
      <alignment horizontal="center" vertical="top"/>
    </xf>
    <xf numFmtId="0" fontId="0" fillId="5" borderId="36" xfId="0" applyFill="1" applyBorder="1" applyAlignment="1">
      <alignment horizontal="center" vertical="top"/>
    </xf>
    <xf numFmtId="0" fontId="24" fillId="13" borderId="16" xfId="0" applyFont="1" applyFill="1" applyBorder="1"/>
    <xf numFmtId="43" fontId="24" fillId="13" borderId="16" xfId="1" applyFont="1" applyFill="1" applyBorder="1"/>
    <xf numFmtId="0" fontId="3" fillId="14" borderId="1" xfId="0" applyFont="1" applyFill="1" applyBorder="1" applyAlignment="1">
      <alignment horizontal="center"/>
    </xf>
    <xf numFmtId="43" fontId="0" fillId="0" borderId="25" xfId="1" applyFont="1" applyBorder="1"/>
    <xf numFmtId="0" fontId="0" fillId="0" borderId="31" xfId="0" applyBorder="1"/>
    <xf numFmtId="164" fontId="0" fillId="0" borderId="31" xfId="1" applyNumberFormat="1" applyFont="1" applyBorder="1"/>
    <xf numFmtId="43" fontId="0" fillId="0" borderId="31" xfId="1" applyFont="1" applyBorder="1"/>
    <xf numFmtId="0" fontId="22" fillId="0" borderId="0" xfId="0" applyFont="1"/>
    <xf numFmtId="9" fontId="0" fillId="0" borderId="5" xfId="0" applyNumberFormat="1" applyBorder="1"/>
    <xf numFmtId="168" fontId="0" fillId="0" borderId="5" xfId="0" applyNumberFormat="1" applyBorder="1"/>
    <xf numFmtId="168" fontId="15" fillId="0" borderId="5" xfId="0" applyNumberFormat="1" applyFont="1" applyBorder="1"/>
    <xf numFmtId="0" fontId="31" fillId="0" borderId="0" xfId="0" applyFont="1" applyAlignment="1">
      <alignment horizontal="right"/>
    </xf>
    <xf numFmtId="0" fontId="31" fillId="0" borderId="0" xfId="0" applyFont="1" applyAlignment="1">
      <alignment horizontal="center"/>
    </xf>
    <xf numFmtId="168" fontId="5" fillId="0" borderId="9" xfId="3" applyNumberFormat="1" applyFont="1" applyBorder="1"/>
    <xf numFmtId="164" fontId="0" fillId="0" borderId="53" xfId="1" applyNumberFormat="1" applyFont="1" applyBorder="1"/>
    <xf numFmtId="164" fontId="0" fillId="0" borderId="9" xfId="1" applyNumberFormat="1" applyFont="1" applyBorder="1"/>
    <xf numFmtId="10" fontId="0" fillId="0" borderId="4" xfId="3" applyNumberFormat="1" applyFont="1" applyBorder="1"/>
    <xf numFmtId="168" fontId="5" fillId="0" borderId="4" xfId="3" applyNumberFormat="1" applyFont="1" applyBorder="1"/>
    <xf numFmtId="0" fontId="3" fillId="14" borderId="36" xfId="0" applyFont="1" applyFill="1" applyBorder="1" applyAlignment="1">
      <alignment horizontal="center"/>
    </xf>
    <xf numFmtId="0" fontId="3" fillId="14" borderId="2" xfId="0" applyFont="1" applyFill="1" applyBorder="1" applyAlignment="1">
      <alignment horizontal="center"/>
    </xf>
    <xf numFmtId="0" fontId="3" fillId="14" borderId="36" xfId="0" applyFont="1" applyFill="1" applyBorder="1" applyAlignment="1">
      <alignment horizontal="center" vertical="top" wrapText="1"/>
    </xf>
    <xf numFmtId="0" fontId="3" fillId="14" borderId="2" xfId="0" applyFont="1" applyFill="1" applyBorder="1" applyAlignment="1">
      <alignment horizontal="center" vertical="top" wrapText="1"/>
    </xf>
    <xf numFmtId="0" fontId="17" fillId="14" borderId="1" xfId="0" applyFont="1" applyFill="1" applyBorder="1" applyAlignment="1">
      <alignment horizontal="center" vertical="top"/>
    </xf>
    <xf numFmtId="164" fontId="3" fillId="14" borderId="30" xfId="1" applyNumberFormat="1" applyFont="1" applyFill="1" applyBorder="1"/>
    <xf numFmtId="164" fontId="3" fillId="14" borderId="55" xfId="1" applyNumberFormat="1" applyFont="1" applyFill="1" applyBorder="1"/>
    <xf numFmtId="164" fontId="3" fillId="14" borderId="33" xfId="1" applyNumberFormat="1" applyFont="1" applyFill="1" applyBorder="1"/>
    <xf numFmtId="0" fontId="3" fillId="14" borderId="30" xfId="0" applyFont="1" applyFill="1" applyBorder="1"/>
    <xf numFmtId="0" fontId="3" fillId="14" borderId="54" xfId="0" applyFont="1" applyFill="1" applyBorder="1"/>
    <xf numFmtId="164" fontId="3" fillId="14" borderId="1" xfId="0" applyNumberFormat="1" applyFont="1" applyFill="1" applyBorder="1"/>
    <xf numFmtId="0" fontId="3" fillId="14" borderId="1" xfId="0" applyFont="1" applyFill="1" applyBorder="1"/>
    <xf numFmtId="0" fontId="3" fillId="14" borderId="42" xfId="0" applyFont="1" applyFill="1" applyBorder="1" applyAlignment="1">
      <alignment horizontal="center"/>
    </xf>
    <xf numFmtId="0" fontId="26" fillId="0" borderId="0" xfId="0" applyFont="1" applyAlignment="1">
      <alignment vertical="top" wrapText="1"/>
    </xf>
    <xf numFmtId="166" fontId="24" fillId="13" borderId="16" xfId="1" applyNumberFormat="1" applyFont="1" applyFill="1" applyBorder="1"/>
    <xf numFmtId="9" fontId="0" fillId="0" borderId="0" xfId="3" applyFont="1" applyAlignment="1">
      <alignment vertical="top"/>
    </xf>
    <xf numFmtId="165" fontId="0" fillId="0" borderId="4" xfId="1" applyNumberFormat="1" applyFont="1" applyBorder="1"/>
    <xf numFmtId="10" fontId="0" fillId="0" borderId="16" xfId="0" applyNumberFormat="1" applyBorder="1"/>
    <xf numFmtId="10" fontId="24" fillId="13" borderId="16" xfId="3" applyNumberFormat="1" applyFont="1" applyFill="1" applyBorder="1"/>
    <xf numFmtId="15" fontId="3" fillId="14" borderId="1" xfId="0" applyNumberFormat="1" applyFont="1" applyFill="1" applyBorder="1" applyAlignment="1">
      <alignment horizontal="center"/>
    </xf>
    <xf numFmtId="168" fontId="3" fillId="14" borderId="1" xfId="5" applyNumberFormat="1" applyFont="1" applyFill="1" applyBorder="1"/>
    <xf numFmtId="10" fontId="3" fillId="14" borderId="1" xfId="0" applyNumberFormat="1" applyFont="1" applyFill="1" applyBorder="1"/>
    <xf numFmtId="0" fontId="3" fillId="14" borderId="56" xfId="0" applyFont="1" applyFill="1" applyBorder="1" applyAlignment="1">
      <alignment horizontal="center"/>
    </xf>
    <xf numFmtId="10" fontId="0" fillId="0" borderId="57" xfId="0" applyNumberFormat="1" applyBorder="1"/>
    <xf numFmtId="165" fontId="0" fillId="0" borderId="57" xfId="1" applyNumberFormat="1" applyFont="1" applyBorder="1"/>
    <xf numFmtId="10" fontId="0" fillId="0" borderId="58" xfId="0" applyNumberFormat="1" applyBorder="1"/>
    <xf numFmtId="0" fontId="23" fillId="0" borderId="4" xfId="0" applyFont="1" applyBorder="1"/>
    <xf numFmtId="0" fontId="23" fillId="0" borderId="16" xfId="0" applyFont="1" applyBorder="1"/>
    <xf numFmtId="0" fontId="0" fillId="15" borderId="0" xfId="0" applyFill="1"/>
    <xf numFmtId="43" fontId="0" fillId="15" borderId="0" xfId="0" applyNumberFormat="1" applyFill="1"/>
    <xf numFmtId="15" fontId="3" fillId="2" borderId="56" xfId="0" applyNumberFormat="1" applyFont="1" applyFill="1" applyBorder="1" applyAlignment="1">
      <alignment horizontal="center"/>
    </xf>
    <xf numFmtId="10" fontId="0" fillId="0" borderId="57" xfId="5" applyNumberFormat="1" applyFont="1" applyBorder="1"/>
    <xf numFmtId="10" fontId="3" fillId="2" borderId="56" xfId="0" applyNumberFormat="1" applyFont="1" applyFill="1" applyBorder="1"/>
    <xf numFmtId="0" fontId="0" fillId="0" borderId="59" xfId="0" applyBorder="1"/>
    <xf numFmtId="0" fontId="0" fillId="0" borderId="57" xfId="0" applyBorder="1"/>
    <xf numFmtId="9" fontId="0" fillId="0" borderId="4" xfId="0" applyNumberFormat="1" applyBorder="1"/>
    <xf numFmtId="10" fontId="3" fillId="14" borderId="1" xfId="0" applyNumberFormat="1" applyFont="1" applyFill="1" applyBorder="1" applyAlignment="1">
      <alignment horizontal="center"/>
    </xf>
    <xf numFmtId="0" fontId="0" fillId="0" borderId="0" xfId="0" quotePrefix="1" applyAlignment="1">
      <alignment horizontal="left"/>
    </xf>
    <xf numFmtId="0" fontId="3" fillId="14" borderId="31" xfId="0" applyFont="1" applyFill="1" applyBorder="1" applyAlignment="1">
      <alignment horizontal="center"/>
    </xf>
    <xf numFmtId="0" fontId="23" fillId="14" borderId="1" xfId="0" applyFont="1" applyFill="1" applyBorder="1" applyAlignment="1">
      <alignment horizontal="center"/>
    </xf>
    <xf numFmtId="14" fontId="0" fillId="0" borderId="60" xfId="0" applyNumberFormat="1" applyBorder="1" applyAlignment="1">
      <alignment horizontal="left"/>
    </xf>
    <xf numFmtId="0" fontId="0" fillId="0" borderId="60" xfId="0" applyBorder="1" applyAlignment="1">
      <alignment vertical="center"/>
    </xf>
    <xf numFmtId="14" fontId="0" fillId="0" borderId="60" xfId="0" applyNumberFormat="1" applyBorder="1" applyAlignment="1">
      <alignment horizontal="left" vertical="center" wrapText="1"/>
    </xf>
    <xf numFmtId="44" fontId="0" fillId="0" borderId="60" xfId="2" applyFont="1" applyBorder="1" applyAlignment="1">
      <alignment vertical="center"/>
    </xf>
    <xf numFmtId="43" fontId="0" fillId="0" borderId="60" xfId="1" applyFont="1" applyBorder="1" applyAlignment="1">
      <alignment horizontal="center" vertical="center"/>
    </xf>
    <xf numFmtId="166" fontId="0" fillId="0" borderId="60" xfId="0" applyNumberFormat="1" applyBorder="1" applyAlignment="1">
      <alignment vertical="center"/>
    </xf>
    <xf numFmtId="44" fontId="0" fillId="0" borderId="25" xfId="1" applyNumberFormat="1" applyFont="1" applyBorder="1"/>
    <xf numFmtId="44" fontId="0" fillId="0" borderId="60" xfId="0" applyNumberFormat="1" applyBorder="1" applyAlignment="1">
      <alignment vertical="center"/>
    </xf>
    <xf numFmtId="44" fontId="0" fillId="0" borderId="17" xfId="0" applyNumberFormat="1" applyBorder="1" applyAlignment="1">
      <alignment vertical="center"/>
    </xf>
    <xf numFmtId="165" fontId="24" fillId="13" borderId="60" xfId="0" applyNumberFormat="1" applyFont="1" applyFill="1" applyBorder="1" applyAlignment="1">
      <alignment vertical="center"/>
    </xf>
    <xf numFmtId="14" fontId="0" fillId="0" borderId="60" xfId="0" applyNumberFormat="1" applyBorder="1" applyAlignment="1">
      <alignment horizontal="left" vertical="top" wrapText="1"/>
    </xf>
    <xf numFmtId="0" fontId="0" fillId="0" borderId="60" xfId="0" applyBorder="1" applyAlignment="1">
      <alignment vertical="top"/>
    </xf>
    <xf numFmtId="44" fontId="0" fillId="0" borderId="60" xfId="2" applyFont="1" applyBorder="1" applyAlignment="1">
      <alignment vertical="top"/>
    </xf>
    <xf numFmtId="43" fontId="0" fillId="0" borderId="60" xfId="1" applyFont="1" applyBorder="1" applyAlignment="1">
      <alignment horizontal="center" vertical="top"/>
    </xf>
    <xf numFmtId="166" fontId="0" fillId="0" borderId="60" xfId="0" applyNumberFormat="1" applyBorder="1" applyAlignment="1">
      <alignment vertical="top"/>
    </xf>
    <xf numFmtId="44" fontId="0" fillId="0" borderId="60" xfId="0" applyNumberFormat="1" applyBorder="1" applyAlignment="1">
      <alignment vertical="top"/>
    </xf>
    <xf numFmtId="44" fontId="0" fillId="0" borderId="17" xfId="0" applyNumberFormat="1" applyBorder="1" applyAlignment="1">
      <alignment vertical="top"/>
    </xf>
    <xf numFmtId="165" fontId="24" fillId="13" borderId="60" xfId="0" applyNumberFormat="1" applyFont="1" applyFill="1" applyBorder="1" applyAlignment="1">
      <alignment vertical="top"/>
    </xf>
    <xf numFmtId="14" fontId="0" fillId="0" borderId="60" xfId="0" applyNumberFormat="1" applyBorder="1" applyAlignment="1">
      <alignment horizontal="left" vertical="top"/>
    </xf>
    <xf numFmtId="43" fontId="0" fillId="0" borderId="60" xfId="1" applyFont="1" applyBorder="1" applyAlignment="1">
      <alignment vertical="top"/>
    </xf>
    <xf numFmtId="14" fontId="0" fillId="0" borderId="61" xfId="0" applyNumberFormat="1" applyBorder="1" applyAlignment="1">
      <alignment horizontal="left" vertical="top"/>
    </xf>
    <xf numFmtId="0" fontId="0" fillId="0" borderId="61" xfId="0" applyBorder="1" applyAlignment="1">
      <alignment vertical="top"/>
    </xf>
    <xf numFmtId="44" fontId="0" fillId="0" borderId="48" xfId="2" applyFont="1" applyBorder="1" applyAlignment="1">
      <alignment vertical="top"/>
    </xf>
    <xf numFmtId="43" fontId="0" fillId="0" borderId="61" xfId="0" applyNumberFormat="1" applyBorder="1" applyAlignment="1">
      <alignment vertical="top"/>
    </xf>
    <xf numFmtId="44" fontId="0" fillId="0" borderId="61" xfId="0" applyNumberFormat="1" applyBorder="1" applyAlignment="1">
      <alignment vertical="top"/>
    </xf>
    <xf numFmtId="44" fontId="0" fillId="0" borderId="61" xfId="2" applyFont="1" applyBorder="1" applyAlignment="1">
      <alignment vertical="top"/>
    </xf>
    <xf numFmtId="165" fontId="24" fillId="13" borderId="61" xfId="0" applyNumberFormat="1" applyFont="1" applyFill="1" applyBorder="1" applyAlignment="1">
      <alignment vertical="top"/>
    </xf>
    <xf numFmtId="14" fontId="0" fillId="0" borderId="41" xfId="0" applyNumberFormat="1" applyBorder="1" applyAlignment="1">
      <alignment horizontal="left" vertical="top"/>
    </xf>
    <xf numFmtId="44" fontId="0" fillId="0" borderId="41" xfId="2" applyFont="1" applyBorder="1" applyAlignment="1">
      <alignment vertical="top"/>
    </xf>
    <xf numFmtId="43" fontId="0" fillId="0" borderId="41" xfId="0" applyNumberFormat="1" applyBorder="1" applyAlignment="1">
      <alignment vertical="top"/>
    </xf>
    <xf numFmtId="44" fontId="0" fillId="0" borderId="41" xfId="0" applyNumberFormat="1" applyBorder="1" applyAlignment="1">
      <alignment vertical="top"/>
    </xf>
    <xf numFmtId="165" fontId="24" fillId="13" borderId="41" xfId="0" applyNumberFormat="1" applyFont="1" applyFill="1" applyBorder="1" applyAlignment="1">
      <alignment vertical="top"/>
    </xf>
    <xf numFmtId="164" fontId="0" fillId="7" borderId="3" xfId="1" applyNumberFormat="1" applyFont="1" applyFill="1" applyBorder="1"/>
    <xf numFmtId="164" fontId="0" fillId="7" borderId="4" xfId="1" applyNumberFormat="1" applyFont="1" applyFill="1" applyBorder="1"/>
    <xf numFmtId="10" fontId="0" fillId="7" borderId="3" xfId="3" applyNumberFormat="1" applyFont="1" applyFill="1" applyBorder="1"/>
    <xf numFmtId="10" fontId="0" fillId="7" borderId="4" xfId="3" applyNumberFormat="1" applyFont="1" applyFill="1" applyBorder="1"/>
    <xf numFmtId="164" fontId="0" fillId="7" borderId="9" xfId="1" applyNumberFormat="1" applyFont="1" applyFill="1" applyBorder="1"/>
    <xf numFmtId="164" fontId="0" fillId="0" borderId="25" xfId="1" applyNumberFormat="1" applyFont="1" applyFill="1" applyBorder="1"/>
    <xf numFmtId="164" fontId="0" fillId="0" borderId="3" xfId="1" applyNumberFormat="1" applyFont="1" applyFill="1" applyBorder="1"/>
    <xf numFmtId="164" fontId="0" fillId="0" borderId="4" xfId="1" applyNumberFormat="1" applyFont="1" applyFill="1" applyBorder="1"/>
    <xf numFmtId="164" fontId="0" fillId="15" borderId="25" xfId="1" applyNumberFormat="1" applyFont="1" applyFill="1" applyBorder="1"/>
    <xf numFmtId="164" fontId="0" fillId="7" borderId="4" xfId="1" applyNumberFormat="1" applyFont="1" applyFill="1" applyBorder="1" applyAlignment="1">
      <alignment horizontal="right" wrapText="1"/>
    </xf>
    <xf numFmtId="164" fontId="3" fillId="7" borderId="4" xfId="1" applyNumberFormat="1" applyFont="1" applyFill="1" applyBorder="1" applyAlignment="1">
      <alignment horizontal="right" wrapText="1"/>
    </xf>
    <xf numFmtId="164" fontId="0" fillId="7" borderId="16" xfId="1" applyNumberFormat="1" applyFont="1" applyFill="1" applyBorder="1" applyAlignment="1">
      <alignment horizontal="right" wrapText="1"/>
    </xf>
    <xf numFmtId="0" fontId="3" fillId="2" borderId="2" xfId="0" applyFont="1" applyFill="1" applyBorder="1" applyAlignment="1">
      <alignment horizontal="center"/>
    </xf>
    <xf numFmtId="0" fontId="3" fillId="2" borderId="1" xfId="0" applyFont="1" applyFill="1" applyBorder="1" applyAlignment="1">
      <alignment horizontal="center"/>
    </xf>
    <xf numFmtId="0" fontId="0" fillId="0" borderId="0" xfId="0" applyAlignment="1">
      <alignment horizontal="center"/>
    </xf>
    <xf numFmtId="0" fontId="3" fillId="0" borderId="22" xfId="0" applyFont="1" applyBorder="1" applyAlignment="1">
      <alignment horizontal="center"/>
    </xf>
    <xf numFmtId="0" fontId="3" fillId="0" borderId="24" xfId="0" applyFont="1" applyBorder="1" applyAlignment="1">
      <alignment horizontal="center"/>
    </xf>
    <xf numFmtId="0" fontId="3" fillId="0" borderId="14" xfId="0" applyFont="1" applyBorder="1" applyAlignment="1">
      <alignment horizontal="center"/>
    </xf>
    <xf numFmtId="0" fontId="3" fillId="0" borderId="26" xfId="0" applyFont="1" applyBorder="1" applyAlignment="1">
      <alignment horizontal="center"/>
    </xf>
    <xf numFmtId="0" fontId="3" fillId="0" borderId="35" xfId="0" applyFont="1" applyBorder="1" applyAlignment="1">
      <alignment horizontal="center"/>
    </xf>
    <xf numFmtId="0" fontId="3" fillId="0" borderId="27" xfId="0" applyFont="1" applyBorder="1" applyAlignment="1">
      <alignment horizontal="center"/>
    </xf>
    <xf numFmtId="0" fontId="3" fillId="0" borderId="42" xfId="0" applyFont="1" applyBorder="1" applyAlignment="1">
      <alignment horizontal="center"/>
    </xf>
    <xf numFmtId="0" fontId="3" fillId="0" borderId="43" xfId="0" applyFont="1" applyBorder="1" applyAlignment="1">
      <alignment horizontal="center"/>
    </xf>
    <xf numFmtId="0" fontId="3" fillId="0" borderId="44" xfId="0" applyFont="1" applyBorder="1" applyAlignment="1">
      <alignment horizontal="center"/>
    </xf>
    <xf numFmtId="0" fontId="0" fillId="0" borderId="0" xfId="0" applyAlignment="1">
      <alignment horizontal="center" vertical="top" wrapText="1"/>
    </xf>
    <xf numFmtId="0" fontId="3" fillId="0" borderId="20" xfId="0" applyFont="1" applyBorder="1" applyAlignment="1">
      <alignment horizontal="center" wrapText="1"/>
    </xf>
    <xf numFmtId="0" fontId="3" fillId="0" borderId="4" xfId="0" applyFont="1" applyBorder="1" applyAlignment="1">
      <alignment horizontal="center" vertical="center"/>
    </xf>
    <xf numFmtId="0" fontId="3" fillId="7" borderId="26" xfId="0" applyFont="1" applyFill="1" applyBorder="1" applyAlignment="1">
      <alignment horizontal="center"/>
    </xf>
    <xf numFmtId="0" fontId="3" fillId="7" borderId="35" xfId="0" applyFont="1" applyFill="1" applyBorder="1" applyAlignment="1">
      <alignment horizontal="center"/>
    </xf>
    <xf numFmtId="0" fontId="3" fillId="7" borderId="27" xfId="0" applyFont="1" applyFill="1" applyBorder="1" applyAlignment="1">
      <alignment horizontal="center"/>
    </xf>
    <xf numFmtId="0" fontId="32" fillId="0" borderId="0" xfId="0" applyFont="1"/>
  </cellXfs>
  <cellStyles count="6">
    <cellStyle name="Comma" xfId="1" builtinId="3"/>
    <cellStyle name="Currency" xfId="2" builtinId="4"/>
    <cellStyle name="Hyperlink" xfId="4" builtinId="8"/>
    <cellStyle name="Normal" xfId="0" builtinId="0"/>
    <cellStyle name="Percent" xfId="3" builtinId="5"/>
    <cellStyle name="Percent 2" xfId="5" xr:uid="{5E4D2103-6631-44FA-9D81-2F669B7719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8343</xdr:colOff>
      <xdr:row>9</xdr:row>
      <xdr:rowOff>0</xdr:rowOff>
    </xdr:from>
    <xdr:to>
      <xdr:col>35</xdr:col>
      <xdr:colOff>429987</xdr:colOff>
      <xdr:row>30</xdr:row>
      <xdr:rowOff>185751</xdr:rowOff>
    </xdr:to>
    <xdr:pic>
      <xdr:nvPicPr>
        <xdr:cNvPr id="6" name="Picture 1">
          <a:extLst>
            <a:ext uri="{FF2B5EF4-FFF2-40B4-BE49-F238E27FC236}">
              <a16:creationId xmlns:a16="http://schemas.microsoft.com/office/drawing/2014/main" id="{D717D6A9-DC0B-67CD-99A4-21EBBC390B8B}"/>
            </a:ext>
          </a:extLst>
        </xdr:cNvPr>
        <xdr:cNvPicPr>
          <a:picLocks noChangeAspect="1"/>
        </xdr:cNvPicPr>
      </xdr:nvPicPr>
      <xdr:blipFill>
        <a:blip xmlns:r="http://schemas.openxmlformats.org/officeDocument/2006/relationships" r:embed="rId1"/>
        <a:stretch>
          <a:fillRect/>
        </a:stretch>
      </xdr:blipFill>
      <xdr:spPr>
        <a:xfrm>
          <a:off x="20718414" y="1941286"/>
          <a:ext cx="5298444" cy="36604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47625</xdr:colOff>
      <xdr:row>36</xdr:row>
      <xdr:rowOff>85725</xdr:rowOff>
    </xdr:from>
    <xdr:to>
      <xdr:col>6</xdr:col>
      <xdr:colOff>333375</xdr:colOff>
      <xdr:row>36</xdr:row>
      <xdr:rowOff>85725</xdr:rowOff>
    </xdr:to>
    <xdr:sp macro="" textlink="">
      <xdr:nvSpPr>
        <xdr:cNvPr id="13" name="Line 21">
          <a:extLst>
            <a:ext uri="{FF2B5EF4-FFF2-40B4-BE49-F238E27FC236}">
              <a16:creationId xmlns:a16="http://schemas.microsoft.com/office/drawing/2014/main" id="{13FAB89C-90E3-4790-AC82-57E8B78FFE8F}"/>
            </a:ext>
          </a:extLst>
        </xdr:cNvPr>
        <xdr:cNvSpPr>
          <a:spLocks noChangeShapeType="1"/>
        </xdr:cNvSpPr>
      </xdr:nvSpPr>
      <xdr:spPr bwMode="auto">
        <a:xfrm flipH="1">
          <a:off x="10014585" y="19669125"/>
          <a:ext cx="2857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400050</xdr:colOff>
      <xdr:row>44</xdr:row>
      <xdr:rowOff>9525</xdr:rowOff>
    </xdr:from>
    <xdr:to>
      <xdr:col>4</xdr:col>
      <xdr:colOff>400050</xdr:colOff>
      <xdr:row>46</xdr:row>
      <xdr:rowOff>95250</xdr:rowOff>
    </xdr:to>
    <xdr:sp macro="" textlink="">
      <xdr:nvSpPr>
        <xdr:cNvPr id="43" name="Line 1">
          <a:extLst>
            <a:ext uri="{FF2B5EF4-FFF2-40B4-BE49-F238E27FC236}">
              <a16:creationId xmlns:a16="http://schemas.microsoft.com/office/drawing/2014/main" id="{E0ED74F8-A214-4AFB-ADB3-FED0D547A29F}"/>
            </a:ext>
          </a:extLst>
        </xdr:cNvPr>
        <xdr:cNvSpPr>
          <a:spLocks noChangeShapeType="1"/>
        </xdr:cNvSpPr>
      </xdr:nvSpPr>
      <xdr:spPr bwMode="auto">
        <a:xfrm>
          <a:off x="6877050" y="21673185"/>
          <a:ext cx="0" cy="42100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352425</xdr:colOff>
      <xdr:row>44</xdr:row>
      <xdr:rowOff>19050</xdr:rowOff>
    </xdr:from>
    <xdr:to>
      <xdr:col>5</xdr:col>
      <xdr:colOff>352425</xdr:colOff>
      <xdr:row>47</xdr:row>
      <xdr:rowOff>104775</xdr:rowOff>
    </xdr:to>
    <xdr:sp macro="" textlink="">
      <xdr:nvSpPr>
        <xdr:cNvPr id="44" name="Line 2">
          <a:extLst>
            <a:ext uri="{FF2B5EF4-FFF2-40B4-BE49-F238E27FC236}">
              <a16:creationId xmlns:a16="http://schemas.microsoft.com/office/drawing/2014/main" id="{16DFF5EE-47A0-4A37-B55C-DC90811FFBE5}"/>
            </a:ext>
          </a:extLst>
        </xdr:cNvPr>
        <xdr:cNvSpPr>
          <a:spLocks noChangeShapeType="1"/>
        </xdr:cNvSpPr>
      </xdr:nvSpPr>
      <xdr:spPr bwMode="auto">
        <a:xfrm>
          <a:off x="8170545" y="21682710"/>
          <a:ext cx="0" cy="58864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400050</xdr:colOff>
      <xdr:row>44</xdr:row>
      <xdr:rowOff>19050</xdr:rowOff>
    </xdr:from>
    <xdr:to>
      <xdr:col>6</xdr:col>
      <xdr:colOff>400050</xdr:colOff>
      <xdr:row>48</xdr:row>
      <xdr:rowOff>76200</xdr:rowOff>
    </xdr:to>
    <xdr:sp macro="" textlink="">
      <xdr:nvSpPr>
        <xdr:cNvPr id="45" name="Line 3">
          <a:extLst>
            <a:ext uri="{FF2B5EF4-FFF2-40B4-BE49-F238E27FC236}">
              <a16:creationId xmlns:a16="http://schemas.microsoft.com/office/drawing/2014/main" id="{6D75A985-17A0-4404-8E43-77ED29A91547}"/>
            </a:ext>
          </a:extLst>
        </xdr:cNvPr>
        <xdr:cNvSpPr>
          <a:spLocks noChangeShapeType="1"/>
        </xdr:cNvSpPr>
      </xdr:nvSpPr>
      <xdr:spPr bwMode="auto">
        <a:xfrm>
          <a:off x="9589770" y="21682710"/>
          <a:ext cx="0" cy="72771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400050</xdr:colOff>
      <xdr:row>44</xdr:row>
      <xdr:rowOff>38100</xdr:rowOff>
    </xdr:from>
    <xdr:to>
      <xdr:col>7</xdr:col>
      <xdr:colOff>400050</xdr:colOff>
      <xdr:row>49</xdr:row>
      <xdr:rowOff>95250</xdr:rowOff>
    </xdr:to>
    <xdr:sp macro="" textlink="">
      <xdr:nvSpPr>
        <xdr:cNvPr id="46" name="Line 4">
          <a:extLst>
            <a:ext uri="{FF2B5EF4-FFF2-40B4-BE49-F238E27FC236}">
              <a16:creationId xmlns:a16="http://schemas.microsoft.com/office/drawing/2014/main" id="{24AAC537-565E-438B-B889-893FE728D10A}"/>
            </a:ext>
          </a:extLst>
        </xdr:cNvPr>
        <xdr:cNvSpPr>
          <a:spLocks noChangeShapeType="1"/>
        </xdr:cNvSpPr>
      </xdr:nvSpPr>
      <xdr:spPr bwMode="auto">
        <a:xfrm>
          <a:off x="10473690" y="21701760"/>
          <a:ext cx="0" cy="8953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57150</xdr:rowOff>
    </xdr:from>
    <xdr:to>
      <xdr:col>3</xdr:col>
      <xdr:colOff>476250</xdr:colOff>
      <xdr:row>45</xdr:row>
      <xdr:rowOff>57150</xdr:rowOff>
    </xdr:to>
    <xdr:sp macro="" textlink="">
      <xdr:nvSpPr>
        <xdr:cNvPr id="47" name="Line 6">
          <a:extLst>
            <a:ext uri="{FF2B5EF4-FFF2-40B4-BE49-F238E27FC236}">
              <a16:creationId xmlns:a16="http://schemas.microsoft.com/office/drawing/2014/main" id="{95F4E665-D404-495C-B380-DE33E0B6CD86}"/>
            </a:ext>
          </a:extLst>
        </xdr:cNvPr>
        <xdr:cNvSpPr>
          <a:spLocks noChangeShapeType="1"/>
        </xdr:cNvSpPr>
      </xdr:nvSpPr>
      <xdr:spPr bwMode="auto">
        <a:xfrm flipH="1">
          <a:off x="4709160" y="21888450"/>
          <a:ext cx="476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95250</xdr:rowOff>
    </xdr:from>
    <xdr:to>
      <xdr:col>4</xdr:col>
      <xdr:colOff>400050</xdr:colOff>
      <xdr:row>46</xdr:row>
      <xdr:rowOff>95250</xdr:rowOff>
    </xdr:to>
    <xdr:sp macro="" textlink="">
      <xdr:nvSpPr>
        <xdr:cNvPr id="48" name="Line 7">
          <a:extLst>
            <a:ext uri="{FF2B5EF4-FFF2-40B4-BE49-F238E27FC236}">
              <a16:creationId xmlns:a16="http://schemas.microsoft.com/office/drawing/2014/main" id="{8A8EE8A3-9C68-491D-A460-7EEDE56D2D69}"/>
            </a:ext>
          </a:extLst>
        </xdr:cNvPr>
        <xdr:cNvSpPr>
          <a:spLocks noChangeShapeType="1"/>
        </xdr:cNvSpPr>
      </xdr:nvSpPr>
      <xdr:spPr bwMode="auto">
        <a:xfrm flipH="1">
          <a:off x="4709160" y="22094190"/>
          <a:ext cx="216789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47</xdr:row>
      <xdr:rowOff>95250</xdr:rowOff>
    </xdr:from>
    <xdr:to>
      <xdr:col>5</xdr:col>
      <xdr:colOff>352425</xdr:colOff>
      <xdr:row>47</xdr:row>
      <xdr:rowOff>95250</xdr:rowOff>
    </xdr:to>
    <xdr:sp macro="" textlink="">
      <xdr:nvSpPr>
        <xdr:cNvPr id="49" name="Line 8">
          <a:extLst>
            <a:ext uri="{FF2B5EF4-FFF2-40B4-BE49-F238E27FC236}">
              <a16:creationId xmlns:a16="http://schemas.microsoft.com/office/drawing/2014/main" id="{23344A16-48AC-4044-BBF8-C2C55C21D909}"/>
            </a:ext>
          </a:extLst>
        </xdr:cNvPr>
        <xdr:cNvSpPr>
          <a:spLocks noChangeShapeType="1"/>
        </xdr:cNvSpPr>
      </xdr:nvSpPr>
      <xdr:spPr bwMode="auto">
        <a:xfrm flipH="1">
          <a:off x="4709160" y="22261830"/>
          <a:ext cx="346138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48</xdr:row>
      <xdr:rowOff>66675</xdr:rowOff>
    </xdr:from>
    <xdr:to>
      <xdr:col>6</xdr:col>
      <xdr:colOff>400050</xdr:colOff>
      <xdr:row>48</xdr:row>
      <xdr:rowOff>66675</xdr:rowOff>
    </xdr:to>
    <xdr:sp macro="" textlink="">
      <xdr:nvSpPr>
        <xdr:cNvPr id="50" name="Line 9">
          <a:extLst>
            <a:ext uri="{FF2B5EF4-FFF2-40B4-BE49-F238E27FC236}">
              <a16:creationId xmlns:a16="http://schemas.microsoft.com/office/drawing/2014/main" id="{4577AC63-0C54-4321-9CF1-AFCA708AAF46}"/>
            </a:ext>
          </a:extLst>
        </xdr:cNvPr>
        <xdr:cNvSpPr>
          <a:spLocks noChangeShapeType="1"/>
        </xdr:cNvSpPr>
      </xdr:nvSpPr>
      <xdr:spPr bwMode="auto">
        <a:xfrm flipH="1">
          <a:off x="4709160" y="22400895"/>
          <a:ext cx="488061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49</xdr:row>
      <xdr:rowOff>85725</xdr:rowOff>
    </xdr:from>
    <xdr:to>
      <xdr:col>7</xdr:col>
      <xdr:colOff>409575</xdr:colOff>
      <xdr:row>49</xdr:row>
      <xdr:rowOff>85725</xdr:rowOff>
    </xdr:to>
    <xdr:sp macro="" textlink="">
      <xdr:nvSpPr>
        <xdr:cNvPr id="51" name="Line 10">
          <a:extLst>
            <a:ext uri="{FF2B5EF4-FFF2-40B4-BE49-F238E27FC236}">
              <a16:creationId xmlns:a16="http://schemas.microsoft.com/office/drawing/2014/main" id="{8D60681B-2C1F-451A-855F-89228DC6F38D}"/>
            </a:ext>
          </a:extLst>
        </xdr:cNvPr>
        <xdr:cNvSpPr>
          <a:spLocks noChangeShapeType="1"/>
        </xdr:cNvSpPr>
      </xdr:nvSpPr>
      <xdr:spPr bwMode="auto">
        <a:xfrm flipH="1">
          <a:off x="4709160" y="22587585"/>
          <a:ext cx="577405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466725</xdr:colOff>
      <xdr:row>44</xdr:row>
      <xdr:rowOff>0</xdr:rowOff>
    </xdr:from>
    <xdr:to>
      <xdr:col>3</xdr:col>
      <xdr:colOff>466725</xdr:colOff>
      <xdr:row>45</xdr:row>
      <xdr:rowOff>57150</xdr:rowOff>
    </xdr:to>
    <xdr:sp macro="" textlink="">
      <xdr:nvSpPr>
        <xdr:cNvPr id="52" name="Line 12">
          <a:extLst>
            <a:ext uri="{FF2B5EF4-FFF2-40B4-BE49-F238E27FC236}">
              <a16:creationId xmlns:a16="http://schemas.microsoft.com/office/drawing/2014/main" id="{442C6EC0-9DDC-44BB-BE0C-F73F5B6D05DA}"/>
            </a:ext>
          </a:extLst>
        </xdr:cNvPr>
        <xdr:cNvSpPr>
          <a:spLocks noChangeShapeType="1"/>
        </xdr:cNvSpPr>
      </xdr:nvSpPr>
      <xdr:spPr bwMode="auto">
        <a:xfrm>
          <a:off x="5175885" y="21663660"/>
          <a:ext cx="0" cy="22479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400050</xdr:colOff>
      <xdr:row>44</xdr:row>
      <xdr:rowOff>9525</xdr:rowOff>
    </xdr:from>
    <xdr:to>
      <xdr:col>4</xdr:col>
      <xdr:colOff>400050</xdr:colOff>
      <xdr:row>46</xdr:row>
      <xdr:rowOff>95250</xdr:rowOff>
    </xdr:to>
    <xdr:sp macro="" textlink="">
      <xdr:nvSpPr>
        <xdr:cNvPr id="53" name="Line 1">
          <a:extLst>
            <a:ext uri="{FF2B5EF4-FFF2-40B4-BE49-F238E27FC236}">
              <a16:creationId xmlns:a16="http://schemas.microsoft.com/office/drawing/2014/main" id="{D0BF18EF-B9A4-43D0-A23E-918C9551E6F9}"/>
            </a:ext>
          </a:extLst>
        </xdr:cNvPr>
        <xdr:cNvSpPr>
          <a:spLocks noChangeShapeType="1"/>
        </xdr:cNvSpPr>
      </xdr:nvSpPr>
      <xdr:spPr bwMode="auto">
        <a:xfrm>
          <a:off x="6877050" y="21673185"/>
          <a:ext cx="0" cy="42100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352425</xdr:colOff>
      <xdr:row>44</xdr:row>
      <xdr:rowOff>19050</xdr:rowOff>
    </xdr:from>
    <xdr:to>
      <xdr:col>5</xdr:col>
      <xdr:colOff>352425</xdr:colOff>
      <xdr:row>47</xdr:row>
      <xdr:rowOff>104775</xdr:rowOff>
    </xdr:to>
    <xdr:sp macro="" textlink="">
      <xdr:nvSpPr>
        <xdr:cNvPr id="54" name="Line 2">
          <a:extLst>
            <a:ext uri="{FF2B5EF4-FFF2-40B4-BE49-F238E27FC236}">
              <a16:creationId xmlns:a16="http://schemas.microsoft.com/office/drawing/2014/main" id="{BADC3F76-BF81-4E0D-ADA1-48FBBDAFC51C}"/>
            </a:ext>
          </a:extLst>
        </xdr:cNvPr>
        <xdr:cNvSpPr>
          <a:spLocks noChangeShapeType="1"/>
        </xdr:cNvSpPr>
      </xdr:nvSpPr>
      <xdr:spPr bwMode="auto">
        <a:xfrm>
          <a:off x="8170545" y="21682710"/>
          <a:ext cx="0" cy="58864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400050</xdr:colOff>
      <xdr:row>44</xdr:row>
      <xdr:rowOff>19050</xdr:rowOff>
    </xdr:from>
    <xdr:to>
      <xdr:col>6</xdr:col>
      <xdr:colOff>400050</xdr:colOff>
      <xdr:row>48</xdr:row>
      <xdr:rowOff>76200</xdr:rowOff>
    </xdr:to>
    <xdr:sp macro="" textlink="">
      <xdr:nvSpPr>
        <xdr:cNvPr id="55" name="Line 3">
          <a:extLst>
            <a:ext uri="{FF2B5EF4-FFF2-40B4-BE49-F238E27FC236}">
              <a16:creationId xmlns:a16="http://schemas.microsoft.com/office/drawing/2014/main" id="{48D7B8D2-85C1-4D0D-A845-83922F0AF697}"/>
            </a:ext>
          </a:extLst>
        </xdr:cNvPr>
        <xdr:cNvSpPr>
          <a:spLocks noChangeShapeType="1"/>
        </xdr:cNvSpPr>
      </xdr:nvSpPr>
      <xdr:spPr bwMode="auto">
        <a:xfrm>
          <a:off x="9589770" y="21682710"/>
          <a:ext cx="0" cy="72771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400050</xdr:colOff>
      <xdr:row>44</xdr:row>
      <xdr:rowOff>38100</xdr:rowOff>
    </xdr:from>
    <xdr:to>
      <xdr:col>7</xdr:col>
      <xdr:colOff>400050</xdr:colOff>
      <xdr:row>49</xdr:row>
      <xdr:rowOff>95250</xdr:rowOff>
    </xdr:to>
    <xdr:sp macro="" textlink="">
      <xdr:nvSpPr>
        <xdr:cNvPr id="56" name="Line 4">
          <a:extLst>
            <a:ext uri="{FF2B5EF4-FFF2-40B4-BE49-F238E27FC236}">
              <a16:creationId xmlns:a16="http://schemas.microsoft.com/office/drawing/2014/main" id="{6DE3EDFB-C0DA-4476-869D-9A93EBE94776}"/>
            </a:ext>
          </a:extLst>
        </xdr:cNvPr>
        <xdr:cNvSpPr>
          <a:spLocks noChangeShapeType="1"/>
        </xdr:cNvSpPr>
      </xdr:nvSpPr>
      <xdr:spPr bwMode="auto">
        <a:xfrm>
          <a:off x="10473690" y="21701760"/>
          <a:ext cx="0" cy="8953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57150</xdr:rowOff>
    </xdr:from>
    <xdr:to>
      <xdr:col>3</xdr:col>
      <xdr:colOff>476250</xdr:colOff>
      <xdr:row>45</xdr:row>
      <xdr:rowOff>57150</xdr:rowOff>
    </xdr:to>
    <xdr:sp macro="" textlink="">
      <xdr:nvSpPr>
        <xdr:cNvPr id="57" name="Line 6">
          <a:extLst>
            <a:ext uri="{FF2B5EF4-FFF2-40B4-BE49-F238E27FC236}">
              <a16:creationId xmlns:a16="http://schemas.microsoft.com/office/drawing/2014/main" id="{2BF2CD11-66F2-4210-9DB0-6F0A9AEC8D6F}"/>
            </a:ext>
          </a:extLst>
        </xdr:cNvPr>
        <xdr:cNvSpPr>
          <a:spLocks noChangeShapeType="1"/>
        </xdr:cNvSpPr>
      </xdr:nvSpPr>
      <xdr:spPr bwMode="auto">
        <a:xfrm flipH="1">
          <a:off x="4709160" y="21888450"/>
          <a:ext cx="476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95250</xdr:rowOff>
    </xdr:from>
    <xdr:to>
      <xdr:col>4</xdr:col>
      <xdr:colOff>400050</xdr:colOff>
      <xdr:row>46</xdr:row>
      <xdr:rowOff>95250</xdr:rowOff>
    </xdr:to>
    <xdr:sp macro="" textlink="">
      <xdr:nvSpPr>
        <xdr:cNvPr id="58" name="Line 7">
          <a:extLst>
            <a:ext uri="{FF2B5EF4-FFF2-40B4-BE49-F238E27FC236}">
              <a16:creationId xmlns:a16="http://schemas.microsoft.com/office/drawing/2014/main" id="{6C93704A-46C8-4ABD-8F32-B2E224050471}"/>
            </a:ext>
          </a:extLst>
        </xdr:cNvPr>
        <xdr:cNvSpPr>
          <a:spLocks noChangeShapeType="1"/>
        </xdr:cNvSpPr>
      </xdr:nvSpPr>
      <xdr:spPr bwMode="auto">
        <a:xfrm flipH="1">
          <a:off x="4709160" y="22094190"/>
          <a:ext cx="216789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47</xdr:row>
      <xdr:rowOff>95250</xdr:rowOff>
    </xdr:from>
    <xdr:to>
      <xdr:col>5</xdr:col>
      <xdr:colOff>352425</xdr:colOff>
      <xdr:row>47</xdr:row>
      <xdr:rowOff>95250</xdr:rowOff>
    </xdr:to>
    <xdr:sp macro="" textlink="">
      <xdr:nvSpPr>
        <xdr:cNvPr id="59" name="Line 8">
          <a:extLst>
            <a:ext uri="{FF2B5EF4-FFF2-40B4-BE49-F238E27FC236}">
              <a16:creationId xmlns:a16="http://schemas.microsoft.com/office/drawing/2014/main" id="{8D3E7E0B-0CAF-43DD-9C48-8E63B85885C5}"/>
            </a:ext>
          </a:extLst>
        </xdr:cNvPr>
        <xdr:cNvSpPr>
          <a:spLocks noChangeShapeType="1"/>
        </xdr:cNvSpPr>
      </xdr:nvSpPr>
      <xdr:spPr bwMode="auto">
        <a:xfrm flipH="1">
          <a:off x="4709160" y="22261830"/>
          <a:ext cx="346138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48</xdr:row>
      <xdr:rowOff>66675</xdr:rowOff>
    </xdr:from>
    <xdr:to>
      <xdr:col>6</xdr:col>
      <xdr:colOff>400050</xdr:colOff>
      <xdr:row>48</xdr:row>
      <xdr:rowOff>66675</xdr:rowOff>
    </xdr:to>
    <xdr:sp macro="" textlink="">
      <xdr:nvSpPr>
        <xdr:cNvPr id="60" name="Line 9">
          <a:extLst>
            <a:ext uri="{FF2B5EF4-FFF2-40B4-BE49-F238E27FC236}">
              <a16:creationId xmlns:a16="http://schemas.microsoft.com/office/drawing/2014/main" id="{A68A9BB8-71C5-431F-BEC2-5DAF70A6EBBB}"/>
            </a:ext>
          </a:extLst>
        </xdr:cNvPr>
        <xdr:cNvSpPr>
          <a:spLocks noChangeShapeType="1"/>
        </xdr:cNvSpPr>
      </xdr:nvSpPr>
      <xdr:spPr bwMode="auto">
        <a:xfrm flipH="1">
          <a:off x="4709160" y="22400895"/>
          <a:ext cx="488061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49</xdr:row>
      <xdr:rowOff>85725</xdr:rowOff>
    </xdr:from>
    <xdr:to>
      <xdr:col>7</xdr:col>
      <xdr:colOff>409575</xdr:colOff>
      <xdr:row>49</xdr:row>
      <xdr:rowOff>85725</xdr:rowOff>
    </xdr:to>
    <xdr:sp macro="" textlink="">
      <xdr:nvSpPr>
        <xdr:cNvPr id="61" name="Line 10">
          <a:extLst>
            <a:ext uri="{FF2B5EF4-FFF2-40B4-BE49-F238E27FC236}">
              <a16:creationId xmlns:a16="http://schemas.microsoft.com/office/drawing/2014/main" id="{A4108F50-EAC4-4D96-AEC8-1E9984BBA26F}"/>
            </a:ext>
          </a:extLst>
        </xdr:cNvPr>
        <xdr:cNvSpPr>
          <a:spLocks noChangeShapeType="1"/>
        </xdr:cNvSpPr>
      </xdr:nvSpPr>
      <xdr:spPr bwMode="auto">
        <a:xfrm flipH="1">
          <a:off x="4709160" y="22587585"/>
          <a:ext cx="577405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466725</xdr:colOff>
      <xdr:row>44</xdr:row>
      <xdr:rowOff>0</xdr:rowOff>
    </xdr:from>
    <xdr:to>
      <xdr:col>3</xdr:col>
      <xdr:colOff>466725</xdr:colOff>
      <xdr:row>45</xdr:row>
      <xdr:rowOff>57150</xdr:rowOff>
    </xdr:to>
    <xdr:sp macro="" textlink="">
      <xdr:nvSpPr>
        <xdr:cNvPr id="62" name="Line 12">
          <a:extLst>
            <a:ext uri="{FF2B5EF4-FFF2-40B4-BE49-F238E27FC236}">
              <a16:creationId xmlns:a16="http://schemas.microsoft.com/office/drawing/2014/main" id="{5977BF91-9C10-4452-8F4B-2CBBFDA97A5C}"/>
            </a:ext>
          </a:extLst>
        </xdr:cNvPr>
        <xdr:cNvSpPr>
          <a:spLocks noChangeShapeType="1"/>
        </xdr:cNvSpPr>
      </xdr:nvSpPr>
      <xdr:spPr bwMode="auto">
        <a:xfrm>
          <a:off x="5175885" y="21663660"/>
          <a:ext cx="0" cy="22479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IB.xlsx" TargetMode="External"/><Relationship Id="rId1" Type="http://schemas.openxmlformats.org/officeDocument/2006/relationships/externalLinkPath" Target="/Users/ADMIN/Desktop/I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Income Statement"/>
      <sheetName val="2. Balance Sheet"/>
      <sheetName val="3. Cash Flow"/>
      <sheetName val="4. Valuation 1-3"/>
      <sheetName val="5. Projected Analysis"/>
      <sheetName val="5. DCF"/>
      <sheetName val="Answer Sheet"/>
      <sheetName val="5. DCF (2)"/>
    </sheetNames>
    <sheetDataSet>
      <sheetData sheetId="0"/>
      <sheetData sheetId="1"/>
      <sheetData sheetId="2"/>
      <sheetData sheetId="3">
        <row r="3">
          <cell r="F3">
            <v>64351</v>
          </cell>
          <cell r="G3">
            <v>1043</v>
          </cell>
        </row>
        <row r="24">
          <cell r="C24">
            <v>9.9568152685171309</v>
          </cell>
        </row>
      </sheetData>
      <sheetData sheetId="4">
        <row r="4">
          <cell r="F4">
            <v>63627</v>
          </cell>
          <cell r="K4">
            <v>64263.270000000004</v>
          </cell>
          <cell r="L4">
            <v>65227.21905</v>
          </cell>
          <cell r="M4">
            <v>66857.899526249996</v>
          </cell>
          <cell r="N4">
            <v>68863.636512037498</v>
          </cell>
        </row>
        <row r="5">
          <cell r="F5">
            <v>17851</v>
          </cell>
          <cell r="K5">
            <v>17351.082900000001</v>
          </cell>
          <cell r="L5">
            <v>17611.349143500003</v>
          </cell>
          <cell r="M5">
            <v>18051.632872087503</v>
          </cell>
          <cell r="N5">
            <v>18593.181858250129</v>
          </cell>
          <cell r="O5">
            <v>19150.977313997631</v>
          </cell>
        </row>
        <row r="7">
          <cell r="F7">
            <v>33365</v>
          </cell>
          <cell r="K7">
            <v>32131.635000000002</v>
          </cell>
          <cell r="L7">
            <v>31961.3373345</v>
          </cell>
          <cell r="M7">
            <v>32091.791772599998</v>
          </cell>
          <cell r="N7">
            <v>32365.909160657622</v>
          </cell>
          <cell r="O7">
            <v>31918.295523329383</v>
          </cell>
        </row>
        <row r="12">
          <cell r="F12">
            <v>-28</v>
          </cell>
          <cell r="K12">
            <v>723.85163262771357</v>
          </cell>
          <cell r="L12">
            <v>1045.9193808217703</v>
          </cell>
          <cell r="M12">
            <v>1141.5801984782561</v>
          </cell>
          <cell r="N12">
            <v>1403.607690332012</v>
          </cell>
          <cell r="O12">
            <v>2299.3342049306798</v>
          </cell>
        </row>
        <row r="16">
          <cell r="K16">
            <v>0.01</v>
          </cell>
          <cell r="L16">
            <v>1.4999999999999999E-2</v>
          </cell>
          <cell r="M16">
            <v>2.5000000000000001E-2</v>
          </cell>
          <cell r="N16">
            <v>0.03</v>
          </cell>
          <cell r="O16">
            <v>0.03</v>
          </cell>
        </row>
        <row r="22">
          <cell r="F22">
            <v>7013</v>
          </cell>
          <cell r="K22">
            <v>5673.7686274385605</v>
          </cell>
          <cell r="L22">
            <v>5758.8751568501384</v>
          </cell>
          <cell r="M22">
            <v>5902.8470357713913</v>
          </cell>
          <cell r="N22">
            <v>6079.9324468445329</v>
          </cell>
          <cell r="O22">
            <v>6262.3304202498693</v>
          </cell>
        </row>
        <row r="23">
          <cell r="F23">
            <v>2909</v>
          </cell>
          <cell r="K23">
            <v>2891.8471500000001</v>
          </cell>
          <cell r="L23">
            <v>2739.5432001000004</v>
          </cell>
          <cell r="M23">
            <v>2674.3159810499997</v>
          </cell>
          <cell r="N23">
            <v>2754.5454604815</v>
          </cell>
          <cell r="O23">
            <v>2837.1818242959453</v>
          </cell>
        </row>
      </sheetData>
      <sheetData sheetId="5">
        <row r="4">
          <cell r="E4">
            <v>9.8099099999999995E-2</v>
          </cell>
        </row>
        <row r="6">
          <cell r="G6">
            <v>8.9418384239827689E-2</v>
          </cell>
        </row>
      </sheetData>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andrea antonuzzo" id="{79636275-0B8C-41F8-B42F-6C407BBF1BC0}" userId="d04dfc7012b3eda5"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66" dT="2026-01-25T22:59:20.64" personId="{79636275-0B8C-41F8-B42F-6C407BBF1BC0}" id="{7983D777-FB39-4597-942B-35440454FCC8}">
    <text xml:space="preserve">Since most of the target companies operate in the pharmaceutical sector and are relatively small in size, they exhibit negative EBITDA multiples due to substantial investments in research and development.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F7751-34EC-4A3F-97AA-531931CCCDCB}">
  <dimension ref="B1:Q147"/>
  <sheetViews>
    <sheetView showGridLines="0" tabSelected="1" zoomScale="71" workbookViewId="0">
      <selection activeCell="E139" sqref="E139"/>
    </sheetView>
  </sheetViews>
  <sheetFormatPr defaultRowHeight="13.2" x14ac:dyDescent="0.25"/>
  <cols>
    <col min="1" max="1" width="8.88671875" customWidth="1"/>
    <col min="2" max="2" width="31.6640625" customWidth="1"/>
    <col min="3" max="3" width="15.6640625" bestFit="1" customWidth="1"/>
    <col min="4" max="4" width="28.77734375" bestFit="1" customWidth="1"/>
    <col min="5" max="5" width="25.77734375" bestFit="1" customWidth="1"/>
    <col min="6" max="6" width="19.5546875" bestFit="1" customWidth="1"/>
    <col min="7" max="7" width="20" bestFit="1" customWidth="1"/>
    <col min="8" max="8" width="12.88671875" bestFit="1" customWidth="1"/>
    <col min="9" max="9" width="23.21875" bestFit="1" customWidth="1"/>
    <col min="10" max="10" width="19.33203125" bestFit="1" customWidth="1"/>
    <col min="11" max="11" width="21.33203125" bestFit="1" customWidth="1"/>
    <col min="12" max="12" width="21.109375" bestFit="1" customWidth="1"/>
    <col min="13" max="13" width="19.33203125" bestFit="1" customWidth="1"/>
    <col min="16" max="16" width="14.77734375" bestFit="1" customWidth="1"/>
  </cols>
  <sheetData>
    <row r="1" spans="2:9" x14ac:dyDescent="0.25">
      <c r="B1" s="1" t="s">
        <v>351</v>
      </c>
    </row>
    <row r="2" spans="2:9" x14ac:dyDescent="0.25">
      <c r="B2" s="361" t="s">
        <v>5</v>
      </c>
      <c r="C2" s="361" t="s">
        <v>346</v>
      </c>
    </row>
    <row r="3" spans="2:9" x14ac:dyDescent="0.25">
      <c r="B3" s="56" t="s">
        <v>347</v>
      </c>
      <c r="C3" s="279">
        <f>'4. Valuation 1-3'!I3</f>
        <v>218922.872</v>
      </c>
      <c r="D3" s="278" t="s">
        <v>355</v>
      </c>
    </row>
    <row r="4" spans="2:9" x14ac:dyDescent="0.25">
      <c r="B4" s="56" t="s">
        <v>255</v>
      </c>
      <c r="C4" s="279">
        <f>'4. Valuation 1-3'!I21</f>
        <v>22849</v>
      </c>
      <c r="D4" s="278" t="s">
        <v>355</v>
      </c>
    </row>
    <row r="5" spans="2:9" x14ac:dyDescent="0.25">
      <c r="B5" s="280" t="s">
        <v>348</v>
      </c>
      <c r="C5" s="281">
        <f>C3/C4</f>
        <v>9.5812889842006221</v>
      </c>
      <c r="D5" s="278" t="s">
        <v>349</v>
      </c>
    </row>
    <row r="7" spans="2:9" x14ac:dyDescent="0.25">
      <c r="B7" s="1" t="s">
        <v>352</v>
      </c>
    </row>
    <row r="8" spans="2:9" x14ac:dyDescent="0.25">
      <c r="B8" s="361" t="s">
        <v>5</v>
      </c>
      <c r="C8" s="361" t="s">
        <v>346</v>
      </c>
    </row>
    <row r="9" spans="2:9" x14ac:dyDescent="0.25">
      <c r="B9" s="56" t="s">
        <v>353</v>
      </c>
      <c r="C9" s="290">
        <f>'2. Balance Sheet'!B31</f>
        <v>57405</v>
      </c>
      <c r="D9" s="278" t="s">
        <v>356</v>
      </c>
    </row>
    <row r="10" spans="2:9" x14ac:dyDescent="0.25">
      <c r="B10" s="56" t="s">
        <v>255</v>
      </c>
      <c r="C10" s="290">
        <f>'4. Valuation 1-3'!I21</f>
        <v>22849</v>
      </c>
      <c r="D10" s="278" t="s">
        <v>356</v>
      </c>
    </row>
    <row r="11" spans="2:9" x14ac:dyDescent="0.25">
      <c r="B11" s="280" t="s">
        <v>354</v>
      </c>
      <c r="C11" s="281">
        <f>C9/C10</f>
        <v>2.5123637795964813</v>
      </c>
      <c r="D11" s="278" t="s">
        <v>349</v>
      </c>
    </row>
    <row r="12" spans="2:9" x14ac:dyDescent="0.25">
      <c r="B12" s="1"/>
      <c r="C12" s="1"/>
    </row>
    <row r="13" spans="2:9" x14ac:dyDescent="0.25">
      <c r="B13" s="1"/>
      <c r="C13" s="1"/>
    </row>
    <row r="14" spans="2:9" ht="13.8" thickBot="1" x14ac:dyDescent="0.3">
      <c r="B14" s="1" t="s">
        <v>350</v>
      </c>
    </row>
    <row r="15" spans="2:9" ht="13.8" thickBot="1" x14ac:dyDescent="0.3">
      <c r="B15" s="282" t="s">
        <v>126</v>
      </c>
      <c r="C15" s="283" t="s">
        <v>127</v>
      </c>
      <c r="D15" s="284" t="s">
        <v>128</v>
      </c>
      <c r="E15" s="284" t="s">
        <v>137</v>
      </c>
      <c r="F15" s="284" t="s">
        <v>130</v>
      </c>
      <c r="G15" s="285" t="s">
        <v>131</v>
      </c>
      <c r="H15" s="286" t="s">
        <v>132</v>
      </c>
      <c r="I15" s="287" t="s">
        <v>133</v>
      </c>
    </row>
    <row r="16" spans="2:9" ht="13.8" thickBot="1" x14ac:dyDescent="0.3">
      <c r="B16" s="103" t="s">
        <v>134</v>
      </c>
      <c r="C16" s="104" t="s">
        <v>135</v>
      </c>
      <c r="D16" s="288">
        <v>27.37</v>
      </c>
      <c r="E16" s="289">
        <v>5685.6</v>
      </c>
      <c r="F16" s="107">
        <f>+E16*D16</f>
        <v>155614.872</v>
      </c>
      <c r="G16" s="108">
        <f>'2. Balance Sheet'!B23+'2. Balance Sheet'!B31</f>
        <v>64351</v>
      </c>
      <c r="H16" s="108">
        <f>'2. Balance Sheet'!B7</f>
        <v>1043</v>
      </c>
      <c r="I16" s="110">
        <f>+G16+F16-H16</f>
        <v>218922.872</v>
      </c>
    </row>
    <row r="18" spans="2:12" x14ac:dyDescent="0.25">
      <c r="B18" s="1" t="s">
        <v>357</v>
      </c>
    </row>
    <row r="19" spans="2:12" x14ac:dyDescent="0.25">
      <c r="B19" s="276" t="s">
        <v>398</v>
      </c>
    </row>
    <row r="20" spans="2:12" ht="13.8" thickBot="1" x14ac:dyDescent="0.3">
      <c r="G20" s="331" t="s">
        <v>365</v>
      </c>
      <c r="H20" s="331"/>
      <c r="I20" s="331" t="s">
        <v>349</v>
      </c>
      <c r="J20" s="331" t="s">
        <v>365</v>
      </c>
      <c r="K20" s="331" t="s">
        <v>349</v>
      </c>
      <c r="L20" s="332" t="s">
        <v>365</v>
      </c>
    </row>
    <row r="21" spans="2:12" ht="13.8" thickBot="1" x14ac:dyDescent="0.3">
      <c r="B21" s="286" t="s">
        <v>126</v>
      </c>
      <c r="C21" s="286" t="s">
        <v>127</v>
      </c>
      <c r="D21" s="286" t="s">
        <v>128</v>
      </c>
      <c r="E21" s="286" t="s">
        <v>137</v>
      </c>
      <c r="F21" s="286" t="s">
        <v>130</v>
      </c>
      <c r="G21" s="330" t="s">
        <v>131</v>
      </c>
      <c r="H21" s="330" t="s">
        <v>132</v>
      </c>
      <c r="I21" s="330" t="s">
        <v>133</v>
      </c>
      <c r="J21" s="330" t="s">
        <v>139</v>
      </c>
      <c r="K21" s="286" t="s">
        <v>140</v>
      </c>
      <c r="L21" s="286" t="s">
        <v>141</v>
      </c>
    </row>
    <row r="22" spans="2:12" ht="13.8" x14ac:dyDescent="0.25">
      <c r="B22" s="315" t="s">
        <v>142</v>
      </c>
      <c r="C22" s="303" t="s">
        <v>143</v>
      </c>
      <c r="D22" s="319">
        <v>839.87</v>
      </c>
      <c r="E22" s="321">
        <v>946.5</v>
      </c>
      <c r="F22" s="324">
        <f>E22+D22</f>
        <v>1786.37</v>
      </c>
      <c r="G22" s="324">
        <v>34790.800000000003</v>
      </c>
      <c r="H22" s="324">
        <v>3268.4</v>
      </c>
      <c r="I22" s="304">
        <f t="shared" ref="I22:I30" si="0">+F22+G22-H22</f>
        <v>33308.770000000004</v>
      </c>
      <c r="J22" s="291">
        <v>4117.1000000000004</v>
      </c>
      <c r="K22" s="305">
        <f>+I22/J22</f>
        <v>8.0903475747492166</v>
      </c>
      <c r="L22" s="306">
        <v>0.81</v>
      </c>
    </row>
    <row r="23" spans="2:12" ht="13.8" x14ac:dyDescent="0.25">
      <c r="B23" s="316" t="s">
        <v>144</v>
      </c>
      <c r="C23" s="292" t="s">
        <v>145</v>
      </c>
      <c r="D23" s="319">
        <v>188.64</v>
      </c>
      <c r="E23" s="322">
        <v>2408.3000000000002</v>
      </c>
      <c r="F23" s="324">
        <f t="shared" ref="F23" si="1">+E23*D23</f>
        <v>454301.712</v>
      </c>
      <c r="G23" s="324">
        <v>37834</v>
      </c>
      <c r="H23" s="324">
        <v>24105</v>
      </c>
      <c r="I23" s="304">
        <f t="shared" si="0"/>
        <v>468030.712</v>
      </c>
      <c r="J23" s="293">
        <v>28577</v>
      </c>
      <c r="K23" s="305">
        <f t="shared" ref="K23" si="2">+I23/J23</f>
        <v>16.377881233159535</v>
      </c>
      <c r="L23" s="306">
        <v>0.48</v>
      </c>
    </row>
    <row r="24" spans="2:12" ht="13.8" x14ac:dyDescent="0.25">
      <c r="B24" s="316" t="s">
        <v>146</v>
      </c>
      <c r="C24" s="292" t="s">
        <v>147</v>
      </c>
      <c r="D24" s="319">
        <v>89.19</v>
      </c>
      <c r="E24" s="322">
        <v>2497.8000000000002</v>
      </c>
      <c r="F24" s="324">
        <f>+E24*D24</f>
        <v>222778.78200000001</v>
      </c>
      <c r="G24" s="324">
        <v>38270</v>
      </c>
      <c r="H24" s="324">
        <v>13242</v>
      </c>
      <c r="I24" s="304">
        <f t="shared" si="0"/>
        <v>247806.78200000001</v>
      </c>
      <c r="J24" s="293">
        <v>24659</v>
      </c>
      <c r="K24" s="305">
        <f>+I24/J24</f>
        <v>10.049344336753315</v>
      </c>
      <c r="L24" s="306">
        <v>0.63</v>
      </c>
    </row>
    <row r="25" spans="2:12" ht="13.8" x14ac:dyDescent="0.25">
      <c r="B25" s="316" t="s">
        <v>148</v>
      </c>
      <c r="C25" s="292" t="s">
        <v>149</v>
      </c>
      <c r="D25" s="319">
        <v>28.49</v>
      </c>
      <c r="E25" s="322">
        <v>390.6</v>
      </c>
      <c r="F25" s="324">
        <f t="shared" ref="F25:F30" si="3">+E25*D25</f>
        <v>11128.194</v>
      </c>
      <c r="G25" s="324">
        <v>747</v>
      </c>
      <c r="H25" s="324">
        <v>1927</v>
      </c>
      <c r="I25" s="304">
        <f t="shared" si="0"/>
        <v>9948.1939999999995</v>
      </c>
      <c r="J25" s="293">
        <v>-3653</v>
      </c>
      <c r="K25" s="305">
        <f t="shared" ref="K25:K30" si="4">+I25/J25</f>
        <v>-2.7232942786750614</v>
      </c>
      <c r="L25" s="306">
        <v>1.17</v>
      </c>
    </row>
    <row r="26" spans="2:12" ht="13.8" x14ac:dyDescent="0.25">
      <c r="B26" s="316" t="s">
        <v>150</v>
      </c>
      <c r="C26" s="292" t="s">
        <v>151</v>
      </c>
      <c r="D26" s="319">
        <v>403.3</v>
      </c>
      <c r="E26" s="322">
        <v>256.39999999999998</v>
      </c>
      <c r="F26" s="324">
        <f t="shared" si="3"/>
        <v>103406.12</v>
      </c>
      <c r="G26" s="324">
        <v>1749.5</v>
      </c>
      <c r="H26" s="324">
        <v>4569.6000000000004</v>
      </c>
      <c r="I26" s="304">
        <f t="shared" si="0"/>
        <v>100586.01999999999</v>
      </c>
      <c r="J26" s="293">
        <v>4913.3</v>
      </c>
      <c r="K26" s="307">
        <f t="shared" si="4"/>
        <v>20.472191805914555</v>
      </c>
      <c r="L26" s="306">
        <v>0.76</v>
      </c>
    </row>
    <row r="27" spans="2:12" ht="13.8" x14ac:dyDescent="0.25">
      <c r="B27" s="317" t="s">
        <v>152</v>
      </c>
      <c r="C27" s="292" t="s">
        <v>153</v>
      </c>
      <c r="D27" s="319">
        <v>600</v>
      </c>
      <c r="E27" s="322">
        <v>104.2</v>
      </c>
      <c r="F27" s="324">
        <f t="shared" si="3"/>
        <v>62520</v>
      </c>
      <c r="G27" s="324">
        <v>2938.8</v>
      </c>
      <c r="H27" s="324">
        <v>2488.1999999999998</v>
      </c>
      <c r="I27" s="304">
        <f t="shared" si="0"/>
        <v>62970.600000000006</v>
      </c>
      <c r="J27" s="293">
        <v>4746.6000000000004</v>
      </c>
      <c r="K27" s="307">
        <f t="shared" si="4"/>
        <v>13.266464416635065</v>
      </c>
      <c r="L27" s="306">
        <v>0.85</v>
      </c>
    </row>
    <row r="28" spans="2:12" ht="13.8" x14ac:dyDescent="0.25">
      <c r="B28" s="317" t="s">
        <v>154</v>
      </c>
      <c r="C28" s="292" t="s">
        <v>155</v>
      </c>
      <c r="D28" s="319">
        <v>45.45</v>
      </c>
      <c r="E28" s="322">
        <v>2035.4</v>
      </c>
      <c r="F28" s="324">
        <f>+E28*D28</f>
        <v>92508.930000000008</v>
      </c>
      <c r="G28" s="324">
        <v>51200</v>
      </c>
      <c r="H28" s="324">
        <v>10346</v>
      </c>
      <c r="I28" s="304">
        <f t="shared" si="0"/>
        <v>133362.93</v>
      </c>
      <c r="J28" s="293">
        <v>19496</v>
      </c>
      <c r="K28" s="307">
        <f>+I28/J28</f>
        <v>6.8405278005744767</v>
      </c>
      <c r="L28" s="306">
        <v>0.5</v>
      </c>
    </row>
    <row r="29" spans="2:12" ht="13.8" x14ac:dyDescent="0.25">
      <c r="B29" s="317" t="s">
        <v>156</v>
      </c>
      <c r="C29" s="292" t="s">
        <v>157</v>
      </c>
      <c r="D29" s="319">
        <v>61.15</v>
      </c>
      <c r="E29" s="322">
        <v>159.4</v>
      </c>
      <c r="F29" s="324">
        <f>+E29*D29</f>
        <v>9747.31</v>
      </c>
      <c r="G29" s="324">
        <v>1416.4</v>
      </c>
      <c r="H29" s="324">
        <v>242.08</v>
      </c>
      <c r="I29" s="304">
        <f t="shared" si="0"/>
        <v>10921.63</v>
      </c>
      <c r="J29" s="293">
        <v>-442.6</v>
      </c>
      <c r="K29" s="307">
        <f>+I29/J29</f>
        <v>-24.676073203795749</v>
      </c>
      <c r="L29" s="306">
        <v>0.9</v>
      </c>
    </row>
    <row r="30" spans="2:12" ht="14.4" thickBot="1" x14ac:dyDescent="0.3">
      <c r="B30" s="318" t="s">
        <v>158</v>
      </c>
      <c r="C30" s="294" t="s">
        <v>159</v>
      </c>
      <c r="D30" s="320">
        <v>233.91</v>
      </c>
      <c r="E30" s="323">
        <v>1666.6</v>
      </c>
      <c r="F30" s="325">
        <f t="shared" si="3"/>
        <v>389834.40599999996</v>
      </c>
      <c r="G30" s="325">
        <v>68019</v>
      </c>
      <c r="H30" s="325">
        <v>5524</v>
      </c>
      <c r="I30" s="308">
        <f t="shared" si="0"/>
        <v>452329.40599999996</v>
      </c>
      <c r="J30" s="295">
        <v>27179</v>
      </c>
      <c r="K30" s="309">
        <f t="shared" si="4"/>
        <v>16.642606644836086</v>
      </c>
      <c r="L30" s="310">
        <v>0.54</v>
      </c>
    </row>
    <row r="31" spans="2:12" ht="13.8" x14ac:dyDescent="0.25">
      <c r="B31" s="296"/>
      <c r="C31" s="297"/>
      <c r="D31" s="297"/>
      <c r="E31" s="297"/>
      <c r="F31" s="297"/>
      <c r="G31" s="297"/>
      <c r="H31" s="297"/>
      <c r="I31" s="297"/>
      <c r="J31" s="297"/>
      <c r="K31" s="300"/>
      <c r="L31" s="298"/>
    </row>
    <row r="32" spans="2:12" ht="13.8" x14ac:dyDescent="0.25">
      <c r="B32" s="296"/>
      <c r="C32" s="297"/>
      <c r="D32" s="297"/>
      <c r="E32" s="297"/>
      <c r="F32" s="297"/>
      <c r="G32" s="297"/>
      <c r="H32" s="297"/>
      <c r="I32" s="297"/>
      <c r="J32" s="297"/>
      <c r="K32" s="297"/>
      <c r="L32" s="298"/>
    </row>
    <row r="33" spans="2:17" ht="13.8" x14ac:dyDescent="0.25">
      <c r="B33" s="296"/>
      <c r="C33" s="297"/>
      <c r="D33" s="297"/>
      <c r="E33" s="297"/>
      <c r="F33" s="297"/>
      <c r="G33" s="297"/>
      <c r="H33" s="297"/>
      <c r="I33" s="297"/>
      <c r="J33" s="297"/>
      <c r="K33" s="297"/>
      <c r="L33" s="298"/>
    </row>
    <row r="34" spans="2:17" ht="14.4" thickBot="1" x14ac:dyDescent="0.3">
      <c r="B34" s="296"/>
      <c r="C34" s="297"/>
      <c r="D34" s="297"/>
      <c r="E34" s="297"/>
      <c r="F34" s="297"/>
      <c r="G34" s="297"/>
      <c r="H34" s="297"/>
      <c r="I34" s="297"/>
      <c r="J34" s="297"/>
      <c r="K34" s="297"/>
      <c r="L34" s="298"/>
    </row>
    <row r="35" spans="2:17" ht="14.4" thickBot="1" x14ac:dyDescent="0.3">
      <c r="B35" s="311" t="s">
        <v>134</v>
      </c>
      <c r="C35" s="326"/>
      <c r="D35" s="333">
        <f>D16</f>
        <v>27.37</v>
      </c>
      <c r="E35" s="335">
        <f>E16</f>
        <v>5685.6</v>
      </c>
      <c r="F35" s="334">
        <f>F16</f>
        <v>155614.872</v>
      </c>
      <c r="G35" s="327">
        <f>G16</f>
        <v>64351</v>
      </c>
      <c r="H35" s="327">
        <f>H16</f>
        <v>1043</v>
      </c>
      <c r="I35" s="312">
        <f>+G35+F35-H35</f>
        <v>218922.872</v>
      </c>
      <c r="J35" s="313">
        <f>'1. Income Statement'!B41</f>
        <v>22849</v>
      </c>
      <c r="K35" s="314">
        <f>+I35/J35</f>
        <v>9.5812889842006221</v>
      </c>
      <c r="L35" s="314">
        <v>0.47</v>
      </c>
    </row>
    <row r="36" spans="2:17" ht="13.8" x14ac:dyDescent="0.25">
      <c r="B36" s="296"/>
      <c r="C36" s="297"/>
      <c r="D36" s="299"/>
      <c r="E36" s="299"/>
      <c r="F36" s="297"/>
      <c r="G36" s="297"/>
      <c r="H36" s="297"/>
      <c r="I36" s="297"/>
      <c r="J36" s="297"/>
      <c r="K36" s="297"/>
      <c r="L36" s="300"/>
    </row>
    <row r="37" spans="2:17" ht="13.8" x14ac:dyDescent="0.25">
      <c r="B37" s="296"/>
      <c r="C37" s="297"/>
      <c r="D37" s="297"/>
      <c r="E37" s="297"/>
      <c r="F37" s="297"/>
      <c r="G37" s="297"/>
      <c r="H37" s="297"/>
      <c r="I37" s="297"/>
      <c r="J37" s="297"/>
      <c r="K37" s="281" t="s">
        <v>359</v>
      </c>
      <c r="L37" s="281">
        <f>AVERAGE(K22:K30)</f>
        <v>7.1488884811279361</v>
      </c>
      <c r="Q37" s="225"/>
    </row>
    <row r="38" spans="2:17" ht="14.4" x14ac:dyDescent="0.3">
      <c r="B38" s="337" t="s">
        <v>366</v>
      </c>
      <c r="C38" s="338">
        <f>+J35</f>
        <v>22849</v>
      </c>
      <c r="D38" s="339" t="s">
        <v>356</v>
      </c>
      <c r="E38" s="297"/>
      <c r="F38" s="297"/>
      <c r="G38" s="300"/>
      <c r="H38" s="300"/>
      <c r="K38" s="281" t="s">
        <v>368</v>
      </c>
      <c r="L38" s="281">
        <f>K35</f>
        <v>9.5812889842006221</v>
      </c>
      <c r="Q38" s="225"/>
    </row>
    <row r="39" spans="2:17" ht="14.4" customHeight="1" x14ac:dyDescent="0.3">
      <c r="B39" s="296" t="s">
        <v>367</v>
      </c>
      <c r="C39" s="302">
        <f>L39</f>
        <v>9.7656458390291547</v>
      </c>
      <c r="D39" s="339" t="s">
        <v>356</v>
      </c>
      <c r="E39" s="297"/>
      <c r="F39" s="297"/>
      <c r="G39" s="300"/>
      <c r="H39" s="300"/>
      <c r="I39" s="300"/>
      <c r="J39" s="390" t="s">
        <v>363</v>
      </c>
      <c r="K39" s="390"/>
      <c r="L39" s="336">
        <f>((SUM(K22:K30,K35)-MAX(K22:K30,K35)-MIN(K22:K30,K35))/(COUNT(K22:K30,K35)-2))</f>
        <v>9.7656458390291547</v>
      </c>
    </row>
    <row r="40" spans="2:17" ht="13.8" x14ac:dyDescent="0.25">
      <c r="B40" s="350" t="s">
        <v>206</v>
      </c>
      <c r="C40" s="351">
        <f>C39*C38</f>
        <v>223135.24177597716</v>
      </c>
      <c r="D40" s="352"/>
      <c r="E40" s="352"/>
      <c r="F40" s="352"/>
      <c r="G40" s="352"/>
      <c r="H40" s="352"/>
      <c r="I40" s="352"/>
      <c r="J40" s="352"/>
      <c r="K40" s="352"/>
      <c r="L40" s="352"/>
    </row>
    <row r="41" spans="2:17" ht="13.8" x14ac:dyDescent="0.25">
      <c r="B41" s="297"/>
      <c r="C41" s="297"/>
      <c r="D41" s="297"/>
      <c r="E41" s="297"/>
      <c r="F41" s="297"/>
      <c r="G41" s="297"/>
      <c r="H41" s="297"/>
      <c r="I41" s="297"/>
      <c r="J41" s="297"/>
      <c r="K41" s="297"/>
      <c r="L41" s="297"/>
    </row>
    <row r="42" spans="2:17" ht="13.8" x14ac:dyDescent="0.25">
      <c r="B42" s="297"/>
      <c r="C42" s="297"/>
      <c r="D42" s="297"/>
      <c r="E42" s="297"/>
      <c r="F42" s="297"/>
      <c r="G42" s="297"/>
      <c r="H42" s="297"/>
      <c r="I42" s="297"/>
      <c r="J42" s="297"/>
      <c r="K42" s="297"/>
      <c r="L42" s="297"/>
    </row>
    <row r="43" spans="2:17" ht="13.8" x14ac:dyDescent="0.25">
      <c r="B43" s="301"/>
      <c r="C43" s="297"/>
      <c r="D43" s="297"/>
      <c r="E43" s="297"/>
      <c r="F43" s="297"/>
      <c r="G43" s="297"/>
      <c r="H43" s="297"/>
      <c r="I43" s="297"/>
      <c r="J43" s="297"/>
      <c r="K43" s="297"/>
      <c r="L43" s="297"/>
    </row>
    <row r="44" spans="2:17" ht="13.8" x14ac:dyDescent="0.25">
      <c r="B44" s="1" t="s">
        <v>399</v>
      </c>
      <c r="F44" s="297"/>
      <c r="G44" s="297"/>
      <c r="H44" s="297"/>
      <c r="I44" s="297"/>
      <c r="J44" s="297"/>
      <c r="K44" s="297"/>
      <c r="L44" s="297"/>
    </row>
    <row r="45" spans="2:17" ht="13.8" x14ac:dyDescent="0.25">
      <c r="F45" s="297"/>
      <c r="G45" s="297"/>
      <c r="H45" s="297"/>
      <c r="I45" s="297"/>
      <c r="J45" s="297"/>
      <c r="K45" s="297"/>
      <c r="L45" s="297"/>
    </row>
    <row r="46" spans="2:17" ht="14.4" thickBot="1" x14ac:dyDescent="0.3">
      <c r="C46" s="416" t="s">
        <v>365</v>
      </c>
      <c r="D46" s="416"/>
      <c r="E46" s="416"/>
      <c r="F46" s="297"/>
      <c r="G46" s="297"/>
      <c r="H46" s="297"/>
      <c r="I46" s="297"/>
      <c r="J46" s="297"/>
      <c r="K46" s="297"/>
      <c r="L46" s="297"/>
    </row>
    <row r="47" spans="2:17" ht="14.4" thickBot="1" x14ac:dyDescent="0.3">
      <c r="B47" s="287" t="s">
        <v>378</v>
      </c>
      <c r="C47" s="415" t="s">
        <v>371</v>
      </c>
      <c r="D47" s="415" t="s">
        <v>255</v>
      </c>
      <c r="E47" s="415" t="s">
        <v>377</v>
      </c>
      <c r="F47" s="297"/>
      <c r="G47" s="297"/>
      <c r="H47" s="297"/>
      <c r="I47" s="297"/>
      <c r="J47" s="297"/>
      <c r="K47" s="297"/>
      <c r="L47" s="297"/>
    </row>
    <row r="48" spans="2:17" ht="13.8" x14ac:dyDescent="0.25">
      <c r="B48" s="185" t="s">
        <v>379</v>
      </c>
      <c r="C48" s="176">
        <v>31851</v>
      </c>
      <c r="D48" s="176">
        <v>28577</v>
      </c>
      <c r="E48" s="362">
        <f>C48/D48</f>
        <v>1.1145676593064353</v>
      </c>
      <c r="F48" s="297"/>
      <c r="G48" s="297"/>
      <c r="H48" s="297"/>
      <c r="I48" s="297"/>
      <c r="J48" s="297"/>
      <c r="K48" s="297"/>
      <c r="L48" s="297"/>
    </row>
    <row r="49" spans="2:12" ht="13.8" x14ac:dyDescent="0.25">
      <c r="B49" s="185" t="s">
        <v>372</v>
      </c>
      <c r="C49" s="176">
        <v>35339</v>
      </c>
      <c r="D49" s="176">
        <v>25685</v>
      </c>
      <c r="E49" s="362">
        <f>C49/D49</f>
        <v>1.3758613977029395</v>
      </c>
      <c r="F49" s="297"/>
      <c r="G49" s="297"/>
      <c r="H49" s="297"/>
      <c r="I49" s="297"/>
      <c r="J49" s="297"/>
      <c r="K49" s="297"/>
      <c r="L49" s="297"/>
    </row>
    <row r="50" spans="2:12" ht="13.8" x14ac:dyDescent="0.25">
      <c r="B50" s="185" t="s">
        <v>373</v>
      </c>
      <c r="C50" s="176">
        <v>27619</v>
      </c>
      <c r="D50" s="176">
        <v>19136</v>
      </c>
      <c r="E50" s="362">
        <f>C50/D50</f>
        <v>1.4433005852842808</v>
      </c>
      <c r="F50" s="297"/>
      <c r="G50" s="297"/>
      <c r="H50" s="297"/>
      <c r="I50" s="297"/>
      <c r="J50" s="297"/>
      <c r="K50" s="297"/>
      <c r="L50" s="297"/>
    </row>
    <row r="51" spans="2:12" ht="13.8" x14ac:dyDescent="0.25">
      <c r="B51" s="185" t="s">
        <v>374</v>
      </c>
      <c r="C51" s="176">
        <v>29498</v>
      </c>
      <c r="D51" s="176">
        <v>19016</v>
      </c>
      <c r="E51" s="362">
        <f>C51/D51</f>
        <v>1.5512200252419015</v>
      </c>
      <c r="F51" s="297"/>
      <c r="G51" s="297"/>
      <c r="H51" s="297"/>
      <c r="I51" s="297"/>
      <c r="J51" s="297"/>
      <c r="K51" s="297"/>
      <c r="L51" s="297"/>
    </row>
    <row r="52" spans="2:12" ht="14.4" thickBot="1" x14ac:dyDescent="0.3">
      <c r="B52" s="363" t="s">
        <v>134</v>
      </c>
      <c r="C52" s="364">
        <f>C9</f>
        <v>57405</v>
      </c>
      <c r="D52" s="364">
        <f>C10</f>
        <v>22849</v>
      </c>
      <c r="E52" s="365">
        <f>C52/D52</f>
        <v>2.5123637795964813</v>
      </c>
      <c r="F52" s="297"/>
      <c r="G52" s="297"/>
      <c r="H52" s="297"/>
      <c r="I52" s="297"/>
      <c r="J52" s="297"/>
      <c r="K52" s="297"/>
      <c r="L52" s="297"/>
    </row>
    <row r="53" spans="2:12" ht="13.8" x14ac:dyDescent="0.25">
      <c r="B53" s="297"/>
      <c r="C53" s="297"/>
      <c r="D53" s="297"/>
      <c r="E53" s="297"/>
      <c r="F53" s="297"/>
      <c r="G53" s="297"/>
      <c r="H53" s="297"/>
      <c r="I53" s="297"/>
      <c r="J53" s="297"/>
      <c r="K53" s="297"/>
      <c r="L53" s="297"/>
    </row>
    <row r="54" spans="2:12" ht="13.8" x14ac:dyDescent="0.25">
      <c r="B54" s="277"/>
      <c r="C54" s="297"/>
      <c r="D54" s="297"/>
      <c r="E54" s="297"/>
      <c r="F54" s="297"/>
      <c r="G54" s="297"/>
      <c r="H54" s="297"/>
      <c r="I54" s="297"/>
      <c r="J54" s="297"/>
      <c r="K54" s="297"/>
      <c r="L54" s="297"/>
    </row>
    <row r="55" spans="2:12" ht="15" x14ac:dyDescent="0.35">
      <c r="B55" s="479" t="s">
        <v>400</v>
      </c>
    </row>
    <row r="56" spans="2:12" ht="13.8" thickBot="1" x14ac:dyDescent="0.3"/>
    <row r="57" spans="2:12" ht="13.8" thickBot="1" x14ac:dyDescent="0.3">
      <c r="B57" s="389" t="s">
        <v>380</v>
      </c>
      <c r="C57" s="389"/>
      <c r="D57" s="389"/>
      <c r="E57" s="389"/>
      <c r="F57" s="389"/>
      <c r="G57" s="389"/>
      <c r="H57" s="389"/>
      <c r="I57" s="389"/>
      <c r="J57" s="389"/>
      <c r="K57" s="389"/>
      <c r="L57" s="389"/>
    </row>
    <row r="58" spans="2:12" s="26" customFormat="1" ht="13.8" thickBot="1" x14ac:dyDescent="0.3">
      <c r="B58" s="287" t="s">
        <v>207</v>
      </c>
      <c r="C58" s="287" t="s">
        <v>208</v>
      </c>
      <c r="D58" s="287" t="s">
        <v>209</v>
      </c>
      <c r="E58" s="287" t="s">
        <v>210</v>
      </c>
      <c r="F58" s="287" t="s">
        <v>211</v>
      </c>
      <c r="G58" s="415" t="s">
        <v>212</v>
      </c>
      <c r="H58" s="415" t="s">
        <v>213</v>
      </c>
      <c r="I58" s="415" t="s">
        <v>214</v>
      </c>
      <c r="J58" s="415" t="s">
        <v>215</v>
      </c>
      <c r="K58" s="287" t="s">
        <v>216</v>
      </c>
      <c r="L58" s="287" t="s">
        <v>140</v>
      </c>
    </row>
    <row r="59" spans="2:12" x14ac:dyDescent="0.25">
      <c r="B59" s="417">
        <v>45274</v>
      </c>
      <c r="C59" s="418" t="s">
        <v>217</v>
      </c>
      <c r="D59" s="419" t="s">
        <v>134</v>
      </c>
      <c r="E59" s="420">
        <v>229</v>
      </c>
      <c r="F59" s="421">
        <v>188.7</v>
      </c>
      <c r="G59" s="422">
        <f>E59*F59</f>
        <v>43212.299999999996</v>
      </c>
      <c r="H59" s="422">
        <v>124.6</v>
      </c>
      <c r="I59" s="423">
        <v>1037</v>
      </c>
      <c r="J59" s="424">
        <f t="shared" ref="J59:J65" si="5">G59+H59-I59</f>
        <v>42299.899999999994</v>
      </c>
      <c r="K59" s="425">
        <f>-202.3</f>
        <v>-202.3</v>
      </c>
      <c r="L59" s="426">
        <f t="shared" ref="L59:L65" si="6">J59/K59</f>
        <v>-209.09490855165592</v>
      </c>
    </row>
    <row r="60" spans="2:12" x14ac:dyDescent="0.25">
      <c r="B60" s="427">
        <v>45282</v>
      </c>
      <c r="C60" s="428" t="s">
        <v>218</v>
      </c>
      <c r="D60" s="428" t="s">
        <v>219</v>
      </c>
      <c r="E60" s="429">
        <v>330</v>
      </c>
      <c r="F60" s="430">
        <v>38.1</v>
      </c>
      <c r="G60" s="431">
        <f>E60*F60</f>
        <v>12573</v>
      </c>
      <c r="H60" s="429">
        <v>16.7</v>
      </c>
      <c r="I60" s="429">
        <v>1262.8</v>
      </c>
      <c r="J60" s="432">
        <f t="shared" si="5"/>
        <v>11326.900000000001</v>
      </c>
      <c r="K60" s="433">
        <v>-234</v>
      </c>
      <c r="L60" s="434">
        <f t="shared" si="6"/>
        <v>-48.405555555555559</v>
      </c>
    </row>
    <row r="61" spans="2:12" x14ac:dyDescent="0.25">
      <c r="B61" s="435">
        <v>45032</v>
      </c>
      <c r="C61" s="428" t="s">
        <v>220</v>
      </c>
      <c r="D61" s="428" t="s">
        <v>221</v>
      </c>
      <c r="E61" s="429">
        <v>200</v>
      </c>
      <c r="F61" s="436">
        <v>47.8</v>
      </c>
      <c r="G61" s="431">
        <f>E61*F61</f>
        <v>9560</v>
      </c>
      <c r="H61" s="429">
        <v>29.5</v>
      </c>
      <c r="I61" s="429">
        <v>713.7</v>
      </c>
      <c r="J61" s="432">
        <f t="shared" si="5"/>
        <v>8875.7999999999993</v>
      </c>
      <c r="K61" s="433">
        <v>-235</v>
      </c>
      <c r="L61" s="434">
        <f t="shared" si="6"/>
        <v>-37.769361702127654</v>
      </c>
    </row>
    <row r="62" spans="2:12" x14ac:dyDescent="0.25">
      <c r="B62" s="435">
        <v>45363</v>
      </c>
      <c r="C62" s="428" t="s">
        <v>222</v>
      </c>
      <c r="D62" s="428" t="s">
        <v>223</v>
      </c>
      <c r="E62" s="429">
        <v>21</v>
      </c>
      <c r="F62" s="436">
        <v>85.1</v>
      </c>
      <c r="G62" s="432">
        <f>E62*F62</f>
        <v>1787.1</v>
      </c>
      <c r="H62" s="429">
        <v>64.5</v>
      </c>
      <c r="I62" s="429">
        <v>210.5</v>
      </c>
      <c r="J62" s="432">
        <f t="shared" si="5"/>
        <v>1641.1</v>
      </c>
      <c r="K62" s="433">
        <v>-105.6</v>
      </c>
      <c r="L62" s="434">
        <f t="shared" si="6"/>
        <v>-15.540719696969697</v>
      </c>
    </row>
    <row r="63" spans="2:12" x14ac:dyDescent="0.25">
      <c r="B63" s="435">
        <v>45807</v>
      </c>
      <c r="C63" s="428" t="s">
        <v>224</v>
      </c>
      <c r="D63" s="428" t="s">
        <v>225</v>
      </c>
      <c r="E63" s="429">
        <v>4.0999999999999996</v>
      </c>
      <c r="F63" s="436">
        <v>86.3</v>
      </c>
      <c r="G63" s="432">
        <f>+E63*F63</f>
        <v>353.83</v>
      </c>
      <c r="H63" s="429">
        <v>0</v>
      </c>
      <c r="I63" s="429">
        <v>33</v>
      </c>
      <c r="J63" s="432">
        <f t="shared" si="5"/>
        <v>320.83</v>
      </c>
      <c r="K63" s="433">
        <v>-56.4</v>
      </c>
      <c r="L63" s="434">
        <f t="shared" si="6"/>
        <v>-5.688475177304964</v>
      </c>
    </row>
    <row r="64" spans="2:12" x14ac:dyDescent="0.25">
      <c r="B64" s="437">
        <v>45937</v>
      </c>
      <c r="C64" s="438" t="s">
        <v>226</v>
      </c>
      <c r="D64" s="438" t="s">
        <v>221</v>
      </c>
      <c r="E64" s="439">
        <v>107</v>
      </c>
      <c r="F64" s="440">
        <v>87.9</v>
      </c>
      <c r="G64" s="441">
        <f>+E64*F64</f>
        <v>9405.3000000000011</v>
      </c>
      <c r="H64" s="442">
        <v>244.4</v>
      </c>
      <c r="I64" s="442">
        <v>438</v>
      </c>
      <c r="J64" s="441">
        <f t="shared" si="5"/>
        <v>9211.7000000000007</v>
      </c>
      <c r="K64" s="441">
        <v>-54.9</v>
      </c>
      <c r="L64" s="443">
        <f t="shared" si="6"/>
        <v>-167.79052823315121</v>
      </c>
    </row>
    <row r="65" spans="2:12" ht="13.8" thickBot="1" x14ac:dyDescent="0.3">
      <c r="B65" s="444">
        <v>42040</v>
      </c>
      <c r="C65" s="444" t="s">
        <v>375</v>
      </c>
      <c r="D65" s="444" t="s">
        <v>134</v>
      </c>
      <c r="E65" s="445">
        <v>90</v>
      </c>
      <c r="F65" s="446">
        <v>172.9</v>
      </c>
      <c r="G65" s="447">
        <f>+E65*F65</f>
        <v>15561</v>
      </c>
      <c r="H65" s="445">
        <f>1749+6.8</f>
        <v>1755.8</v>
      </c>
      <c r="I65" s="445">
        <v>802.4</v>
      </c>
      <c r="J65" s="447">
        <f t="shared" si="5"/>
        <v>16514.399999999998</v>
      </c>
      <c r="K65" s="447">
        <f>466.3+181.4</f>
        <v>647.70000000000005</v>
      </c>
      <c r="L65" s="448">
        <f t="shared" si="6"/>
        <v>25.496989346919865</v>
      </c>
    </row>
    <row r="66" spans="2:12" x14ac:dyDescent="0.25">
      <c r="B66" s="118"/>
      <c r="F66" s="347"/>
      <c r="G66" s="347"/>
      <c r="K66" s="359" t="s">
        <v>202</v>
      </c>
      <c r="L66" s="360">
        <f>AVERAGE(L59:L63)</f>
        <v>-63.299804136722756</v>
      </c>
    </row>
    <row r="67" spans="2:12" x14ac:dyDescent="0.25">
      <c r="F67" s="119"/>
      <c r="G67" s="119"/>
      <c r="K67" s="280" t="s">
        <v>227</v>
      </c>
      <c r="L67" s="281">
        <f>(L60+L61+L62+L64)/6</f>
        <v>-44.917694197967357</v>
      </c>
    </row>
    <row r="68" spans="2:12" x14ac:dyDescent="0.25">
      <c r="F68" s="119"/>
      <c r="G68" s="119"/>
    </row>
    <row r="69" spans="2:12" x14ac:dyDescent="0.25">
      <c r="B69" s="1"/>
    </row>
    <row r="70" spans="2:12" x14ac:dyDescent="0.25">
      <c r="B70" s="366" t="s">
        <v>323</v>
      </c>
    </row>
    <row r="71" spans="2:12" ht="21" x14ac:dyDescent="0.4">
      <c r="B71" s="73"/>
      <c r="D71" s="370" t="s">
        <v>285</v>
      </c>
      <c r="E71" s="371">
        <v>1</v>
      </c>
      <c r="F71" s="371">
        <v>2</v>
      </c>
      <c r="G71" s="371">
        <v>3</v>
      </c>
    </row>
    <row r="72" spans="2:12" x14ac:dyDescent="0.25">
      <c r="B72" s="377" t="s">
        <v>286</v>
      </c>
      <c r="C72" s="378" t="s">
        <v>287</v>
      </c>
      <c r="D72" s="361" t="s">
        <v>288</v>
      </c>
      <c r="E72" s="361"/>
      <c r="F72" s="361"/>
      <c r="G72" s="361" t="s">
        <v>289</v>
      </c>
    </row>
    <row r="73" spans="2:12" x14ac:dyDescent="0.25">
      <c r="B73" s="379"/>
      <c r="C73" s="380" t="s">
        <v>290</v>
      </c>
      <c r="D73" s="381">
        <v>2024</v>
      </c>
      <c r="E73" s="381">
        <v>2025</v>
      </c>
      <c r="F73" s="381">
        <f>E73+1</f>
        <v>2026</v>
      </c>
      <c r="G73" s="381">
        <v>2027</v>
      </c>
      <c r="H73" s="26"/>
    </row>
    <row r="74" spans="2:12" x14ac:dyDescent="0.25">
      <c r="B74" s="185" t="s">
        <v>291</v>
      </c>
      <c r="C74" s="367"/>
      <c r="D74" s="454">
        <f>'5. Projected Analysis'!F4</f>
        <v>63627</v>
      </c>
      <c r="E74" s="455">
        <f>'5. Projected Analysis'!K4</f>
        <v>64263.270000000004</v>
      </c>
      <c r="F74" s="456">
        <f>'5. Projected Analysis'!L4</f>
        <v>65227.21905</v>
      </c>
      <c r="G74" s="456">
        <f>+F74*(1+G75)</f>
        <v>67184.035621500007</v>
      </c>
    </row>
    <row r="75" spans="2:12" x14ac:dyDescent="0.25">
      <c r="B75" s="185" t="s">
        <v>292</v>
      </c>
      <c r="C75" s="368"/>
      <c r="D75" s="176"/>
      <c r="E75" s="451">
        <f>'5. Projected Analysis'!K16</f>
        <v>0.01</v>
      </c>
      <c r="F75" s="452">
        <f>'5. Projected Analysis'!L16</f>
        <v>1.4999999999999999E-2</v>
      </c>
      <c r="G75" s="452">
        <f>'5. Projected Analysis'!O16</f>
        <v>0.03</v>
      </c>
      <c r="H75" s="179"/>
    </row>
    <row r="76" spans="2:12" x14ac:dyDescent="0.25">
      <c r="B76" s="185"/>
      <c r="C76" s="368"/>
      <c r="D76" s="176"/>
      <c r="E76" s="372"/>
      <c r="F76" s="376"/>
      <c r="G76" s="376"/>
    </row>
    <row r="77" spans="2:12" x14ac:dyDescent="0.25">
      <c r="B77" s="185" t="s">
        <v>293</v>
      </c>
      <c r="C77" s="369"/>
      <c r="D77" s="454">
        <f>-'5. Projected Analysis'!F5</f>
        <v>-17851</v>
      </c>
      <c r="E77" s="449">
        <f>-'5. Projected Analysis'!K5</f>
        <v>-17351.082900000001</v>
      </c>
      <c r="F77" s="450">
        <f>-'5. Projected Analysis'!L5</f>
        <v>-17611.349143500003</v>
      </c>
      <c r="G77" s="450">
        <f>-'5. Projected Analysis'!O5</f>
        <v>-19150.977313997631</v>
      </c>
    </row>
    <row r="78" spans="2:12" x14ac:dyDescent="0.25">
      <c r="B78" s="185"/>
      <c r="C78" s="369"/>
      <c r="D78" s="180"/>
      <c r="E78" s="372"/>
      <c r="F78" s="376"/>
      <c r="G78" s="376"/>
    </row>
    <row r="79" spans="2:12" x14ac:dyDescent="0.25">
      <c r="B79" s="185" t="s">
        <v>294</v>
      </c>
      <c r="C79" s="369"/>
      <c r="D79" s="182">
        <f>-'5. Projected Analysis'!F7</f>
        <v>-33365</v>
      </c>
      <c r="E79" s="373">
        <f>-'5. Projected Analysis'!K7</f>
        <v>-32131.635000000002</v>
      </c>
      <c r="F79" s="66">
        <f>-'5. Projected Analysis'!L7</f>
        <v>-31961.3373345</v>
      </c>
      <c r="G79" s="66">
        <f>-'5. Projected Analysis'!O7</f>
        <v>-31918.295523329383</v>
      </c>
    </row>
    <row r="80" spans="2:12" x14ac:dyDescent="0.25">
      <c r="B80" s="185" t="s">
        <v>295</v>
      </c>
      <c r="C80" s="6"/>
      <c r="D80" s="176">
        <f>+D74+D77+D79</f>
        <v>12411</v>
      </c>
      <c r="E80" s="374">
        <f>+E74+E77+E79</f>
        <v>14780.552100000001</v>
      </c>
      <c r="F80" s="9">
        <f>+F74+F77+F79</f>
        <v>15654.532571999996</v>
      </c>
      <c r="G80" s="9">
        <f>+G74+G77+G79</f>
        <v>16114.762784172992</v>
      </c>
    </row>
    <row r="81" spans="2:10" x14ac:dyDescent="0.25">
      <c r="B81" s="185" t="s">
        <v>296</v>
      </c>
      <c r="C81" s="368"/>
      <c r="D81" s="454">
        <f>-'5. Projected Analysis'!F12</f>
        <v>28</v>
      </c>
      <c r="E81" s="453">
        <f>-'5. Projected Analysis'!K12</f>
        <v>-723.85163262771357</v>
      </c>
      <c r="F81" s="450">
        <f>-'5. Projected Analysis'!L12</f>
        <v>-1045.9193808217703</v>
      </c>
      <c r="G81" s="450">
        <f>-'5. Projected Analysis'!O12</f>
        <v>-2299.3342049306798</v>
      </c>
    </row>
    <row r="82" spans="2:10" x14ac:dyDescent="0.25">
      <c r="B82" s="185" t="s">
        <v>297</v>
      </c>
      <c r="C82" s="368"/>
      <c r="D82" s="454">
        <f>'5. Projected Analysis'!F22</f>
        <v>7013</v>
      </c>
      <c r="E82" s="453">
        <f>'5. Projected Analysis'!K22</f>
        <v>5673.7686274385605</v>
      </c>
      <c r="F82" s="450">
        <f>'5. Projected Analysis'!L22</f>
        <v>5758.8751568501384</v>
      </c>
      <c r="G82" s="450">
        <f>'5. Projected Analysis'!O22</f>
        <v>6262.3304202498693</v>
      </c>
    </row>
    <row r="83" spans="2:10" x14ac:dyDescent="0.25">
      <c r="B83" s="185" t="s">
        <v>397</v>
      </c>
      <c r="C83" s="368"/>
      <c r="D83" s="457">
        <f>-'5. Projected Analysis'!F23</f>
        <v>-2909</v>
      </c>
      <c r="E83" s="453">
        <f>-'5. Projected Analysis'!K23</f>
        <v>-2891.8471500000001</v>
      </c>
      <c r="F83" s="450">
        <f>-'5. Projected Analysis'!L23</f>
        <v>-2739.5432001000004</v>
      </c>
      <c r="G83" s="450">
        <f>-'5. Projected Analysis'!O23</f>
        <v>-2837.1818242959453</v>
      </c>
    </row>
    <row r="84" spans="2:10" ht="13.8" thickBot="1" x14ac:dyDescent="0.3">
      <c r="B84" s="385" t="s">
        <v>28</v>
      </c>
      <c r="C84" s="386"/>
      <c r="D84" s="382">
        <f>SUM(D80:D83)</f>
        <v>16543</v>
      </c>
      <c r="E84" s="383">
        <f>SUM(E80:E83)</f>
        <v>16838.621944810846</v>
      </c>
      <c r="F84" s="384">
        <f>SUM(F80:F83)</f>
        <v>17627.945147928363</v>
      </c>
      <c r="G84" s="384">
        <f>SUM(G80:G83)</f>
        <v>17240.577175196235</v>
      </c>
      <c r="H84" s="13"/>
    </row>
    <row r="85" spans="2:10" ht="13.8" thickTop="1" x14ac:dyDescent="0.25">
      <c r="D85" s="35"/>
      <c r="E85" s="35"/>
      <c r="F85" s="35"/>
      <c r="G85" s="176"/>
    </row>
    <row r="86" spans="2:10" x14ac:dyDescent="0.25">
      <c r="B86" s="388" t="s">
        <v>255</v>
      </c>
      <c r="C86" s="388"/>
      <c r="D86" s="387">
        <f>+D80+D82</f>
        <v>19424</v>
      </c>
      <c r="E86" s="387">
        <f>+E80+E82</f>
        <v>20454.32072743856</v>
      </c>
      <c r="F86" s="387">
        <f>+F80+F82</f>
        <v>21413.407728850136</v>
      </c>
      <c r="G86" s="387">
        <f>+G80+G82</f>
        <v>22377.093204422861</v>
      </c>
    </row>
    <row r="87" spans="2:10" x14ac:dyDescent="0.25">
      <c r="G87" s="185"/>
      <c r="I87" s="1" t="s">
        <v>393</v>
      </c>
    </row>
    <row r="88" spans="2:10" ht="13.8" thickBot="1" x14ac:dyDescent="0.3">
      <c r="B88" s="186" t="s">
        <v>299</v>
      </c>
      <c r="C88" s="187" t="s">
        <v>290</v>
      </c>
      <c r="G88" s="185"/>
      <c r="I88" s="361" t="s">
        <v>5</v>
      </c>
      <c r="J88" s="361" t="s">
        <v>346</v>
      </c>
    </row>
    <row r="89" spans="2:10" x14ac:dyDescent="0.25">
      <c r="B89" t="s">
        <v>300</v>
      </c>
      <c r="C89" s="219">
        <f>'4. Valuation 1-3'!C24</f>
        <v>9.9568152685171309</v>
      </c>
      <c r="D89" s="188"/>
      <c r="E89" s="207"/>
      <c r="G89" s="189">
        <f>(+C89*G86)</f>
        <v>222804.58328282848</v>
      </c>
      <c r="I89" s="5" t="s">
        <v>381</v>
      </c>
      <c r="J89" s="218">
        <v>1.7999999999999999E-2</v>
      </c>
    </row>
    <row r="90" spans="2:10" x14ac:dyDescent="0.25">
      <c r="B90" t="s">
        <v>302</v>
      </c>
      <c r="C90" s="190">
        <f>C115</f>
        <v>7.2760269627746399E-2</v>
      </c>
      <c r="D90" s="191"/>
      <c r="E90" s="207"/>
      <c r="G90" s="176">
        <f>(G84*(1+J91))/(C90-J91)</f>
        <v>395960.82605175459</v>
      </c>
      <c r="I90" s="5" t="s">
        <v>382</v>
      </c>
      <c r="J90" s="412">
        <v>0.01</v>
      </c>
    </row>
    <row r="91" spans="2:10" x14ac:dyDescent="0.25">
      <c r="B91" t="s">
        <v>202</v>
      </c>
      <c r="G91" s="192">
        <f>+(G89+G90)/2</f>
        <v>309382.70466729155</v>
      </c>
      <c r="I91" s="361" t="s">
        <v>392</v>
      </c>
      <c r="J91" s="413">
        <f>J89+J90</f>
        <v>2.7999999999999997E-2</v>
      </c>
    </row>
    <row r="92" spans="2:10" x14ac:dyDescent="0.25">
      <c r="B92" t="s">
        <v>304</v>
      </c>
      <c r="D92" s="67"/>
      <c r="G92" s="189">
        <f>-'4. Valuation 1-3'!F3*0.75</f>
        <v>-48263.25</v>
      </c>
      <c r="H92" s="207"/>
    </row>
    <row r="93" spans="2:10" x14ac:dyDescent="0.25">
      <c r="B93" t="s">
        <v>305</v>
      </c>
      <c r="D93" s="67"/>
      <c r="G93" s="193">
        <v>1608.4</v>
      </c>
    </row>
    <row r="94" spans="2:10" x14ac:dyDescent="0.25">
      <c r="B94" t="s">
        <v>306</v>
      </c>
      <c r="G94" s="189">
        <f>G92+G91-G93</f>
        <v>259511.05466729155</v>
      </c>
    </row>
    <row r="95" spans="2:10" x14ac:dyDescent="0.25">
      <c r="G95" s="185"/>
    </row>
    <row r="96" spans="2:10" x14ac:dyDescent="0.25">
      <c r="B96" s="1" t="s">
        <v>307</v>
      </c>
      <c r="D96" s="36"/>
      <c r="E96" s="36">
        <f>+E84</f>
        <v>16838.621944810846</v>
      </c>
      <c r="F96" s="36">
        <f>+F84</f>
        <v>17627.945147928363</v>
      </c>
      <c r="G96" s="184">
        <f>+G94+G84</f>
        <v>276751.63184248778</v>
      </c>
    </row>
    <row r="97" spans="2:7" x14ac:dyDescent="0.25">
      <c r="D97" s="67"/>
      <c r="E97" s="194" t="s">
        <v>308</v>
      </c>
      <c r="F97" s="194" t="s">
        <v>308</v>
      </c>
      <c r="G97" s="195" t="s">
        <v>308</v>
      </c>
    </row>
    <row r="98" spans="2:7" ht="16.8" x14ac:dyDescent="0.55000000000000004">
      <c r="B98" s="196"/>
      <c r="C98" s="208"/>
      <c r="D98" s="67"/>
      <c r="E98" s="197">
        <f>1/((1+$C$115)^E71)</f>
        <v>0.93217471630171878</v>
      </c>
      <c r="F98" s="197">
        <f>1/((1+$C$115)^F71)</f>
        <v>0.86894970171218988</v>
      </c>
      <c r="G98" s="197">
        <f>1/((1+C115)^G71)</f>
        <v>0.81001294167402371</v>
      </c>
    </row>
    <row r="99" spans="2:7" x14ac:dyDescent="0.25">
      <c r="C99" s="196"/>
      <c r="D99" s="67"/>
      <c r="E99" s="194" t="s">
        <v>309</v>
      </c>
      <c r="F99" s="194" t="s">
        <v>309</v>
      </c>
      <c r="G99" s="194" t="s">
        <v>309</v>
      </c>
    </row>
    <row r="100" spans="2:7" x14ac:dyDescent="0.25">
      <c r="C100" s="25" t="s">
        <v>396</v>
      </c>
      <c r="E100" s="405"/>
      <c r="F100" s="405"/>
      <c r="G100" s="405"/>
    </row>
    <row r="101" spans="2:7" x14ac:dyDescent="0.25">
      <c r="C101" s="360" t="s">
        <v>310</v>
      </c>
      <c r="D101" s="391">
        <f>+E98*E96</f>
        <v>15696.537634315946</v>
      </c>
      <c r="E101" s="406"/>
      <c r="F101" s="405"/>
      <c r="G101" s="405"/>
    </row>
    <row r="102" spans="2:7" x14ac:dyDescent="0.25">
      <c r="C102" s="360" t="s">
        <v>311</v>
      </c>
      <c r="D102" s="391">
        <f>+F98*F96</f>
        <v>15317.797678091196</v>
      </c>
      <c r="E102" s="405"/>
      <c r="F102" s="405"/>
      <c r="G102" s="405"/>
    </row>
    <row r="103" spans="2:7" x14ac:dyDescent="0.25">
      <c r="C103" s="360" t="s">
        <v>312</v>
      </c>
      <c r="D103" s="391">
        <f>+G98*G96</f>
        <v>224172.40342181994</v>
      </c>
      <c r="E103" s="405"/>
      <c r="F103" s="405"/>
      <c r="G103" s="405"/>
    </row>
    <row r="104" spans="2:7" x14ac:dyDescent="0.25">
      <c r="C104" s="360" t="s">
        <v>299</v>
      </c>
      <c r="D104" s="391">
        <f>SUM(D100:D103)</f>
        <v>255186.73873422708</v>
      </c>
      <c r="E104" s="414"/>
    </row>
    <row r="105" spans="2:7" x14ac:dyDescent="0.25">
      <c r="C105" s="196"/>
      <c r="D105" s="198"/>
    </row>
    <row r="106" spans="2:7" x14ac:dyDescent="0.25">
      <c r="B106" s="1" t="s">
        <v>394</v>
      </c>
      <c r="C106" s="196"/>
      <c r="D106" s="198"/>
    </row>
    <row r="107" spans="2:7" x14ac:dyDescent="0.25">
      <c r="B107" s="1"/>
      <c r="C107" s="196"/>
      <c r="D107" s="198"/>
    </row>
    <row r="108" spans="2:7" x14ac:dyDescent="0.25">
      <c r="B108" s="1" t="s">
        <v>395</v>
      </c>
      <c r="C108" s="196"/>
      <c r="D108" s="198"/>
    </row>
    <row r="109" spans="2:7" x14ac:dyDescent="0.25">
      <c r="C109" s="196"/>
      <c r="D109" s="198"/>
    </row>
    <row r="110" spans="2:7" x14ac:dyDescent="0.25">
      <c r="B110" s="361" t="s">
        <v>5</v>
      </c>
      <c r="C110" s="396" t="s">
        <v>274</v>
      </c>
      <c r="D110" s="396" t="s">
        <v>275</v>
      </c>
      <c r="E110" s="396" t="s">
        <v>276</v>
      </c>
      <c r="F110" s="396" t="s">
        <v>277</v>
      </c>
      <c r="G110" s="396" t="s">
        <v>278</v>
      </c>
    </row>
    <row r="111" spans="2:7" x14ac:dyDescent="0.25">
      <c r="B111" s="7" t="s">
        <v>279</v>
      </c>
      <c r="C111" s="212">
        <f>'4. Valuation 1-3'!E21</f>
        <v>155614.872</v>
      </c>
      <c r="D111" s="213">
        <f>C111/C113</f>
        <v>0.7074500720729987</v>
      </c>
      <c r="E111" s="375">
        <f>+C122+(C125*C124)</f>
        <v>7.4552399999999991E-2</v>
      </c>
      <c r="F111" s="214">
        <f>+E111</f>
        <v>7.4552399999999991E-2</v>
      </c>
      <c r="G111" s="214">
        <f>+F111*D111</f>
        <v>5.2742100753215025E-2</v>
      </c>
    </row>
    <row r="112" spans="2:7" x14ac:dyDescent="0.25">
      <c r="B112" s="7" t="s">
        <v>280</v>
      </c>
      <c r="C112" s="212">
        <f>'4. Valuation 1-3'!F21</f>
        <v>64351</v>
      </c>
      <c r="D112" s="213">
        <f>C112/C113</f>
        <v>0.29254992792700135</v>
      </c>
      <c r="E112" s="375">
        <f>'5. Projected Analysis'!F34</f>
        <v>6.8188528538795048E-2</v>
      </c>
      <c r="F112" s="218">
        <f>E112*(1-C126)</f>
        <v>6.8426504208630057E-2</v>
      </c>
      <c r="G112" s="214">
        <f>D112*F112</f>
        <v>2.0018168874531377E-2</v>
      </c>
    </row>
    <row r="113" spans="2:7" x14ac:dyDescent="0.25">
      <c r="B113" s="388" t="s">
        <v>281</v>
      </c>
      <c r="C113" s="387">
        <f>SUM(C111:C112)</f>
        <v>219965.872</v>
      </c>
      <c r="D113" s="397">
        <f>D111+D112</f>
        <v>1</v>
      </c>
      <c r="E113" s="388"/>
      <c r="F113" s="388"/>
      <c r="G113" s="398">
        <f>SUM(G111:G112)</f>
        <v>7.2760269627746399E-2</v>
      </c>
    </row>
    <row r="115" spans="2:7" x14ac:dyDescent="0.25">
      <c r="B115" s="360" t="s">
        <v>386</v>
      </c>
      <c r="C115" s="395">
        <f>G113</f>
        <v>7.2760269627746399E-2</v>
      </c>
    </row>
    <row r="117" spans="2:7" x14ac:dyDescent="0.25">
      <c r="B117" s="1" t="s">
        <v>387</v>
      </c>
    </row>
    <row r="118" spans="2:7" x14ac:dyDescent="0.25">
      <c r="B118" s="1"/>
    </row>
    <row r="119" spans="2:7" x14ac:dyDescent="0.25">
      <c r="B119" s="1" t="s">
        <v>388</v>
      </c>
    </row>
    <row r="120" spans="2:7" x14ac:dyDescent="0.25">
      <c r="B120" s="1"/>
    </row>
    <row r="121" spans="2:7" x14ac:dyDescent="0.25">
      <c r="B121" s="361" t="s">
        <v>5</v>
      </c>
      <c r="C121" s="361" t="s">
        <v>383</v>
      </c>
      <c r="D121" s="361" t="s">
        <v>390</v>
      </c>
    </row>
    <row r="122" spans="2:7" x14ac:dyDescent="0.25">
      <c r="B122" s="5" t="s">
        <v>391</v>
      </c>
      <c r="C122" s="218">
        <v>4.1309999999999999E-2</v>
      </c>
      <c r="D122" s="403" t="s">
        <v>365</v>
      </c>
    </row>
    <row r="123" spans="2:7" x14ac:dyDescent="0.25">
      <c r="B123" s="5" t="s">
        <v>376</v>
      </c>
      <c r="C123" s="218">
        <v>9.9629999999999996E-2</v>
      </c>
      <c r="D123" s="403" t="s">
        <v>365</v>
      </c>
    </row>
    <row r="124" spans="2:7" x14ac:dyDescent="0.25">
      <c r="B124" s="5" t="s">
        <v>384</v>
      </c>
      <c r="C124" s="218">
        <v>5.8319999999999997E-2</v>
      </c>
      <c r="D124" s="403" t="s">
        <v>365</v>
      </c>
    </row>
    <row r="125" spans="2:7" x14ac:dyDescent="0.25">
      <c r="B125" s="5" t="s">
        <v>385</v>
      </c>
      <c r="C125" s="393">
        <v>0.56999999999999995</v>
      </c>
      <c r="D125" s="403" t="s">
        <v>365</v>
      </c>
    </row>
    <row r="126" spans="2:7" x14ac:dyDescent="0.25">
      <c r="B126" s="65" t="s">
        <v>284</v>
      </c>
      <c r="C126" s="394">
        <v>-3.4899663467530847E-3</v>
      </c>
      <c r="D126" s="404" t="s">
        <v>389</v>
      </c>
    </row>
    <row r="127" spans="2:7" x14ac:dyDescent="0.25">
      <c r="B127" s="203"/>
    </row>
    <row r="128" spans="2:7" x14ac:dyDescent="0.25">
      <c r="B128" s="1"/>
    </row>
    <row r="129" spans="2:7" ht="15" x14ac:dyDescent="0.35">
      <c r="B129" s="340" t="s">
        <v>401</v>
      </c>
    </row>
    <row r="130" spans="2:7" x14ac:dyDescent="0.25">
      <c r="B130" s="204"/>
      <c r="C130" s="206"/>
    </row>
    <row r="131" spans="2:7" x14ac:dyDescent="0.25">
      <c r="B131" s="361" t="s">
        <v>5</v>
      </c>
      <c r="C131" s="396" t="s">
        <v>274</v>
      </c>
      <c r="D131" s="396" t="s">
        <v>275</v>
      </c>
      <c r="E131" s="396" t="s">
        <v>276</v>
      </c>
      <c r="F131" s="396" t="s">
        <v>277</v>
      </c>
      <c r="G131" s="396" t="s">
        <v>278</v>
      </c>
    </row>
    <row r="132" spans="2:7" x14ac:dyDescent="0.25">
      <c r="B132" s="7" t="s">
        <v>279</v>
      </c>
      <c r="C132" s="212">
        <f>'4. Valuation 1-3'!E21</f>
        <v>155614.872</v>
      </c>
      <c r="D132" s="213">
        <f>C132/C134</f>
        <v>0.7074500720729987</v>
      </c>
      <c r="E132" s="214">
        <f>+C143+(C146*C145)</f>
        <v>7.4552399999999991E-2</v>
      </c>
      <c r="F132" s="214">
        <f>+E132</f>
        <v>7.4552399999999991E-2</v>
      </c>
      <c r="G132" s="214">
        <f>+F132*D132</f>
        <v>5.2742100753215025E-2</v>
      </c>
    </row>
    <row r="133" spans="2:7" x14ac:dyDescent="0.25">
      <c r="B133" s="7" t="s">
        <v>280</v>
      </c>
      <c r="C133" s="212">
        <f>'4. Valuation 1-3'!F21</f>
        <v>64351</v>
      </c>
      <c r="D133" s="213">
        <f>C133/C134</f>
        <v>0.29254992792700135</v>
      </c>
      <c r="E133" s="218">
        <f>'5. Projected Analysis'!F34</f>
        <v>6.8188528538795048E-2</v>
      </c>
      <c r="F133" s="218">
        <f>E133*(1-C147)</f>
        <v>5.3868937545648088E-2</v>
      </c>
      <c r="G133" s="214">
        <f>D133*F133</f>
        <v>1.5759353796483484E-2</v>
      </c>
    </row>
    <row r="134" spans="2:7" x14ac:dyDescent="0.25">
      <c r="B134" s="388" t="s">
        <v>281</v>
      </c>
      <c r="C134" s="387">
        <f>SUM(C132:C133)</f>
        <v>219965.872</v>
      </c>
      <c r="D134" s="397">
        <f>D132+D133</f>
        <v>1</v>
      </c>
      <c r="E134" s="388"/>
      <c r="F134" s="388"/>
      <c r="G134" s="398">
        <f>SUM(G132:G133)</f>
        <v>6.8501454549698512E-2</v>
      </c>
    </row>
    <row r="136" spans="2:7" x14ac:dyDescent="0.25">
      <c r="B136" s="360" t="s">
        <v>386</v>
      </c>
      <c r="C136" s="395">
        <f>G134</f>
        <v>6.8501454549698512E-2</v>
      </c>
    </row>
    <row r="138" spans="2:7" x14ac:dyDescent="0.25">
      <c r="B138" s="1" t="s">
        <v>387</v>
      </c>
    </row>
    <row r="139" spans="2:7" x14ac:dyDescent="0.25">
      <c r="B139" s="1"/>
    </row>
    <row r="140" spans="2:7" x14ac:dyDescent="0.25">
      <c r="B140" s="1" t="s">
        <v>388</v>
      </c>
    </row>
    <row r="141" spans="2:7" x14ac:dyDescent="0.25">
      <c r="B141" s="1"/>
    </row>
    <row r="142" spans="2:7" x14ac:dyDescent="0.25">
      <c r="B142" s="361" t="s">
        <v>5</v>
      </c>
      <c r="C142" s="399" t="s">
        <v>383</v>
      </c>
      <c r="D142" s="361" t="s">
        <v>390</v>
      </c>
    </row>
    <row r="143" spans="2:7" x14ac:dyDescent="0.25">
      <c r="B143" s="5" t="s">
        <v>391</v>
      </c>
      <c r="C143" s="400">
        <v>4.1309999999999999E-2</v>
      </c>
      <c r="D143" s="403" t="s">
        <v>365</v>
      </c>
    </row>
    <row r="144" spans="2:7" x14ac:dyDescent="0.25">
      <c r="B144" s="5" t="s">
        <v>376</v>
      </c>
      <c r="C144" s="400">
        <v>9.9629999999999996E-2</v>
      </c>
      <c r="D144" s="403" t="s">
        <v>365</v>
      </c>
    </row>
    <row r="145" spans="2:4" x14ac:dyDescent="0.25">
      <c r="B145" s="5" t="s">
        <v>384</v>
      </c>
      <c r="C145" s="400">
        <f>C144-C143</f>
        <v>5.8319999999999997E-2</v>
      </c>
      <c r="D145" s="403" t="s">
        <v>365</v>
      </c>
    </row>
    <row r="146" spans="2:4" x14ac:dyDescent="0.25">
      <c r="B146" s="5" t="s">
        <v>385</v>
      </c>
      <c r="C146" s="401">
        <v>0.56999999999999995</v>
      </c>
      <c r="D146" s="403" t="s">
        <v>365</v>
      </c>
    </row>
    <row r="147" spans="2:4" x14ac:dyDescent="0.25">
      <c r="B147" s="65" t="s">
        <v>284</v>
      </c>
      <c r="C147" s="402">
        <v>0.21</v>
      </c>
      <c r="D147" s="404" t="s">
        <v>389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2D10C-A46C-4051-80A5-CD8368DA9877}">
  <dimension ref="A1:H131"/>
  <sheetViews>
    <sheetView showGridLines="0" topLeftCell="A4" workbookViewId="0">
      <selection activeCell="B34" sqref="B34"/>
    </sheetView>
  </sheetViews>
  <sheetFormatPr defaultRowHeight="13.2" x14ac:dyDescent="0.25"/>
  <cols>
    <col min="1" max="1" width="73.44140625" bestFit="1" customWidth="1"/>
    <col min="2" max="2" width="11.6640625" bestFit="1" customWidth="1"/>
    <col min="3" max="3" width="6.5546875" bestFit="1" customWidth="1"/>
    <col min="4" max="4" width="7.5546875" bestFit="1" customWidth="1"/>
    <col min="5" max="6" width="10.44140625" bestFit="1" customWidth="1"/>
    <col min="7" max="7" width="10.6640625" bestFit="1" customWidth="1"/>
    <col min="8" max="8" width="8.33203125" bestFit="1" customWidth="1"/>
  </cols>
  <sheetData>
    <row r="1" spans="1:8" x14ac:dyDescent="0.25">
      <c r="A1" s="1" t="s">
        <v>0</v>
      </c>
    </row>
    <row r="2" spans="1:8" x14ac:dyDescent="0.25">
      <c r="A2" s="1" t="s">
        <v>1</v>
      </c>
    </row>
    <row r="3" spans="1:8" x14ac:dyDescent="0.25">
      <c r="A3" s="1"/>
    </row>
    <row r="4" spans="1:8" x14ac:dyDescent="0.25">
      <c r="C4" s="1" t="s">
        <v>2</v>
      </c>
    </row>
    <row r="5" spans="1:8" x14ac:dyDescent="0.25">
      <c r="A5" s="2" t="s">
        <v>3</v>
      </c>
      <c r="B5" s="461" t="s">
        <v>4</v>
      </c>
      <c r="C5" s="462"/>
      <c r="D5" s="462"/>
      <c r="E5" s="462"/>
      <c r="F5" s="462"/>
    </row>
    <row r="6" spans="1:8" x14ac:dyDescent="0.25">
      <c r="A6" s="2" t="s">
        <v>5</v>
      </c>
      <c r="B6" s="2">
        <v>2024</v>
      </c>
      <c r="C6" s="2">
        <v>2023</v>
      </c>
      <c r="D6" s="2">
        <v>2022</v>
      </c>
      <c r="E6" s="2">
        <v>2021</v>
      </c>
      <c r="F6" s="3">
        <v>2020</v>
      </c>
    </row>
    <row r="7" spans="1:8" x14ac:dyDescent="0.25">
      <c r="A7" s="4" t="s">
        <v>6</v>
      </c>
      <c r="E7" s="5"/>
      <c r="F7" s="6"/>
      <c r="H7" s="72"/>
    </row>
    <row r="8" spans="1:8" x14ac:dyDescent="0.25">
      <c r="A8" s="7" t="s">
        <v>7</v>
      </c>
      <c r="B8" s="8">
        <v>53816</v>
      </c>
      <c r="C8" s="8">
        <v>50914</v>
      </c>
      <c r="D8" s="8">
        <v>91793</v>
      </c>
      <c r="E8" s="9">
        <v>73636</v>
      </c>
      <c r="F8" s="6"/>
    </row>
    <row r="9" spans="1:8" x14ac:dyDescent="0.25">
      <c r="A9" s="7" t="s">
        <v>8</v>
      </c>
      <c r="B9" s="8">
        <v>8388</v>
      </c>
      <c r="C9" s="8">
        <v>7582</v>
      </c>
      <c r="D9" s="8">
        <v>8537</v>
      </c>
      <c r="E9" s="9">
        <v>7652</v>
      </c>
      <c r="F9" s="6"/>
    </row>
    <row r="10" spans="1:8" x14ac:dyDescent="0.25">
      <c r="A10" s="7" t="s">
        <v>9</v>
      </c>
      <c r="B10" s="8">
        <v>1423</v>
      </c>
      <c r="C10" s="8">
        <v>1058</v>
      </c>
      <c r="D10" s="5">
        <v>845</v>
      </c>
      <c r="E10" s="9">
        <v>0</v>
      </c>
      <c r="F10" s="6"/>
    </row>
    <row r="11" spans="1:8" x14ac:dyDescent="0.25">
      <c r="A11" s="7" t="s">
        <v>10</v>
      </c>
      <c r="B11" s="10">
        <f>SUM(B8:B10)</f>
        <v>63627</v>
      </c>
      <c r="C11" s="10">
        <f>SUM(C8:C10)</f>
        <v>59554</v>
      </c>
      <c r="D11" s="10">
        <f>SUM(D8:D10)</f>
        <v>101175</v>
      </c>
      <c r="E11" s="11">
        <f>SUM(E8:E10)</f>
        <v>81288</v>
      </c>
      <c r="F11" s="12">
        <v>41908</v>
      </c>
      <c r="G11" s="13"/>
    </row>
    <row r="12" spans="1:8" x14ac:dyDescent="0.25">
      <c r="A12" s="7" t="s">
        <v>11</v>
      </c>
      <c r="B12" s="8"/>
      <c r="C12" s="8"/>
      <c r="D12" s="8"/>
      <c r="E12" s="9"/>
      <c r="F12" s="6"/>
    </row>
    <row r="13" spans="1:8" x14ac:dyDescent="0.25">
      <c r="A13" s="4" t="s">
        <v>12</v>
      </c>
      <c r="B13" s="14">
        <v>17851</v>
      </c>
      <c r="C13" s="8">
        <v>24954</v>
      </c>
      <c r="D13" s="8">
        <v>34344</v>
      </c>
      <c r="E13" s="9">
        <v>30821</v>
      </c>
      <c r="F13" s="6">
        <v>8692</v>
      </c>
      <c r="G13" s="13"/>
    </row>
    <row r="14" spans="1:8" x14ac:dyDescent="0.25">
      <c r="A14" s="7" t="s">
        <v>13</v>
      </c>
      <c r="B14" s="14">
        <v>14730</v>
      </c>
      <c r="C14" s="8">
        <v>14771</v>
      </c>
      <c r="D14" s="8">
        <v>13677</v>
      </c>
      <c r="E14" s="9">
        <v>12703</v>
      </c>
      <c r="F14" s="15">
        <v>11615</v>
      </c>
    </row>
    <row r="15" spans="1:8" x14ac:dyDescent="0.25">
      <c r="A15" s="7" t="s">
        <v>14</v>
      </c>
      <c r="B15" s="14">
        <v>10822</v>
      </c>
      <c r="C15" s="8">
        <v>10679</v>
      </c>
      <c r="D15" s="8">
        <v>11428</v>
      </c>
      <c r="E15" s="9">
        <v>10360</v>
      </c>
      <c r="F15" s="15">
        <v>9405</v>
      </c>
    </row>
    <row r="16" spans="1:8" x14ac:dyDescent="0.25">
      <c r="A16" s="7" t="s">
        <v>15</v>
      </c>
      <c r="B16" s="5">
        <v>108</v>
      </c>
      <c r="C16" s="5">
        <v>194</v>
      </c>
      <c r="D16" s="5">
        <v>953</v>
      </c>
      <c r="E16" s="9">
        <v>3469</v>
      </c>
      <c r="F16" s="6">
        <v>0</v>
      </c>
    </row>
    <row r="17" spans="1:7" x14ac:dyDescent="0.25">
      <c r="A17" s="7" t="s">
        <v>16</v>
      </c>
      <c r="B17" s="8">
        <v>5286</v>
      </c>
      <c r="C17" s="8">
        <v>4733</v>
      </c>
      <c r="D17" s="8">
        <v>3609</v>
      </c>
      <c r="E17" s="9">
        <v>3700</v>
      </c>
      <c r="F17" s="15">
        <v>3436</v>
      </c>
    </row>
    <row r="18" spans="1:7" x14ac:dyDescent="0.25">
      <c r="A18" s="7" t="s">
        <v>17</v>
      </c>
      <c r="B18" s="8">
        <v>2419</v>
      </c>
      <c r="C18" s="8">
        <v>2943</v>
      </c>
      <c r="D18" s="8">
        <v>1375</v>
      </c>
      <c r="E18" s="9">
        <v>802</v>
      </c>
      <c r="F18" s="6">
        <v>600</v>
      </c>
    </row>
    <row r="19" spans="1:7" x14ac:dyDescent="0.25">
      <c r="A19" s="4" t="s">
        <v>18</v>
      </c>
      <c r="B19" s="8">
        <v>0</v>
      </c>
      <c r="C19" s="8">
        <v>0</v>
      </c>
      <c r="D19" s="8">
        <v>0</v>
      </c>
      <c r="E19" s="9">
        <v>0</v>
      </c>
      <c r="F19" s="6">
        <v>-6</v>
      </c>
    </row>
    <row r="20" spans="1:7" x14ac:dyDescent="0.25">
      <c r="A20" s="7" t="s">
        <v>19</v>
      </c>
      <c r="B20" s="14">
        <v>4388</v>
      </c>
      <c r="C20" s="5">
        <v>222</v>
      </c>
      <c r="D20" s="8">
        <v>1062</v>
      </c>
      <c r="E20" s="9">
        <v>-4878</v>
      </c>
      <c r="F20" s="15">
        <v>669</v>
      </c>
      <c r="G20" s="13">
        <f>B11-SUM(B13:B15,B20)</f>
        <v>15836</v>
      </c>
    </row>
    <row r="21" spans="1:7" x14ac:dyDescent="0.25">
      <c r="A21" s="16" t="s">
        <v>20</v>
      </c>
      <c r="B21" s="10">
        <f>SUM(B13:B20)</f>
        <v>55604</v>
      </c>
      <c r="C21" s="10">
        <f>SUM(C13:C20)</f>
        <v>58496</v>
      </c>
      <c r="D21" s="10">
        <f>SUM(D13:D20)</f>
        <v>66448</v>
      </c>
      <c r="E21" s="11">
        <f>SUM(E13:E20)</f>
        <v>56977</v>
      </c>
      <c r="F21" s="17">
        <f>SUM(F13:F20)</f>
        <v>34411</v>
      </c>
      <c r="G21" s="18">
        <f>7013</f>
        <v>7013</v>
      </c>
    </row>
    <row r="22" spans="1:7" x14ac:dyDescent="0.25">
      <c r="A22" s="2" t="s">
        <v>21</v>
      </c>
      <c r="B22" s="19">
        <f>B11-B21</f>
        <v>8023</v>
      </c>
      <c r="C22" s="19">
        <f>C11-C21</f>
        <v>1058</v>
      </c>
      <c r="D22" s="19">
        <f>D11-D21</f>
        <v>34727</v>
      </c>
      <c r="E22" s="20">
        <f>E11-E21</f>
        <v>24311</v>
      </c>
      <c r="F22" s="21">
        <f>F11-F21</f>
        <v>7497</v>
      </c>
      <c r="G22" s="13">
        <f>SUM(G20:G21)</f>
        <v>22849</v>
      </c>
    </row>
    <row r="23" spans="1:7" x14ac:dyDescent="0.25">
      <c r="A23" s="7" t="s">
        <v>22</v>
      </c>
      <c r="B23" s="5">
        <v>-28</v>
      </c>
      <c r="C23" s="8">
        <v>-1115</v>
      </c>
      <c r="D23" s="8">
        <v>3328</v>
      </c>
      <c r="E23" s="9">
        <v>1852</v>
      </c>
      <c r="F23" s="6">
        <v>477</v>
      </c>
    </row>
    <row r="24" spans="1:7" x14ac:dyDescent="0.25">
      <c r="A24" s="7" t="s">
        <v>23</v>
      </c>
      <c r="B24" s="10">
        <f>B22-B23</f>
        <v>8051</v>
      </c>
      <c r="C24" s="10">
        <f>C22-C23</f>
        <v>2173</v>
      </c>
      <c r="D24" s="10">
        <f>D22-D23</f>
        <v>31399</v>
      </c>
      <c r="E24" s="11">
        <v>22459</v>
      </c>
      <c r="F24" s="17">
        <f>F22-F23</f>
        <v>7020</v>
      </c>
    </row>
    <row r="25" spans="1:7" x14ac:dyDescent="0.25">
      <c r="A25" s="7" t="s">
        <v>24</v>
      </c>
      <c r="B25" s="5">
        <v>11</v>
      </c>
      <c r="C25" s="5">
        <v>-15</v>
      </c>
      <c r="D25" s="5">
        <v>6</v>
      </c>
      <c r="E25" s="9">
        <v>-434</v>
      </c>
      <c r="F25" s="15">
        <v>2631</v>
      </c>
    </row>
    <row r="26" spans="1:7" x14ac:dyDescent="0.25">
      <c r="A26" s="7" t="s">
        <v>25</v>
      </c>
      <c r="B26" s="10">
        <f>B24+B25</f>
        <v>8062</v>
      </c>
      <c r="C26" s="10">
        <f>C24+C25</f>
        <v>2158</v>
      </c>
      <c r="D26" s="10">
        <f>D24+D25</f>
        <v>31405</v>
      </c>
      <c r="E26" s="10">
        <f>E24+E25</f>
        <v>22025</v>
      </c>
      <c r="F26" s="10">
        <f>F24+F25</f>
        <v>9651</v>
      </c>
    </row>
    <row r="27" spans="1:7" x14ac:dyDescent="0.25">
      <c r="A27" s="7" t="s">
        <v>26</v>
      </c>
      <c r="B27" s="5">
        <v>31</v>
      </c>
      <c r="C27" s="5">
        <v>39</v>
      </c>
      <c r="D27" s="5">
        <v>35</v>
      </c>
      <c r="E27" s="9">
        <v>45</v>
      </c>
      <c r="F27" s="6">
        <v>36</v>
      </c>
    </row>
    <row r="28" spans="1:7" ht="13.8" thickBot="1" x14ac:dyDescent="0.3">
      <c r="A28" s="22" t="s">
        <v>27</v>
      </c>
      <c r="B28" s="23">
        <f>B26-B27</f>
        <v>8031</v>
      </c>
      <c r="C28" s="23">
        <f>C26-C27</f>
        <v>2119</v>
      </c>
      <c r="D28" s="23">
        <f>D26-D27</f>
        <v>31370</v>
      </c>
      <c r="E28" s="24">
        <f>E26-E27</f>
        <v>21980</v>
      </c>
      <c r="F28" s="23">
        <f>F26-F27</f>
        <v>9615</v>
      </c>
    </row>
    <row r="30" spans="1:7" x14ac:dyDescent="0.25">
      <c r="A30" s="1" t="s">
        <v>358</v>
      </c>
    </row>
    <row r="31" spans="1:7" x14ac:dyDescent="0.25">
      <c r="A31" s="328" t="s">
        <v>5</v>
      </c>
      <c r="B31" s="328" t="s">
        <v>346</v>
      </c>
    </row>
    <row r="32" spans="1:7" x14ac:dyDescent="0.25">
      <c r="A32" s="31" t="s">
        <v>335</v>
      </c>
      <c r="B32" s="9">
        <f>B11</f>
        <v>63627</v>
      </c>
    </row>
    <row r="33" spans="1:3" x14ac:dyDescent="0.25">
      <c r="A33" s="31" t="s">
        <v>360</v>
      </c>
      <c r="B33" s="9"/>
    </row>
    <row r="34" spans="1:3" x14ac:dyDescent="0.25">
      <c r="A34" s="31" t="str">
        <f t="shared" ref="A34:B36" si="0">A13</f>
        <v>Cost of sales(b), (c)</v>
      </c>
      <c r="B34" s="9">
        <f t="shared" si="0"/>
        <v>17851</v>
      </c>
    </row>
    <row r="35" spans="1:3" x14ac:dyDescent="0.25">
      <c r="A35" s="31" t="str">
        <f t="shared" si="0"/>
        <v>Selling, informational and administrative expenses(b)</v>
      </c>
      <c r="B35" s="9">
        <f t="shared" si="0"/>
        <v>14730</v>
      </c>
    </row>
    <row r="36" spans="1:3" x14ac:dyDescent="0.25">
      <c r="A36" s="31" t="str">
        <f t="shared" si="0"/>
        <v>Research and development expenses(b)</v>
      </c>
      <c r="B36" s="9">
        <f t="shared" si="0"/>
        <v>10822</v>
      </c>
    </row>
    <row r="37" spans="1:3" x14ac:dyDescent="0.25">
      <c r="A37" s="31" t="str">
        <f>A20</f>
        <v>Other (income)/deductions—net</v>
      </c>
      <c r="B37" s="9">
        <f>B20</f>
        <v>4388</v>
      </c>
    </row>
    <row r="38" spans="1:3" x14ac:dyDescent="0.25">
      <c r="A38" s="31" t="s">
        <v>233</v>
      </c>
      <c r="B38" s="9">
        <f>SUM(B34:B37)</f>
        <v>47791</v>
      </c>
    </row>
    <row r="39" spans="1:3" x14ac:dyDescent="0.25">
      <c r="A39" s="31" t="s">
        <v>361</v>
      </c>
      <c r="B39" s="9">
        <f>B32-B38</f>
        <v>15836</v>
      </c>
    </row>
    <row r="40" spans="1:3" x14ac:dyDescent="0.25">
      <c r="A40" s="31" t="s">
        <v>362</v>
      </c>
      <c r="B40" s="9">
        <f>'3. Cash Flow'!B8</f>
        <v>7013</v>
      </c>
      <c r="C40" s="278" t="s">
        <v>364</v>
      </c>
    </row>
    <row r="41" spans="1:3" x14ac:dyDescent="0.25">
      <c r="A41" s="328" t="s">
        <v>255</v>
      </c>
      <c r="B41" s="329">
        <f>B39+B40</f>
        <v>22849</v>
      </c>
    </row>
    <row r="84" spans="1:7" x14ac:dyDescent="0.25">
      <c r="A84" s="463" t="s">
        <v>28</v>
      </c>
      <c r="B84" s="463"/>
      <c r="C84" s="463"/>
      <c r="D84" s="463"/>
      <c r="E84" s="463"/>
      <c r="F84" s="463"/>
      <c r="G84" s="463"/>
    </row>
    <row r="85" spans="1:7" x14ac:dyDescent="0.25">
      <c r="A85" t="s">
        <v>29</v>
      </c>
      <c r="F85" t="s">
        <v>30</v>
      </c>
    </row>
    <row r="86" spans="1:7" x14ac:dyDescent="0.25">
      <c r="F86">
        <v>2021</v>
      </c>
      <c r="G86">
        <v>2022</v>
      </c>
    </row>
    <row r="87" spans="1:7" x14ac:dyDescent="0.25">
      <c r="A87" t="s">
        <v>31</v>
      </c>
    </row>
    <row r="88" spans="1:7" x14ac:dyDescent="0.25">
      <c r="A88" t="s">
        <v>32</v>
      </c>
      <c r="B88" t="s">
        <v>33</v>
      </c>
    </row>
    <row r="89" spans="1:7" x14ac:dyDescent="0.25">
      <c r="A89" t="s">
        <v>34</v>
      </c>
      <c r="E89" t="s">
        <v>35</v>
      </c>
      <c r="F89">
        <v>2245.9</v>
      </c>
      <c r="G89">
        <v>6606</v>
      </c>
    </row>
    <row r="90" spans="1:7" x14ac:dyDescent="0.25">
      <c r="A90" t="s">
        <v>36</v>
      </c>
      <c r="F90" s="13">
        <v>5191</v>
      </c>
      <c r="G90">
        <v>4.681</v>
      </c>
    </row>
    <row r="91" spans="1:7" x14ac:dyDescent="0.25">
      <c r="A91" t="s">
        <v>37</v>
      </c>
      <c r="F91">
        <v>276</v>
      </c>
      <c r="G91">
        <v>2.0489999999999999</v>
      </c>
    </row>
    <row r="92" spans="1:7" x14ac:dyDescent="0.25">
      <c r="A92" t="s">
        <v>38</v>
      </c>
      <c r="G92">
        <v>-6</v>
      </c>
    </row>
    <row r="93" spans="1:7" x14ac:dyDescent="0.25">
      <c r="A93" t="s">
        <v>39</v>
      </c>
      <c r="F93">
        <v>-4293</v>
      </c>
      <c r="G93" s="13">
        <v>-1575</v>
      </c>
    </row>
    <row r="94" spans="1:7" x14ac:dyDescent="0.25">
      <c r="A94" t="s">
        <v>40</v>
      </c>
      <c r="F94" s="13">
        <v>1182</v>
      </c>
      <c r="G94">
        <v>755</v>
      </c>
    </row>
    <row r="95" spans="1:7" x14ac:dyDescent="0.25">
      <c r="A95" t="s">
        <v>41</v>
      </c>
      <c r="F95" s="13">
        <v>-3123</v>
      </c>
      <c r="G95">
        <v>-1.242</v>
      </c>
    </row>
    <row r="96" spans="1:7" x14ac:dyDescent="0.25">
      <c r="A96" t="s">
        <v>42</v>
      </c>
      <c r="F96" s="13">
        <v>-1573</v>
      </c>
      <c r="G96">
        <v>-0.47899999999999998</v>
      </c>
    </row>
    <row r="97" spans="1:7" x14ac:dyDescent="0.25">
      <c r="A97" t="s">
        <v>43</v>
      </c>
      <c r="F97" s="13">
        <v>-3811</v>
      </c>
      <c r="G97" s="13">
        <v>-1275</v>
      </c>
    </row>
    <row r="98" spans="1:7" x14ac:dyDescent="0.25">
      <c r="A98" t="s">
        <v>44</v>
      </c>
      <c r="F98" s="13">
        <v>-1125</v>
      </c>
      <c r="G98">
        <v>-77.8</v>
      </c>
    </row>
    <row r="99" spans="1:7" x14ac:dyDescent="0.25">
      <c r="A99" t="s">
        <v>45</v>
      </c>
      <c r="F99" s="13">
        <v>-1057</v>
      </c>
      <c r="G99">
        <v>-137</v>
      </c>
    </row>
    <row r="100" spans="1:7" x14ac:dyDescent="0.25">
      <c r="A100" t="s">
        <v>46</v>
      </c>
      <c r="F100" s="13">
        <v>1242</v>
      </c>
      <c r="G100">
        <v>3.55</v>
      </c>
    </row>
    <row r="101" spans="1:7" x14ac:dyDescent="0.25">
      <c r="A101" t="s">
        <v>47</v>
      </c>
      <c r="F101" s="13">
        <v>18721</v>
      </c>
      <c r="G101">
        <v>2.7679999999999998</v>
      </c>
    </row>
    <row r="102" spans="1:7" x14ac:dyDescent="0.25">
      <c r="A102" t="s">
        <v>48</v>
      </c>
      <c r="F102" s="13">
        <v>-1166</v>
      </c>
      <c r="G102">
        <v>-1.24</v>
      </c>
    </row>
    <row r="103" spans="1:7" x14ac:dyDescent="0.25">
      <c r="A103" t="s">
        <v>49</v>
      </c>
      <c r="F103" s="13">
        <v>32922</v>
      </c>
      <c r="G103" s="13">
        <v>10540</v>
      </c>
    </row>
    <row r="104" spans="1:7" x14ac:dyDescent="0.25">
      <c r="A104" t="s">
        <v>50</v>
      </c>
      <c r="C104" t="s">
        <v>51</v>
      </c>
      <c r="F104">
        <v>-3.43</v>
      </c>
      <c r="G104">
        <v>3.863</v>
      </c>
    </row>
    <row r="105" spans="1:7" x14ac:dyDescent="0.25">
      <c r="A105" t="s">
        <v>52</v>
      </c>
      <c r="F105">
        <v>32580</v>
      </c>
      <c r="G105" s="13">
        <v>14403</v>
      </c>
    </row>
    <row r="106" spans="1:7" x14ac:dyDescent="0.25">
      <c r="A106" t="s">
        <v>53</v>
      </c>
      <c r="F106" s="13">
        <v>-2711</v>
      </c>
      <c r="G106">
        <v>-2.226</v>
      </c>
    </row>
    <row r="107" spans="1:7" x14ac:dyDescent="0.25">
      <c r="A107" t="s">
        <v>54</v>
      </c>
      <c r="F107" s="13">
        <v>-38457</v>
      </c>
      <c r="G107" s="13">
        <v>-13805</v>
      </c>
    </row>
    <row r="108" spans="1:7" x14ac:dyDescent="0.25">
      <c r="A108" t="s">
        <v>55</v>
      </c>
      <c r="F108" s="13">
        <v>27447</v>
      </c>
      <c r="G108" s="13">
        <v>11087</v>
      </c>
    </row>
    <row r="109" spans="1:7" x14ac:dyDescent="0.25">
      <c r="A109" t="s">
        <v>56</v>
      </c>
      <c r="F109" s="13">
        <v>-8088</v>
      </c>
      <c r="G109">
        <v>920</v>
      </c>
    </row>
    <row r="110" spans="1:7" x14ac:dyDescent="0.25">
      <c r="A110" t="s">
        <v>57</v>
      </c>
      <c r="F110" s="13">
        <v>-1068</v>
      </c>
      <c r="G110">
        <v>-0.59699999999999998</v>
      </c>
    </row>
    <row r="111" spans="1:7" x14ac:dyDescent="0.25">
      <c r="A111" t="s">
        <v>58</v>
      </c>
      <c r="F111">
        <v>6.49</v>
      </c>
      <c r="G111">
        <v>723</v>
      </c>
    </row>
    <row r="112" spans="1:7" x14ac:dyDescent="0.25">
      <c r="A112" t="s">
        <v>59</v>
      </c>
      <c r="F112">
        <v>-305</v>
      </c>
      <c r="G112">
        <v>-0.26500000000000001</v>
      </c>
    </row>
    <row r="113" spans="1:7" x14ac:dyDescent="0.25">
      <c r="A113" t="s">
        <v>60</v>
      </c>
      <c r="F113" t="s">
        <v>61</v>
      </c>
      <c r="G113">
        <v>-4.1619999999999999</v>
      </c>
    </row>
    <row r="114" spans="1:7" x14ac:dyDescent="0.25">
      <c r="A114" t="s">
        <v>62</v>
      </c>
      <c r="F114">
        <v>-12</v>
      </c>
      <c r="G114">
        <v>-109</v>
      </c>
    </row>
    <row r="115" spans="1:7" x14ac:dyDescent="0.25">
      <c r="A115" t="s">
        <v>63</v>
      </c>
      <c r="F115">
        <v>-225.46</v>
      </c>
      <c r="G115" s="13">
        <v>-4271</v>
      </c>
    </row>
    <row r="116" spans="1:7" x14ac:dyDescent="0.25">
      <c r="A116" t="s">
        <v>64</v>
      </c>
      <c r="G116" s="13">
        <v>12352</v>
      </c>
    </row>
    <row r="117" spans="1:7" x14ac:dyDescent="0.25">
      <c r="A117" t="s">
        <v>65</v>
      </c>
      <c r="G117" s="13">
        <v>-22197</v>
      </c>
    </row>
    <row r="118" spans="1:7" x14ac:dyDescent="0.25">
      <c r="A118" t="s">
        <v>66</v>
      </c>
      <c r="D118" t="s">
        <v>67</v>
      </c>
      <c r="F118">
        <v>-96</v>
      </c>
      <c r="G118">
        <v>-4.1289999999999996</v>
      </c>
    </row>
    <row r="119" spans="1:7" x14ac:dyDescent="0.25">
      <c r="A119" t="s">
        <v>68</v>
      </c>
      <c r="F119">
        <v>997</v>
      </c>
      <c r="G119">
        <v>5.2220000000000004</v>
      </c>
    </row>
    <row r="120" spans="1:7" x14ac:dyDescent="0.25">
      <c r="A120" t="s">
        <v>69</v>
      </c>
      <c r="F120" s="13">
        <v>-2004</v>
      </c>
      <c r="G120" t="s">
        <v>70</v>
      </c>
    </row>
    <row r="121" spans="1:7" x14ac:dyDescent="0.25">
      <c r="A121" t="s">
        <v>71</v>
      </c>
      <c r="F121" s="13">
        <v>-8729</v>
      </c>
      <c r="G121">
        <v>-8.44</v>
      </c>
    </row>
    <row r="122" spans="1:7" x14ac:dyDescent="0.25">
      <c r="A122" t="s">
        <v>72</v>
      </c>
      <c r="F122">
        <v>16</v>
      </c>
      <c r="G122" t="s">
        <v>73</v>
      </c>
    </row>
    <row r="124" spans="1:7" x14ac:dyDescent="0.25">
      <c r="A124" t="s">
        <v>74</v>
      </c>
      <c r="F124" s="13">
        <v>-9816</v>
      </c>
      <c r="G124" s="13">
        <v>-21640</v>
      </c>
    </row>
    <row r="125" spans="1:7" x14ac:dyDescent="0.25">
      <c r="A125" t="s">
        <v>75</v>
      </c>
      <c r="G125" s="13">
        <v>11991</v>
      </c>
    </row>
    <row r="126" spans="1:7" x14ac:dyDescent="0.25">
      <c r="A126" t="s">
        <v>76</v>
      </c>
      <c r="F126" s="13">
        <v>-9816</v>
      </c>
      <c r="G126">
        <v>-9.6489999999999991</v>
      </c>
    </row>
    <row r="127" spans="1:7" x14ac:dyDescent="0.25">
      <c r="A127" t="s">
        <v>77</v>
      </c>
      <c r="F127">
        <v>-59</v>
      </c>
      <c r="G127">
        <v>-0.8</v>
      </c>
    </row>
    <row r="128" spans="1:7" x14ac:dyDescent="0.25">
      <c r="A128" t="s">
        <v>78</v>
      </c>
      <c r="F128">
        <v>159</v>
      </c>
      <c r="G128" t="s">
        <v>79</v>
      </c>
    </row>
    <row r="129" spans="1:7" x14ac:dyDescent="0.25">
      <c r="A129" t="s">
        <v>80</v>
      </c>
      <c r="F129" s="13">
        <v>1825</v>
      </c>
      <c r="G129">
        <v>1.35</v>
      </c>
    </row>
    <row r="130" spans="1:7" x14ac:dyDescent="0.25">
      <c r="A130" t="s">
        <v>81</v>
      </c>
      <c r="F130" s="13">
        <v>1983</v>
      </c>
      <c r="G130">
        <v>1.825</v>
      </c>
    </row>
    <row r="131" spans="1:7" x14ac:dyDescent="0.25">
      <c r="A131" t="s">
        <v>82</v>
      </c>
    </row>
  </sheetData>
  <mergeCells count="2">
    <mergeCell ref="B5:F5"/>
    <mergeCell ref="A84:G84"/>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48448E9D-2BE3-4159-B34A-9903403A4302}">
            <x14:iconSet iconSet="3Triangles">
              <x14:cfvo type="percent">
                <xm:f>0</xm:f>
              </x14:cfvo>
              <x14:cfvo type="percent">
                <xm:f>33</xm:f>
              </x14:cfvo>
              <x14:cfvo type="percent">
                <xm:f>67</xm:f>
              </x14:cfvo>
            </x14:iconSet>
          </x14:cfRule>
          <xm:sqref>B5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C09B0-CC49-4263-A246-5F24A2321E34}">
  <dimension ref="A1:K49"/>
  <sheetViews>
    <sheetView showGridLines="0" topLeftCell="A2" zoomScale="87" workbookViewId="0">
      <selection activeCell="B31" sqref="B31"/>
    </sheetView>
  </sheetViews>
  <sheetFormatPr defaultRowHeight="13.2" x14ac:dyDescent="0.25"/>
  <cols>
    <col min="1" max="1" width="76.88671875" bestFit="1" customWidth="1"/>
    <col min="2" max="2" width="12.21875" bestFit="1" customWidth="1"/>
    <col min="3" max="6" width="10.44140625" bestFit="1" customWidth="1"/>
  </cols>
  <sheetData>
    <row r="1" spans="1:11" x14ac:dyDescent="0.25">
      <c r="A1" s="1" t="s">
        <v>0</v>
      </c>
    </row>
    <row r="2" spans="1:11" x14ac:dyDescent="0.25">
      <c r="A2" s="25" t="s">
        <v>83</v>
      </c>
    </row>
    <row r="4" spans="1:11" x14ac:dyDescent="0.25">
      <c r="A4" s="25" t="s">
        <v>83</v>
      </c>
      <c r="B4" s="25"/>
      <c r="C4" s="1" t="s">
        <v>2</v>
      </c>
      <c r="D4" s="25"/>
      <c r="E4" s="25"/>
      <c r="F4" s="25"/>
    </row>
    <row r="5" spans="1:11" x14ac:dyDescent="0.25">
      <c r="A5" s="2" t="s">
        <v>5</v>
      </c>
      <c r="B5" s="2">
        <v>2024</v>
      </c>
      <c r="C5" s="2">
        <v>2023</v>
      </c>
      <c r="D5" s="2">
        <v>2022</v>
      </c>
      <c r="E5" s="2">
        <v>2021</v>
      </c>
      <c r="F5" s="2">
        <v>2020</v>
      </c>
      <c r="G5" s="26"/>
      <c r="H5" s="26"/>
    </row>
    <row r="6" spans="1:11" x14ac:dyDescent="0.25">
      <c r="A6" s="27" t="s">
        <v>84</v>
      </c>
      <c r="B6" s="5"/>
      <c r="C6" s="5"/>
      <c r="D6" s="5"/>
      <c r="E6" s="28"/>
      <c r="F6" s="28"/>
      <c r="G6" s="29"/>
      <c r="H6" s="29"/>
    </row>
    <row r="7" spans="1:11" x14ac:dyDescent="0.25">
      <c r="A7" s="5" t="s">
        <v>85</v>
      </c>
      <c r="B7" s="9">
        <v>1043</v>
      </c>
      <c r="C7" s="8">
        <v>2853</v>
      </c>
      <c r="D7" s="5">
        <v>416</v>
      </c>
      <c r="E7" s="8">
        <v>1944</v>
      </c>
      <c r="F7" s="8">
        <v>1786</v>
      </c>
      <c r="G7" s="392">
        <f>(B7-C7)/C7</f>
        <v>-0.63441990886785837</v>
      </c>
      <c r="H7" s="392">
        <f>(C7-D7)/D7</f>
        <v>5.8581730769230766</v>
      </c>
      <c r="I7" s="392">
        <f>(D7-E7)/E7</f>
        <v>-0.78600823045267487</v>
      </c>
      <c r="J7" s="392">
        <f>(E7-F7)/F7</f>
        <v>8.8465845464725648E-2</v>
      </c>
      <c r="K7" s="67">
        <f>AVERAGE(B7:F7)</f>
        <v>1608.4</v>
      </c>
    </row>
    <row r="8" spans="1:11" x14ac:dyDescent="0.25">
      <c r="A8" s="5" t="s">
        <v>86</v>
      </c>
      <c r="B8" s="9">
        <v>19434</v>
      </c>
      <c r="C8" s="8">
        <v>9837</v>
      </c>
      <c r="D8" s="8">
        <v>22316</v>
      </c>
      <c r="E8" s="8">
        <v>29125</v>
      </c>
      <c r="F8" s="8">
        <v>10437</v>
      </c>
      <c r="G8" s="26"/>
      <c r="H8" s="26"/>
    </row>
    <row r="9" spans="1:11" x14ac:dyDescent="0.25">
      <c r="A9" s="5" t="s">
        <v>87</v>
      </c>
      <c r="B9" s="9">
        <v>11463</v>
      </c>
      <c r="C9" s="8">
        <v>11566</v>
      </c>
      <c r="D9" s="8">
        <v>10952</v>
      </c>
      <c r="E9" s="8">
        <v>11479</v>
      </c>
      <c r="F9" s="8">
        <v>7913</v>
      </c>
      <c r="G9" s="29"/>
      <c r="H9" s="29"/>
    </row>
    <row r="10" spans="1:11" x14ac:dyDescent="0.25">
      <c r="A10" s="5" t="s">
        <v>44</v>
      </c>
      <c r="B10" s="9">
        <v>10851</v>
      </c>
      <c r="C10" s="5">
        <v>10189</v>
      </c>
      <c r="D10" s="8">
        <v>8981</v>
      </c>
      <c r="E10" s="5">
        <v>9059</v>
      </c>
      <c r="F10" s="8">
        <v>8020</v>
      </c>
    </row>
    <row r="11" spans="1:11" x14ac:dyDescent="0.25">
      <c r="A11" s="5" t="s">
        <v>88</v>
      </c>
      <c r="B11" s="9">
        <v>3314</v>
      </c>
      <c r="C11" s="8">
        <v>3978</v>
      </c>
      <c r="D11" s="8">
        <v>3577</v>
      </c>
      <c r="E11" s="8">
        <v>4266</v>
      </c>
      <c r="F11" s="8">
        <v>3264</v>
      </c>
    </row>
    <row r="12" spans="1:11" x14ac:dyDescent="0.25">
      <c r="A12" s="5" t="s">
        <v>89</v>
      </c>
      <c r="B12" s="9">
        <v>4253</v>
      </c>
      <c r="C12" s="8">
        <v>4911</v>
      </c>
      <c r="D12" s="8">
        <v>5017</v>
      </c>
      <c r="E12" s="8">
        <v>3820</v>
      </c>
      <c r="F12" s="8">
        <v>3646</v>
      </c>
    </row>
    <row r="13" spans="1:11" x14ac:dyDescent="0.25">
      <c r="A13" s="30" t="s">
        <v>90</v>
      </c>
      <c r="B13" s="11">
        <f>SUM(B7:B12)</f>
        <v>50358</v>
      </c>
      <c r="C13" s="11">
        <f>SUM(C7:C12)</f>
        <v>43334</v>
      </c>
      <c r="D13" s="11">
        <f>SUM(D7:D12)</f>
        <v>51259</v>
      </c>
      <c r="E13" s="10">
        <f>SUM(E7:E12)</f>
        <v>59693</v>
      </c>
      <c r="F13" s="10">
        <f>SUM(F7:F12)</f>
        <v>35066</v>
      </c>
    </row>
    <row r="14" spans="1:11" x14ac:dyDescent="0.25">
      <c r="A14" s="27" t="s">
        <v>91</v>
      </c>
      <c r="B14" s="9">
        <v>217</v>
      </c>
      <c r="C14" s="8">
        <v>11637</v>
      </c>
      <c r="D14" s="8">
        <v>11033</v>
      </c>
      <c r="E14" s="8">
        <v>16472</v>
      </c>
      <c r="F14" s="5">
        <v>16856</v>
      </c>
    </row>
    <row r="15" spans="1:11" x14ac:dyDescent="0.25">
      <c r="A15" s="27" t="s">
        <v>92</v>
      </c>
      <c r="B15" s="9">
        <v>2010</v>
      </c>
      <c r="C15" s="8">
        <v>3731</v>
      </c>
      <c r="D15" s="8">
        <v>4036</v>
      </c>
      <c r="E15" s="8">
        <v>5054</v>
      </c>
      <c r="F15" s="8">
        <v>3406</v>
      </c>
    </row>
    <row r="16" spans="1:11" x14ac:dyDescent="0.25">
      <c r="A16" s="5" t="s">
        <v>93</v>
      </c>
      <c r="B16" s="9">
        <v>18393</v>
      </c>
      <c r="C16" s="8">
        <v>18940</v>
      </c>
      <c r="D16" s="8">
        <v>16274</v>
      </c>
      <c r="E16" s="8">
        <v>14882</v>
      </c>
      <c r="F16" s="5">
        <v>13745</v>
      </c>
    </row>
    <row r="17" spans="1:6" x14ac:dyDescent="0.25">
      <c r="A17" s="5" t="s">
        <v>94</v>
      </c>
      <c r="B17" s="9">
        <v>55411</v>
      </c>
      <c r="C17" s="8">
        <v>64900</v>
      </c>
      <c r="D17" s="8">
        <v>43370</v>
      </c>
      <c r="E17" s="8">
        <v>25146</v>
      </c>
      <c r="F17" s="5">
        <v>28337</v>
      </c>
    </row>
    <row r="18" spans="1:6" x14ac:dyDescent="0.25">
      <c r="A18" s="5" t="s">
        <v>95</v>
      </c>
      <c r="B18" s="9">
        <v>68527</v>
      </c>
      <c r="C18" s="8">
        <v>67783</v>
      </c>
      <c r="D18" s="8">
        <v>51375</v>
      </c>
      <c r="E18" s="8">
        <v>49208</v>
      </c>
      <c r="F18" s="8">
        <v>49556</v>
      </c>
    </row>
    <row r="19" spans="1:6" x14ac:dyDescent="0.25">
      <c r="A19" s="5" t="s">
        <v>96</v>
      </c>
      <c r="B19" s="9">
        <v>8662</v>
      </c>
      <c r="C19" s="8">
        <v>3706</v>
      </c>
      <c r="D19" s="8">
        <v>6693</v>
      </c>
      <c r="E19" s="8">
        <v>3341</v>
      </c>
      <c r="F19" s="8">
        <v>2383</v>
      </c>
    </row>
    <row r="20" spans="1:6" x14ac:dyDescent="0.25">
      <c r="A20" s="5" t="s">
        <v>97</v>
      </c>
      <c r="B20" s="9">
        <v>9817</v>
      </c>
      <c r="C20" s="8">
        <v>12471</v>
      </c>
      <c r="D20" s="8">
        <v>13163</v>
      </c>
      <c r="E20" s="8">
        <v>7679</v>
      </c>
      <c r="F20" s="8">
        <v>4879</v>
      </c>
    </row>
    <row r="21" spans="1:6" x14ac:dyDescent="0.25">
      <c r="A21" s="2" t="s">
        <v>98</v>
      </c>
      <c r="B21" s="20">
        <f>SUM(B14:B20)+B13</f>
        <v>213395</v>
      </c>
      <c r="C21" s="20">
        <f>SUM(C14:C20)+C13</f>
        <v>226502</v>
      </c>
      <c r="D21" s="20">
        <f>SUM(D14:D20)+D13</f>
        <v>197203</v>
      </c>
      <c r="E21" s="20">
        <f>SUM(E14:E20)+E13</f>
        <v>181475</v>
      </c>
      <c r="F21" s="20">
        <f>SUM(F14:F20)+F13</f>
        <v>154228</v>
      </c>
    </row>
    <row r="22" spans="1:6" x14ac:dyDescent="0.25">
      <c r="A22" s="27" t="s">
        <v>99</v>
      </c>
      <c r="B22" s="9"/>
      <c r="C22" s="5"/>
      <c r="D22" s="5"/>
      <c r="F22" s="31"/>
    </row>
    <row r="23" spans="1:6" x14ac:dyDescent="0.25">
      <c r="A23" s="5" t="s">
        <v>100</v>
      </c>
      <c r="B23" s="9">
        <v>6946</v>
      </c>
      <c r="C23" s="8">
        <v>10350</v>
      </c>
      <c r="D23" s="8">
        <v>2945</v>
      </c>
      <c r="E23" s="8">
        <v>2241</v>
      </c>
      <c r="F23" s="8">
        <v>2703</v>
      </c>
    </row>
    <row r="24" spans="1:6" x14ac:dyDescent="0.25">
      <c r="A24" s="5" t="s">
        <v>46</v>
      </c>
      <c r="B24" s="9">
        <v>5633</v>
      </c>
      <c r="C24" s="8">
        <v>6710</v>
      </c>
      <c r="D24" s="8">
        <v>6809</v>
      </c>
      <c r="E24" s="8">
        <v>5578</v>
      </c>
      <c r="F24" s="8">
        <v>4283</v>
      </c>
    </row>
    <row r="25" spans="1:6" x14ac:dyDescent="0.25">
      <c r="A25" s="5" t="s">
        <v>101</v>
      </c>
      <c r="B25" s="9">
        <v>2437</v>
      </c>
      <c r="C25" s="8">
        <v>2372</v>
      </c>
      <c r="D25" s="8">
        <v>2303</v>
      </c>
      <c r="E25" s="8">
        <v>2249</v>
      </c>
      <c r="F25" s="8">
        <v>2162</v>
      </c>
    </row>
    <row r="26" spans="1:6" x14ac:dyDescent="0.25">
      <c r="A26" s="5" t="s">
        <v>102</v>
      </c>
      <c r="B26" s="9">
        <v>2910</v>
      </c>
      <c r="C26" s="8">
        <v>2349</v>
      </c>
      <c r="D26" s="8">
        <v>1587</v>
      </c>
      <c r="E26" s="8">
        <v>1266</v>
      </c>
      <c r="F26" s="8">
        <v>1049</v>
      </c>
    </row>
    <row r="27" spans="1:6" x14ac:dyDescent="0.25">
      <c r="A27" s="5" t="s">
        <v>103</v>
      </c>
      <c r="B27" s="9">
        <v>3838</v>
      </c>
      <c r="C27" s="8">
        <v>2776</v>
      </c>
      <c r="D27" s="8">
        <v>3407</v>
      </c>
      <c r="E27" s="8">
        <v>3332</v>
      </c>
      <c r="F27" s="8">
        <v>3049</v>
      </c>
    </row>
    <row r="28" spans="1:6" x14ac:dyDescent="0.25">
      <c r="A28" s="5" t="s">
        <v>104</v>
      </c>
      <c r="B28" s="9">
        <v>1511</v>
      </c>
      <c r="C28" s="8">
        <v>2700</v>
      </c>
      <c r="D28" s="5">
        <v>2520</v>
      </c>
      <c r="E28" s="8">
        <v>3067</v>
      </c>
      <c r="F28" s="8">
        <v>1113</v>
      </c>
    </row>
    <row r="29" spans="1:6" x14ac:dyDescent="0.25">
      <c r="A29" s="5" t="s">
        <v>105</v>
      </c>
      <c r="B29" s="9">
        <v>19720</v>
      </c>
      <c r="C29" s="8">
        <v>20537</v>
      </c>
      <c r="D29" s="8">
        <v>22568</v>
      </c>
      <c r="E29" s="8">
        <v>24939</v>
      </c>
      <c r="F29" s="8">
        <v>11561</v>
      </c>
    </row>
    <row r="30" spans="1:6" x14ac:dyDescent="0.25">
      <c r="A30" s="32" t="s">
        <v>106</v>
      </c>
      <c r="B30" s="33">
        <f>SUM(B23:B29)</f>
        <v>42995</v>
      </c>
      <c r="C30" s="33">
        <f>SUM(C23:C29)</f>
        <v>47794</v>
      </c>
      <c r="D30" s="33">
        <f>SUM(D23:D29)</f>
        <v>42139</v>
      </c>
      <c r="E30" s="34">
        <v>42671</v>
      </c>
      <c r="F30" s="34">
        <v>25920</v>
      </c>
    </row>
    <row r="31" spans="1:6" x14ac:dyDescent="0.25">
      <c r="A31" s="5" t="s">
        <v>107</v>
      </c>
      <c r="B31" s="9">
        <v>57405</v>
      </c>
      <c r="C31" s="9">
        <v>61538</v>
      </c>
      <c r="D31" s="9">
        <v>32884</v>
      </c>
      <c r="E31" s="9">
        <v>36195</v>
      </c>
      <c r="F31" s="9">
        <v>37133</v>
      </c>
    </row>
    <row r="32" spans="1:6" x14ac:dyDescent="0.25">
      <c r="A32" s="5" t="s">
        <v>108</v>
      </c>
      <c r="B32" s="9">
        <v>2115</v>
      </c>
      <c r="C32" s="8">
        <v>2167</v>
      </c>
      <c r="D32">
        <v>2250</v>
      </c>
      <c r="E32" s="8">
        <v>3489</v>
      </c>
      <c r="F32" s="8">
        <v>4766</v>
      </c>
    </row>
    <row r="33" spans="1:6" x14ac:dyDescent="0.25">
      <c r="A33" s="27" t="s">
        <v>109</v>
      </c>
      <c r="B33" s="9"/>
      <c r="C33" s="5"/>
      <c r="D33" s="5"/>
      <c r="E33" s="5">
        <v>235</v>
      </c>
      <c r="F33" s="5">
        <v>645</v>
      </c>
    </row>
    <row r="34" spans="1:6" x14ac:dyDescent="0.25">
      <c r="A34" s="5" t="s">
        <v>110</v>
      </c>
      <c r="B34" s="9">
        <v>2122</v>
      </c>
      <c r="C34" s="5">
        <v>640</v>
      </c>
      <c r="D34" s="5">
        <v>1023</v>
      </c>
      <c r="E34" s="5">
        <v>349</v>
      </c>
      <c r="F34" s="8">
        <v>4063</v>
      </c>
    </row>
    <row r="35" spans="1:6" x14ac:dyDescent="0.25">
      <c r="A35" s="5" t="s">
        <v>111</v>
      </c>
      <c r="B35" s="9">
        <v>6112</v>
      </c>
      <c r="C35" s="8">
        <v>8534</v>
      </c>
      <c r="D35" s="5">
        <v>9812</v>
      </c>
      <c r="E35" s="8">
        <v>11331</v>
      </c>
      <c r="F35" s="8">
        <v>11560</v>
      </c>
    </row>
    <row r="36" spans="1:6" x14ac:dyDescent="0.25">
      <c r="A36" s="5" t="s">
        <v>112</v>
      </c>
      <c r="B36" s="9">
        <v>14150</v>
      </c>
      <c r="C36" s="8">
        <v>16539</v>
      </c>
      <c r="D36" s="5">
        <v>13180</v>
      </c>
      <c r="E36" s="8">
        <v>9743</v>
      </c>
      <c r="F36" s="5">
        <v>6.6689999999999996</v>
      </c>
    </row>
    <row r="37" spans="1:6" x14ac:dyDescent="0.25">
      <c r="A37" s="32" t="s">
        <v>113</v>
      </c>
      <c r="B37" s="33">
        <f>SUM(B30:B36)</f>
        <v>124899</v>
      </c>
      <c r="C37" s="33">
        <f>SUM(C30:C36)</f>
        <v>137212</v>
      </c>
      <c r="D37" s="33">
        <f>SUM(D30:D36)</f>
        <v>101288</v>
      </c>
      <c r="E37" s="33">
        <f>SUM(E30:E36)</f>
        <v>104013</v>
      </c>
      <c r="F37" s="34">
        <v>90756</v>
      </c>
    </row>
    <row r="38" spans="1:6" x14ac:dyDescent="0.25">
      <c r="A38" s="5" t="s">
        <v>114</v>
      </c>
      <c r="B38" s="35"/>
      <c r="C38" s="5"/>
      <c r="D38" s="5"/>
      <c r="F38" s="31"/>
    </row>
    <row r="39" spans="1:6" x14ac:dyDescent="0.25">
      <c r="A39" s="5" t="s">
        <v>115</v>
      </c>
      <c r="B39" s="9"/>
      <c r="C39" s="5"/>
      <c r="D39" s="5"/>
      <c r="E39" s="5"/>
      <c r="F39" s="5"/>
    </row>
    <row r="40" spans="1:6" x14ac:dyDescent="0.25">
      <c r="A40" s="5" t="s">
        <v>116</v>
      </c>
      <c r="B40" s="9">
        <v>480</v>
      </c>
      <c r="C40" s="5">
        <v>478</v>
      </c>
      <c r="D40" s="5">
        <v>476</v>
      </c>
      <c r="E40" s="5">
        <v>473</v>
      </c>
      <c r="F40" s="5">
        <v>470</v>
      </c>
    </row>
    <row r="41" spans="1:6" x14ac:dyDescent="0.25">
      <c r="A41" s="5" t="s">
        <v>117</v>
      </c>
      <c r="B41" s="9">
        <v>93603</v>
      </c>
      <c r="C41" s="8">
        <v>92631</v>
      </c>
      <c r="D41" s="5">
        <v>91802</v>
      </c>
      <c r="E41" s="8">
        <v>90591</v>
      </c>
      <c r="F41" s="8">
        <v>88674</v>
      </c>
    </row>
    <row r="42" spans="1:6" x14ac:dyDescent="0.25">
      <c r="A42" s="5" t="s">
        <v>118</v>
      </c>
      <c r="B42" s="9">
        <v>-114763</v>
      </c>
      <c r="C42" s="8">
        <v>-114487</v>
      </c>
      <c r="D42" s="5">
        <v>-113969</v>
      </c>
      <c r="E42" s="5">
        <f>-111361</f>
        <v>-111361</v>
      </c>
      <c r="F42" s="8">
        <v>-110988</v>
      </c>
    </row>
    <row r="43" spans="1:6" x14ac:dyDescent="0.25">
      <c r="A43" s="5" t="s">
        <v>119</v>
      </c>
      <c r="B43" s="9">
        <v>116725</v>
      </c>
      <c r="C43" s="8">
        <v>118353</v>
      </c>
      <c r="D43" s="5">
        <v>125656</v>
      </c>
      <c r="E43" s="5">
        <v>103394</v>
      </c>
      <c r="F43" s="8">
        <v>90392</v>
      </c>
    </row>
    <row r="44" spans="1:6" x14ac:dyDescent="0.25">
      <c r="A44" s="5" t="s">
        <v>120</v>
      </c>
      <c r="B44" s="9">
        <v>-7842</v>
      </c>
      <c r="C44" s="8">
        <v>-7961</v>
      </c>
      <c r="D44" s="5">
        <v>-8304</v>
      </c>
      <c r="E44" s="8">
        <v>-5897</v>
      </c>
      <c r="F44" s="8">
        <v>-5310</v>
      </c>
    </row>
    <row r="45" spans="1:6" x14ac:dyDescent="0.25">
      <c r="A45" s="5" t="s">
        <v>121</v>
      </c>
      <c r="B45" s="11">
        <f>SUM(B40:B44)</f>
        <v>88203</v>
      </c>
      <c r="C45" s="11">
        <f>SUM(C40:C44)</f>
        <v>89014</v>
      </c>
      <c r="D45" s="11">
        <f>SUM(D40:D44)</f>
        <v>95661</v>
      </c>
      <c r="E45" s="11">
        <f>SUM(E40:E44)</f>
        <v>77200</v>
      </c>
      <c r="F45" s="5">
        <v>63238</v>
      </c>
    </row>
    <row r="46" spans="1:6" x14ac:dyDescent="0.25">
      <c r="A46" s="5" t="s">
        <v>122</v>
      </c>
      <c r="B46" s="9">
        <v>294</v>
      </c>
      <c r="C46" s="5">
        <v>274</v>
      </c>
      <c r="D46" s="5">
        <v>256</v>
      </c>
      <c r="E46" s="5">
        <v>262</v>
      </c>
      <c r="F46" s="5">
        <v>235</v>
      </c>
    </row>
    <row r="47" spans="1:6" x14ac:dyDescent="0.25">
      <c r="A47" s="5" t="s">
        <v>123</v>
      </c>
      <c r="B47" s="11">
        <f>B45+B46</f>
        <v>88497</v>
      </c>
      <c r="C47" s="11">
        <f>C45+C46</f>
        <v>89288</v>
      </c>
      <c r="D47" s="11">
        <f>D45+D46</f>
        <v>95917</v>
      </c>
      <c r="E47" s="11">
        <f>E45+E46</f>
        <v>77462</v>
      </c>
      <c r="F47" s="5">
        <v>63473</v>
      </c>
    </row>
    <row r="48" spans="1:6" x14ac:dyDescent="0.25">
      <c r="A48" s="2" t="s">
        <v>124</v>
      </c>
      <c r="B48" s="20">
        <f>B37+B47</f>
        <v>213396</v>
      </c>
      <c r="C48" s="20">
        <f>C37+C47</f>
        <v>226500</v>
      </c>
      <c r="D48" s="20">
        <f>D37+D47</f>
        <v>197205</v>
      </c>
      <c r="E48" s="20">
        <f>E37+E47</f>
        <v>181475</v>
      </c>
      <c r="F48" s="20">
        <f>F37+F47</f>
        <v>154229</v>
      </c>
    </row>
    <row r="49" spans="1:6" x14ac:dyDescent="0.25">
      <c r="A49" s="30" t="s">
        <v>125</v>
      </c>
      <c r="B49" s="36">
        <f>B21-B48</f>
        <v>-1</v>
      </c>
      <c r="C49" s="36">
        <f>C21-C48</f>
        <v>2</v>
      </c>
      <c r="D49" s="36">
        <f>D21-D48</f>
        <v>-2</v>
      </c>
      <c r="E49" s="36">
        <f>E21-E48</f>
        <v>0</v>
      </c>
      <c r="F49" s="36">
        <f>F21-F48</f>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FC5A1-DEF8-4E4C-AED8-5EC57506D5C0}">
  <dimension ref="A2:F54"/>
  <sheetViews>
    <sheetView showGridLines="0" topLeftCell="A11" zoomScale="71" workbookViewId="0">
      <selection activeCell="B55" sqref="B55"/>
    </sheetView>
  </sheetViews>
  <sheetFormatPr defaultRowHeight="13.2" x14ac:dyDescent="0.25"/>
  <cols>
    <col min="1" max="1" width="85.21875" customWidth="1"/>
    <col min="2" max="2" width="23.44140625" bestFit="1" customWidth="1"/>
    <col min="3" max="3" width="13.77734375" bestFit="1" customWidth="1"/>
    <col min="4" max="4" width="13.21875" bestFit="1" customWidth="1"/>
    <col min="5" max="5" width="10.77734375" customWidth="1"/>
    <col min="6" max="6" width="12.44140625" bestFit="1" customWidth="1"/>
  </cols>
  <sheetData>
    <row r="2" spans="1:6" x14ac:dyDescent="0.25">
      <c r="B2" s="68" t="s">
        <v>4</v>
      </c>
    </row>
    <row r="3" spans="1:6" x14ac:dyDescent="0.25">
      <c r="A3" s="58" t="s">
        <v>5</v>
      </c>
      <c r="B3" s="58">
        <v>2024</v>
      </c>
      <c r="C3" s="58">
        <v>2023</v>
      </c>
      <c r="D3" s="58">
        <v>2022</v>
      </c>
      <c r="E3" s="58">
        <v>2021</v>
      </c>
      <c r="F3" s="58">
        <v>2020</v>
      </c>
    </row>
    <row r="4" spans="1:6" x14ac:dyDescent="0.25">
      <c r="A4" s="5" t="s">
        <v>160</v>
      </c>
      <c r="B4" s="9">
        <v>8062</v>
      </c>
      <c r="C4" s="9">
        <v>2158</v>
      </c>
      <c r="D4" s="9">
        <v>31407</v>
      </c>
      <c r="E4" s="9">
        <v>22025</v>
      </c>
      <c r="F4" s="9">
        <v>9195</v>
      </c>
    </row>
    <row r="5" spans="1:6" x14ac:dyDescent="0.25">
      <c r="A5" s="5" t="s">
        <v>24</v>
      </c>
      <c r="B5" s="9">
        <v>11</v>
      </c>
      <c r="C5" s="9">
        <v>-15</v>
      </c>
      <c r="D5" s="9">
        <v>6</v>
      </c>
      <c r="E5" s="9">
        <v>-434</v>
      </c>
      <c r="F5" s="9">
        <v>2529</v>
      </c>
    </row>
    <row r="6" spans="1:6" s="26" customFormat="1" x14ac:dyDescent="0.25">
      <c r="A6" s="59" t="s">
        <v>161</v>
      </c>
      <c r="B6" s="60">
        <f>B4-B5</f>
        <v>8051</v>
      </c>
      <c r="C6" s="60">
        <f>C4-C5</f>
        <v>2173</v>
      </c>
      <c r="D6" s="60">
        <f>D4-D5</f>
        <v>31401</v>
      </c>
      <c r="E6" s="60">
        <f>E4-E5</f>
        <v>22459</v>
      </c>
      <c r="F6" s="60">
        <f>F4-F5</f>
        <v>6666</v>
      </c>
    </row>
    <row r="7" spans="1:6" ht="28.2" customHeight="1" x14ac:dyDescent="0.25">
      <c r="A7" s="61" t="s">
        <v>162</v>
      </c>
      <c r="B7" s="9"/>
      <c r="C7" s="9"/>
      <c r="D7" s="9"/>
      <c r="E7" s="9"/>
      <c r="F7" s="9"/>
    </row>
    <row r="8" spans="1:6" s="26" customFormat="1" x14ac:dyDescent="0.25">
      <c r="A8" s="62" t="s">
        <v>36</v>
      </c>
      <c r="B8" s="63">
        <v>7013</v>
      </c>
      <c r="C8" s="63">
        <v>6290</v>
      </c>
      <c r="D8" s="63">
        <v>5064</v>
      </c>
      <c r="E8" s="63">
        <v>5191</v>
      </c>
      <c r="F8" s="63">
        <v>4681</v>
      </c>
    </row>
    <row r="9" spans="1:6" s="26" customFormat="1" x14ac:dyDescent="0.25">
      <c r="A9" s="62" t="s">
        <v>163</v>
      </c>
      <c r="B9" s="63">
        <v>4242</v>
      </c>
      <c r="C9" s="63">
        <v>3408</v>
      </c>
      <c r="D9" s="63">
        <v>550</v>
      </c>
      <c r="E9" s="63">
        <v>276</v>
      </c>
      <c r="F9" s="63">
        <v>2049</v>
      </c>
    </row>
    <row r="10" spans="1:6" s="26" customFormat="1" x14ac:dyDescent="0.25">
      <c r="A10" s="62" t="s">
        <v>164</v>
      </c>
      <c r="B10" s="63">
        <v>0</v>
      </c>
      <c r="C10" s="63">
        <v>0</v>
      </c>
      <c r="D10" s="63">
        <v>0</v>
      </c>
      <c r="E10" s="63">
        <v>0</v>
      </c>
      <c r="F10" s="63">
        <v>-6</v>
      </c>
    </row>
    <row r="11" spans="1:6" s="26" customFormat="1" x14ac:dyDescent="0.25">
      <c r="A11" s="62" t="s">
        <v>165</v>
      </c>
      <c r="B11" s="63">
        <v>-2102</v>
      </c>
      <c r="C11" s="63">
        <v>-3442</v>
      </c>
      <c r="D11" s="63">
        <v>-3764</v>
      </c>
      <c r="E11" s="63">
        <v>-4293</v>
      </c>
      <c r="F11" s="63">
        <f>-1575</f>
        <v>-1575</v>
      </c>
    </row>
    <row r="12" spans="1:6" s="26" customFormat="1" x14ac:dyDescent="0.25">
      <c r="A12" s="62" t="s">
        <v>40</v>
      </c>
      <c r="B12" s="63">
        <v>877</v>
      </c>
      <c r="C12" s="63">
        <v>525</v>
      </c>
      <c r="D12" s="63">
        <v>872</v>
      </c>
      <c r="E12" s="63">
        <v>1182</v>
      </c>
      <c r="F12" s="63">
        <v>755</v>
      </c>
    </row>
    <row r="13" spans="1:6" x14ac:dyDescent="0.25">
      <c r="A13" s="5" t="s">
        <v>166</v>
      </c>
      <c r="B13" s="9">
        <v>-12</v>
      </c>
      <c r="C13" s="9">
        <v>-787</v>
      </c>
      <c r="D13" s="9">
        <v>-1158</v>
      </c>
      <c r="E13" s="63">
        <v>-3123</v>
      </c>
      <c r="F13" s="63">
        <v>-1242</v>
      </c>
    </row>
    <row r="14" spans="1:6" x14ac:dyDescent="0.25">
      <c r="A14" s="5" t="s">
        <v>167</v>
      </c>
      <c r="B14" s="63">
        <v>0</v>
      </c>
      <c r="C14" s="9">
        <v>6199</v>
      </c>
      <c r="D14" s="9">
        <v>1183</v>
      </c>
      <c r="E14" s="63">
        <v>0</v>
      </c>
      <c r="F14" s="63">
        <v>0</v>
      </c>
    </row>
    <row r="15" spans="1:6" x14ac:dyDescent="0.25">
      <c r="A15" s="5" t="s">
        <v>168</v>
      </c>
      <c r="B15" s="9">
        <v>-2260</v>
      </c>
      <c r="C15" s="9">
        <v>-3492</v>
      </c>
      <c r="D15" s="9">
        <v>758</v>
      </c>
      <c r="E15" s="63">
        <v>-1573</v>
      </c>
      <c r="F15" s="63">
        <v>-479</v>
      </c>
    </row>
    <row r="16" spans="1:6" x14ac:dyDescent="0.25">
      <c r="A16" s="5" t="s">
        <v>169</v>
      </c>
      <c r="B16" s="9"/>
      <c r="C16" s="9"/>
      <c r="D16" s="9"/>
      <c r="E16" s="9"/>
      <c r="F16" s="9"/>
    </row>
    <row r="17" spans="1:6" x14ac:dyDescent="0.25">
      <c r="A17" s="5" t="s">
        <v>170</v>
      </c>
      <c r="B17" s="9">
        <v>-109</v>
      </c>
      <c r="C17" s="9">
        <v>347</v>
      </c>
      <c r="D17" s="9">
        <v>261</v>
      </c>
      <c r="E17" s="63">
        <v>-3811</v>
      </c>
      <c r="F17" s="9">
        <f>-1275</f>
        <v>-1275</v>
      </c>
    </row>
    <row r="18" spans="1:6" x14ac:dyDescent="0.25">
      <c r="A18" s="5" t="s">
        <v>171</v>
      </c>
      <c r="B18" s="9">
        <v>-854</v>
      </c>
      <c r="C18" s="9">
        <v>-1169</v>
      </c>
      <c r="D18" s="9">
        <v>-591</v>
      </c>
      <c r="E18" s="63">
        <v>-1125</v>
      </c>
      <c r="F18" s="63">
        <v>-778</v>
      </c>
    </row>
    <row r="19" spans="1:6" x14ac:dyDescent="0.25">
      <c r="A19" s="5" t="s">
        <v>172</v>
      </c>
      <c r="B19" s="9">
        <v>3380</v>
      </c>
      <c r="C19" s="9">
        <v>-663</v>
      </c>
      <c r="D19" s="9">
        <v>-4506</v>
      </c>
      <c r="E19" s="63">
        <v>-1057</v>
      </c>
      <c r="F19" s="63">
        <v>-137</v>
      </c>
    </row>
    <row r="20" spans="1:6" x14ac:dyDescent="0.25">
      <c r="A20" s="5" t="s">
        <v>46</v>
      </c>
      <c r="B20" s="9">
        <v>-1023</v>
      </c>
      <c r="C20" s="9">
        <v>-300</v>
      </c>
      <c r="D20" s="9">
        <v>1191</v>
      </c>
      <c r="E20" s="63">
        <v>1242</v>
      </c>
      <c r="F20" s="63">
        <v>355</v>
      </c>
    </row>
    <row r="21" spans="1:6" x14ac:dyDescent="0.25">
      <c r="A21" s="5" t="s">
        <v>173</v>
      </c>
      <c r="B21" s="9">
        <v>-3115</v>
      </c>
      <c r="C21" s="9">
        <v>595</v>
      </c>
      <c r="D21" s="9">
        <v>-1449</v>
      </c>
      <c r="E21" s="63">
        <v>18721</v>
      </c>
      <c r="F21" s="63">
        <v>2768</v>
      </c>
    </row>
    <row r="22" spans="1:6" x14ac:dyDescent="0.25">
      <c r="A22" s="5" t="s">
        <v>48</v>
      </c>
      <c r="B22" s="9">
        <v>-1345</v>
      </c>
      <c r="C22" s="9">
        <v>-982</v>
      </c>
      <c r="D22" s="9">
        <v>-545</v>
      </c>
      <c r="E22" s="63">
        <v>-1166</v>
      </c>
      <c r="F22" s="63">
        <v>-1240</v>
      </c>
    </row>
    <row r="23" spans="1:6" x14ac:dyDescent="0.25">
      <c r="A23" s="30" t="s">
        <v>174</v>
      </c>
      <c r="B23" s="11">
        <f>SUM(B6:B22)</f>
        <v>12743</v>
      </c>
      <c r="C23" s="11">
        <f t="shared" ref="C23:D23" si="0">SUM(C6:C22)</f>
        <v>8702</v>
      </c>
      <c r="D23" s="11">
        <f t="shared" si="0"/>
        <v>29267</v>
      </c>
      <c r="E23" s="11">
        <f>SUM(E6:E22)</f>
        <v>32923</v>
      </c>
      <c r="F23" s="11">
        <f>SUM(F6:F22)</f>
        <v>10542</v>
      </c>
    </row>
    <row r="24" spans="1:6" x14ac:dyDescent="0.25">
      <c r="A24" s="30" t="s">
        <v>175</v>
      </c>
      <c r="B24" s="11">
        <v>0</v>
      </c>
      <c r="C24" s="11">
        <v>0</v>
      </c>
      <c r="D24" s="11">
        <v>0</v>
      </c>
      <c r="E24" s="11">
        <v>-343</v>
      </c>
      <c r="F24" s="11">
        <v>3863</v>
      </c>
    </row>
    <row r="25" spans="1:6" x14ac:dyDescent="0.25">
      <c r="A25" s="30" t="s">
        <v>176</v>
      </c>
      <c r="B25" s="11">
        <f>B23</f>
        <v>12743</v>
      </c>
      <c r="C25" s="11">
        <f>C23</f>
        <v>8702</v>
      </c>
      <c r="D25" s="11">
        <f>D23</f>
        <v>29267</v>
      </c>
      <c r="E25" s="11">
        <f>E23+E24</f>
        <v>32580</v>
      </c>
      <c r="F25" s="11">
        <f>F23+F24</f>
        <v>14405</v>
      </c>
    </row>
    <row r="26" spans="1:6" x14ac:dyDescent="0.25">
      <c r="A26" s="5" t="s">
        <v>177</v>
      </c>
      <c r="B26" s="9">
        <v>-2909</v>
      </c>
      <c r="C26" s="9">
        <v>-3907</v>
      </c>
      <c r="D26" s="9">
        <v>-3236</v>
      </c>
      <c r="E26" s="64">
        <v>-2711</v>
      </c>
      <c r="F26" s="64">
        <v>-2226</v>
      </c>
    </row>
    <row r="27" spans="1:6" x14ac:dyDescent="0.25">
      <c r="A27" s="5" t="s">
        <v>178</v>
      </c>
      <c r="B27" s="9">
        <v>-10133</v>
      </c>
      <c r="C27" s="9">
        <v>-30974</v>
      </c>
      <c r="D27" s="9">
        <v>-36384</v>
      </c>
      <c r="E27" s="64">
        <v>-38457</v>
      </c>
      <c r="F27" s="64">
        <v>-13805</v>
      </c>
    </row>
    <row r="28" spans="1:6" x14ac:dyDescent="0.25">
      <c r="A28" s="5" t="s">
        <v>179</v>
      </c>
      <c r="B28" s="9">
        <v>4128</v>
      </c>
      <c r="C28" s="9">
        <v>39264</v>
      </c>
      <c r="D28" s="9">
        <v>44821</v>
      </c>
      <c r="E28" s="64">
        <v>27447</v>
      </c>
      <c r="F28" s="64">
        <v>11087</v>
      </c>
    </row>
    <row r="29" spans="1:6" x14ac:dyDescent="0.25">
      <c r="A29" s="27" t="s">
        <v>180</v>
      </c>
      <c r="B29" s="9">
        <v>3136</v>
      </c>
      <c r="C29" s="9">
        <v>5174</v>
      </c>
      <c r="D29" s="9">
        <v>-483</v>
      </c>
      <c r="E29" s="64">
        <v>-8088</v>
      </c>
      <c r="F29" s="64">
        <v>920</v>
      </c>
    </row>
    <row r="30" spans="1:6" x14ac:dyDescent="0.25">
      <c r="A30" s="27" t="s">
        <v>181</v>
      </c>
      <c r="B30" s="9">
        <v>-180</v>
      </c>
      <c r="C30" s="9">
        <v>-204</v>
      </c>
      <c r="D30" s="9">
        <v>-1913</v>
      </c>
      <c r="E30" s="64">
        <v>-1068</v>
      </c>
      <c r="F30" s="64">
        <v>-597</v>
      </c>
    </row>
    <row r="31" spans="1:6" x14ac:dyDescent="0.25">
      <c r="A31" s="27" t="s">
        <v>182</v>
      </c>
      <c r="B31" s="9">
        <v>1570</v>
      </c>
      <c r="C31" s="9">
        <v>1979</v>
      </c>
      <c r="D31" s="9">
        <v>641</v>
      </c>
      <c r="E31" s="64">
        <v>649</v>
      </c>
      <c r="F31" s="64">
        <v>723</v>
      </c>
    </row>
    <row r="32" spans="1:6" x14ac:dyDescent="0.25">
      <c r="A32" s="5" t="s">
        <v>183</v>
      </c>
      <c r="B32" s="9">
        <v>7040</v>
      </c>
      <c r="C32" s="9">
        <v>0</v>
      </c>
      <c r="D32" s="9">
        <v>0</v>
      </c>
      <c r="E32" s="9"/>
      <c r="F32" s="9"/>
    </row>
    <row r="33" spans="1:6" x14ac:dyDescent="0.25">
      <c r="A33" s="5" t="s">
        <v>184</v>
      </c>
      <c r="B33" s="9">
        <v>0</v>
      </c>
      <c r="C33" s="9">
        <v>-43430</v>
      </c>
      <c r="D33" s="9">
        <v>-22997</v>
      </c>
      <c r="E33" s="9"/>
      <c r="F33" s="9"/>
    </row>
    <row r="34" spans="1:6" x14ac:dyDescent="0.25">
      <c r="A34" s="5" t="s">
        <v>185</v>
      </c>
      <c r="B34" s="9">
        <v>0</v>
      </c>
      <c r="C34" s="9"/>
      <c r="D34" s="9">
        <v>3960</v>
      </c>
      <c r="E34" s="9"/>
      <c r="F34" s="9"/>
    </row>
    <row r="35" spans="1:6" x14ac:dyDescent="0.25">
      <c r="A35" s="5" t="s">
        <v>186</v>
      </c>
      <c r="B35" s="9">
        <v>2</v>
      </c>
      <c r="C35" s="9">
        <v>-179</v>
      </c>
      <c r="D35" s="9">
        <v>-192</v>
      </c>
      <c r="E35" s="9">
        <v>-305</v>
      </c>
      <c r="F35" s="9">
        <v>-265</v>
      </c>
    </row>
    <row r="36" spans="1:6" x14ac:dyDescent="0.25">
      <c r="A36" s="30" t="s">
        <v>63</v>
      </c>
      <c r="B36" s="11">
        <f>SUM(B26:B35)</f>
        <v>2654</v>
      </c>
      <c r="C36" s="11">
        <f>SUM(C26:C35)</f>
        <v>-32277</v>
      </c>
      <c r="D36" s="11">
        <f>SUM(D26:D35)</f>
        <v>-15783</v>
      </c>
      <c r="E36" s="11">
        <f>SUM(E26:E35)</f>
        <v>-22533</v>
      </c>
      <c r="F36" s="11">
        <f>SUM(F26:F35)</f>
        <v>-4163</v>
      </c>
    </row>
    <row r="37" spans="1:6" x14ac:dyDescent="0.25">
      <c r="A37" s="30" t="s">
        <v>187</v>
      </c>
      <c r="B37" s="11">
        <v>0</v>
      </c>
      <c r="C37" s="11">
        <v>0</v>
      </c>
      <c r="D37" s="11">
        <v>0</v>
      </c>
      <c r="E37" s="11">
        <v>-12</v>
      </c>
      <c r="F37" s="11">
        <v>-109</v>
      </c>
    </row>
    <row r="38" spans="1:6" x14ac:dyDescent="0.25">
      <c r="A38" s="30" t="s">
        <v>188</v>
      </c>
      <c r="B38" s="11">
        <f>B36+B37</f>
        <v>2654</v>
      </c>
      <c r="C38" s="11">
        <f>C36+C37</f>
        <v>-32277</v>
      </c>
      <c r="D38" s="11">
        <f>D36+D37</f>
        <v>-15783</v>
      </c>
      <c r="E38" s="11">
        <f>E36+E37</f>
        <v>-22545</v>
      </c>
      <c r="F38" s="11">
        <f>F36+F37</f>
        <v>-4272</v>
      </c>
    </row>
    <row r="39" spans="1:6" x14ac:dyDescent="0.25">
      <c r="A39" s="27" t="s">
        <v>189</v>
      </c>
      <c r="B39" s="9">
        <v>8907</v>
      </c>
      <c r="C39" s="9">
        <v>4525</v>
      </c>
      <c r="D39" s="9">
        <v>3891</v>
      </c>
      <c r="E39" s="9">
        <v>0</v>
      </c>
      <c r="F39" s="9">
        <v>12352</v>
      </c>
    </row>
    <row r="40" spans="1:6" x14ac:dyDescent="0.25">
      <c r="A40" s="5" t="s">
        <v>190</v>
      </c>
      <c r="B40" s="9">
        <v>-11226</v>
      </c>
      <c r="C40" s="9">
        <v>-3</v>
      </c>
      <c r="D40" s="9">
        <v>-3887</v>
      </c>
      <c r="E40" s="9">
        <v>0</v>
      </c>
      <c r="F40" s="9">
        <v>-22197</v>
      </c>
    </row>
    <row r="41" spans="1:6" x14ac:dyDescent="0.25">
      <c r="A41" s="5" t="s">
        <v>191</v>
      </c>
      <c r="B41" s="9">
        <v>-2590</v>
      </c>
      <c r="C41" s="9">
        <v>3161</v>
      </c>
      <c r="D41" s="9">
        <v>-222</v>
      </c>
      <c r="E41" s="9">
        <v>-96</v>
      </c>
      <c r="F41" s="9">
        <v>-4129</v>
      </c>
    </row>
    <row r="42" spans="1:6" x14ac:dyDescent="0.25">
      <c r="A42" s="5" t="s">
        <v>192</v>
      </c>
      <c r="B42" s="9"/>
      <c r="C42" s="9">
        <v>30831</v>
      </c>
      <c r="D42" s="9"/>
      <c r="E42" s="9">
        <v>997</v>
      </c>
      <c r="F42" s="9">
        <v>5222</v>
      </c>
    </row>
    <row r="43" spans="1:6" x14ac:dyDescent="0.25">
      <c r="A43" s="5" t="s">
        <v>193</v>
      </c>
      <c r="B43" s="9">
        <v>-2250</v>
      </c>
      <c r="C43" s="9">
        <v>-2569</v>
      </c>
      <c r="D43" s="9">
        <v>-3298</v>
      </c>
      <c r="E43" s="9">
        <v>-2004</v>
      </c>
      <c r="F43" s="9">
        <v>-4003</v>
      </c>
    </row>
    <row r="44" spans="1:6" x14ac:dyDescent="0.25">
      <c r="A44" s="5" t="s">
        <v>194</v>
      </c>
      <c r="B44" s="9"/>
      <c r="C44" s="9"/>
      <c r="D44" s="9">
        <v>-2000</v>
      </c>
      <c r="E44" s="9">
        <v>0</v>
      </c>
      <c r="F44" s="9">
        <v>0</v>
      </c>
    </row>
    <row r="45" spans="1:6" x14ac:dyDescent="0.25">
      <c r="A45" s="5" t="s">
        <v>195</v>
      </c>
      <c r="B45" s="9">
        <v>-9512</v>
      </c>
      <c r="C45" s="9">
        <v>-9247</v>
      </c>
      <c r="D45" s="9">
        <v>-8983</v>
      </c>
      <c r="E45" s="9">
        <v>-8729</v>
      </c>
      <c r="F45" s="9">
        <v>-8440</v>
      </c>
    </row>
    <row r="46" spans="1:6" x14ac:dyDescent="0.25">
      <c r="A46" s="5" t="s">
        <v>72</v>
      </c>
      <c r="B46" s="9">
        <v>-469</v>
      </c>
      <c r="C46" s="9">
        <v>-631</v>
      </c>
      <c r="D46" s="9">
        <v>-335</v>
      </c>
      <c r="E46">
        <v>16</v>
      </c>
      <c r="F46" s="9">
        <v>-444</v>
      </c>
    </row>
    <row r="47" spans="1:6" x14ac:dyDescent="0.25">
      <c r="A47" s="30" t="s">
        <v>196</v>
      </c>
      <c r="B47" s="11">
        <f>SUM(B39:B46)</f>
        <v>-17140</v>
      </c>
      <c r="C47" s="11">
        <f t="shared" ref="C47:D47" si="1">SUM(C39:C46)</f>
        <v>26067</v>
      </c>
      <c r="D47" s="11">
        <f t="shared" si="1"/>
        <v>-14834</v>
      </c>
      <c r="E47" s="11">
        <f>SUM(E39:E46)</f>
        <v>-9816</v>
      </c>
      <c r="F47" s="11">
        <f>SUM(F39:F46)</f>
        <v>-21639</v>
      </c>
    </row>
    <row r="48" spans="1:6" x14ac:dyDescent="0.25">
      <c r="A48" s="30" t="s">
        <v>197</v>
      </c>
      <c r="B48" s="64">
        <v>0</v>
      </c>
      <c r="C48" s="64">
        <v>0</v>
      </c>
      <c r="D48" s="64">
        <v>0</v>
      </c>
      <c r="E48" s="64">
        <v>0</v>
      </c>
      <c r="F48" s="11">
        <v>11991</v>
      </c>
    </row>
    <row r="49" spans="1:6" x14ac:dyDescent="0.25">
      <c r="A49" s="30" t="s">
        <v>196</v>
      </c>
      <c r="B49" s="11">
        <f>B47+B48</f>
        <v>-17140</v>
      </c>
      <c r="C49" s="11">
        <f>C47+C48</f>
        <v>26067</v>
      </c>
      <c r="D49" s="11">
        <f>D47+D48</f>
        <v>-14834</v>
      </c>
      <c r="E49" s="11">
        <f>E47+E48</f>
        <v>-9816</v>
      </c>
      <c r="F49" s="11">
        <f>F47+F48</f>
        <v>-9648</v>
      </c>
    </row>
    <row r="50" spans="1:6" x14ac:dyDescent="0.25">
      <c r="A50" s="5" t="s">
        <v>198</v>
      </c>
      <c r="B50" s="9">
        <v>-66</v>
      </c>
      <c r="C50" s="9">
        <v>-40</v>
      </c>
      <c r="D50" s="9">
        <v>-165</v>
      </c>
      <c r="E50" s="9">
        <v>-59</v>
      </c>
      <c r="F50" s="9">
        <v>-8</v>
      </c>
    </row>
    <row r="51" spans="1:6" x14ac:dyDescent="0.25">
      <c r="A51" s="30" t="s">
        <v>199</v>
      </c>
      <c r="B51" s="9">
        <f>B23+B36+B47+B50</f>
        <v>-1809</v>
      </c>
      <c r="C51" s="9">
        <f>C23+C36+C47+C50</f>
        <v>2452</v>
      </c>
      <c r="D51" s="9">
        <f>D23+D36+D47+D50</f>
        <v>-1515</v>
      </c>
      <c r="E51" s="9">
        <f>E25+E38+E49+E50</f>
        <v>160</v>
      </c>
      <c r="F51" s="9">
        <f>F25+F38+F49+F50</f>
        <v>477</v>
      </c>
    </row>
    <row r="52" spans="1:6" x14ac:dyDescent="0.25">
      <c r="A52" s="5" t="s">
        <v>200</v>
      </c>
      <c r="B52" s="9">
        <v>2917</v>
      </c>
      <c r="C52" s="9">
        <v>468</v>
      </c>
      <c r="D52" s="9">
        <v>1983</v>
      </c>
      <c r="E52" s="9">
        <v>1825</v>
      </c>
      <c r="F52" s="9">
        <v>475</v>
      </c>
    </row>
    <row r="53" spans="1:6" x14ac:dyDescent="0.25">
      <c r="A53" s="65" t="s">
        <v>201</v>
      </c>
      <c r="B53" s="66">
        <f>B23+B36+B47+B50+B52</f>
        <v>1108</v>
      </c>
      <c r="C53" s="66">
        <f>C23+C36+C47+C50+C52</f>
        <v>2920</v>
      </c>
      <c r="D53" s="66">
        <f>D23+D36+D47+D50+D52</f>
        <v>468</v>
      </c>
      <c r="E53" s="66">
        <v>1983</v>
      </c>
      <c r="F53" s="66">
        <v>1350</v>
      </c>
    </row>
    <row r="54" spans="1:6" x14ac:dyDescent="0.25">
      <c r="B54" s="67">
        <f>B52-B53</f>
        <v>1809</v>
      </c>
      <c r="C54" s="67">
        <f>C52-C53</f>
        <v>-2452</v>
      </c>
      <c r="D54" s="67">
        <f>D52-D53</f>
        <v>1515</v>
      </c>
      <c r="E54" s="67">
        <f>E52-E53</f>
        <v>-158</v>
      </c>
      <c r="F54" s="67">
        <f>F52-F53</f>
        <v>-875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CA17-7347-4668-9D0A-D947324DA497}">
  <dimension ref="A1:AE44"/>
  <sheetViews>
    <sheetView showGridLines="0" topLeftCell="A7" workbookViewId="0">
      <selection activeCell="A44" sqref="A44"/>
    </sheetView>
  </sheetViews>
  <sheetFormatPr defaultRowHeight="13.2" x14ac:dyDescent="0.25"/>
  <cols>
    <col min="1" max="1" width="25.109375" customWidth="1"/>
    <col min="5" max="5" width="18.44140625" bestFit="1" customWidth="1"/>
    <col min="6" max="6" width="12.88671875" bestFit="1" customWidth="1"/>
    <col min="7" max="7" width="15.21875" bestFit="1" customWidth="1"/>
    <col min="8" max="8" width="10.44140625" bestFit="1" customWidth="1"/>
    <col min="9" max="9" width="11.44140625" bestFit="1" customWidth="1"/>
    <col min="10" max="10" width="24.21875" bestFit="1" customWidth="1"/>
    <col min="16" max="16" width="14.6640625" customWidth="1"/>
    <col min="20" max="20" width="10.109375" bestFit="1" customWidth="1"/>
    <col min="21" max="21" width="21.44140625" bestFit="1" customWidth="1"/>
    <col min="22" max="22" width="24" bestFit="1" customWidth="1"/>
    <col min="23" max="23" width="21" bestFit="1" customWidth="1"/>
    <col min="24" max="24" width="17" bestFit="1" customWidth="1"/>
    <col min="25" max="25" width="17.21875" bestFit="1" customWidth="1"/>
    <col min="26" max="26" width="15" bestFit="1" customWidth="1"/>
    <col min="27" max="27" width="10.44140625" bestFit="1" customWidth="1"/>
    <col min="28" max="28" width="19.33203125" bestFit="1" customWidth="1"/>
    <col min="29" max="29" width="19.6640625" bestFit="1" customWidth="1"/>
    <col min="30" max="30" width="14.21875" bestFit="1" customWidth="1"/>
  </cols>
  <sheetData>
    <row r="1" spans="1:12" ht="13.8" thickBot="1" x14ac:dyDescent="0.3">
      <c r="A1" s="464" t="s">
        <v>136</v>
      </c>
      <c r="B1" s="465"/>
      <c r="C1" s="465"/>
      <c r="D1" s="465"/>
      <c r="E1" s="465"/>
      <c r="F1" s="465"/>
      <c r="G1" s="465"/>
      <c r="H1" s="465"/>
      <c r="I1" s="466"/>
    </row>
    <row r="2" spans="1:12" ht="66.599999999999994" thickBot="1" x14ac:dyDescent="0.3">
      <c r="A2" s="37" t="s">
        <v>126</v>
      </c>
      <c r="B2" s="38" t="s">
        <v>127</v>
      </c>
      <c r="C2" s="39" t="s">
        <v>128</v>
      </c>
      <c r="D2" s="39" t="s">
        <v>129</v>
      </c>
      <c r="E2" s="39" t="s">
        <v>130</v>
      </c>
      <c r="F2" s="40" t="s">
        <v>131</v>
      </c>
      <c r="G2" s="41" t="s">
        <v>132</v>
      </c>
      <c r="H2" s="42"/>
      <c r="I2" s="43" t="s">
        <v>133</v>
      </c>
    </row>
    <row r="3" spans="1:12" ht="13.8" thickBot="1" x14ac:dyDescent="0.3">
      <c r="A3" s="103" t="s">
        <v>134</v>
      </c>
      <c r="B3" s="104" t="s">
        <v>135</v>
      </c>
      <c r="C3" s="105">
        <v>27.37</v>
      </c>
      <c r="D3" s="106">
        <v>5685.6</v>
      </c>
      <c r="E3" s="107">
        <f>+D3*C3</f>
        <v>155614.872</v>
      </c>
      <c r="F3" s="108">
        <f>'2. Balance Sheet'!B23+'2. Balance Sheet'!B31</f>
        <v>64351</v>
      </c>
      <c r="G3" s="108">
        <f>'2. Balance Sheet'!B7</f>
        <v>1043</v>
      </c>
      <c r="H3" s="109"/>
      <c r="I3" s="110">
        <f>+F3+E3-G3</f>
        <v>218922.872</v>
      </c>
    </row>
    <row r="5" spans="1:12" ht="13.8" thickBot="1" x14ac:dyDescent="0.3"/>
    <row r="6" spans="1:12" x14ac:dyDescent="0.25">
      <c r="A6" s="467" t="s">
        <v>268</v>
      </c>
      <c r="B6" s="468"/>
      <c r="C6" s="468"/>
      <c r="D6" s="468"/>
      <c r="E6" s="468"/>
      <c r="F6" s="468"/>
      <c r="G6" s="468"/>
      <c r="H6" s="468"/>
      <c r="I6" s="468"/>
      <c r="J6" s="468"/>
      <c r="K6" s="468"/>
      <c r="L6" s="469"/>
    </row>
    <row r="7" spans="1:12" ht="66" x14ac:dyDescent="0.25">
      <c r="A7" s="88" t="s">
        <v>126</v>
      </c>
      <c r="B7" s="46" t="s">
        <v>127</v>
      </c>
      <c r="C7" s="47" t="str">
        <f>C2</f>
        <v>Stock Price 
(as of 10/03/2025)</v>
      </c>
      <c r="D7" s="47" t="s">
        <v>137</v>
      </c>
      <c r="E7" s="47" t="s">
        <v>130</v>
      </c>
      <c r="F7" s="47" t="s">
        <v>131</v>
      </c>
      <c r="G7" s="47" t="s">
        <v>132</v>
      </c>
      <c r="H7" s="48" t="s">
        <v>133</v>
      </c>
      <c r="I7" s="47" t="s">
        <v>139</v>
      </c>
      <c r="J7" s="49" t="s">
        <v>140</v>
      </c>
      <c r="K7" s="89" t="s">
        <v>141</v>
      </c>
    </row>
    <row r="8" spans="1:12" x14ac:dyDescent="0.25">
      <c r="A8" s="44" t="s">
        <v>142</v>
      </c>
      <c r="B8" s="50" t="s">
        <v>143</v>
      </c>
      <c r="C8" s="51">
        <v>839.87</v>
      </c>
      <c r="D8" s="52">
        <v>946.5</v>
      </c>
      <c r="E8" s="53">
        <f>D8+C8</f>
        <v>1786.37</v>
      </c>
      <c r="F8" s="52">
        <v>34790.800000000003</v>
      </c>
      <c r="G8" s="52">
        <v>3268.4</v>
      </c>
      <c r="H8" s="54">
        <f>+F8+G8</f>
        <v>38059.200000000004</v>
      </c>
      <c r="I8" s="52">
        <v>4117.1000000000004</v>
      </c>
      <c r="J8" s="55">
        <f>+H8/I8</f>
        <v>9.2441767263364998</v>
      </c>
      <c r="K8" s="90">
        <v>0.81</v>
      </c>
    </row>
    <row r="9" spans="1:12" x14ac:dyDescent="0.25">
      <c r="A9" s="91" t="s">
        <v>144</v>
      </c>
      <c r="B9" s="56" t="s">
        <v>145</v>
      </c>
      <c r="C9" s="51">
        <v>188.64</v>
      </c>
      <c r="D9" s="57">
        <v>2408.3000000000002</v>
      </c>
      <c r="E9" s="53">
        <f t="shared" ref="E9" si="0">+D9*C9</f>
        <v>454301.712</v>
      </c>
      <c r="F9" s="57">
        <v>37834</v>
      </c>
      <c r="G9" s="57">
        <v>24105</v>
      </c>
      <c r="H9" s="54">
        <f t="shared" ref="H9:H16" si="1">+E9+F9-G9</f>
        <v>468030.712</v>
      </c>
      <c r="I9" s="57">
        <v>28577</v>
      </c>
      <c r="J9" s="55">
        <f t="shared" ref="J9" si="2">+H9/I9</f>
        <v>16.377881233159535</v>
      </c>
      <c r="K9" s="92">
        <v>0.48</v>
      </c>
    </row>
    <row r="10" spans="1:12" x14ac:dyDescent="0.25">
      <c r="A10" s="91" t="s">
        <v>146</v>
      </c>
      <c r="B10" s="56" t="s">
        <v>147</v>
      </c>
      <c r="C10" s="51">
        <v>89.19</v>
      </c>
      <c r="D10" s="57">
        <v>2497.8000000000002</v>
      </c>
      <c r="E10" s="53">
        <f>+D10*C10</f>
        <v>222778.78200000001</v>
      </c>
      <c r="F10" s="57">
        <v>38270</v>
      </c>
      <c r="G10" s="57">
        <v>13242</v>
      </c>
      <c r="H10" s="54">
        <f t="shared" si="1"/>
        <v>247806.78200000001</v>
      </c>
      <c r="I10" s="57">
        <v>24659</v>
      </c>
      <c r="J10" s="55">
        <f>+H10/I10</f>
        <v>10.049344336753315</v>
      </c>
      <c r="K10" s="92">
        <v>0.63</v>
      </c>
    </row>
    <row r="11" spans="1:12" x14ac:dyDescent="0.25">
      <c r="A11" s="91" t="s">
        <v>148</v>
      </c>
      <c r="B11" s="56" t="s">
        <v>149</v>
      </c>
      <c r="C11" s="51">
        <v>28.49</v>
      </c>
      <c r="D11" s="57">
        <v>390.6</v>
      </c>
      <c r="E11" s="53">
        <f t="shared" ref="E11:E16" si="3">+D11*C11</f>
        <v>11128.194</v>
      </c>
      <c r="F11" s="57">
        <v>747</v>
      </c>
      <c r="G11" s="57">
        <v>1927</v>
      </c>
      <c r="H11" s="54">
        <f t="shared" si="1"/>
        <v>9948.1939999999995</v>
      </c>
      <c r="I11" s="57">
        <v>-3653</v>
      </c>
      <c r="J11" s="55">
        <f t="shared" ref="J11:J16" si="4">+H11/I11</f>
        <v>-2.7232942786750614</v>
      </c>
      <c r="K11" s="92">
        <v>1.17</v>
      </c>
    </row>
    <row r="12" spans="1:12" x14ac:dyDescent="0.25">
      <c r="A12" s="91" t="s">
        <v>150</v>
      </c>
      <c r="B12" s="56" t="s">
        <v>151</v>
      </c>
      <c r="C12" s="51">
        <v>403.3</v>
      </c>
      <c r="D12" s="57">
        <v>256.39999999999998</v>
      </c>
      <c r="E12" s="53">
        <f t="shared" si="3"/>
        <v>103406.12</v>
      </c>
      <c r="F12" s="57">
        <v>1749.5</v>
      </c>
      <c r="G12" s="57">
        <v>4569.6000000000004</v>
      </c>
      <c r="H12" s="54">
        <f t="shared" si="1"/>
        <v>100586.01999999999</v>
      </c>
      <c r="I12" s="57">
        <v>4913.3</v>
      </c>
      <c r="J12" s="260">
        <f t="shared" si="4"/>
        <v>20.472191805914555</v>
      </c>
      <c r="K12" s="92">
        <v>0.76</v>
      </c>
    </row>
    <row r="13" spans="1:12" x14ac:dyDescent="0.25">
      <c r="A13" s="93" t="s">
        <v>152</v>
      </c>
      <c r="B13" s="56" t="s">
        <v>153</v>
      </c>
      <c r="C13" s="51">
        <v>600</v>
      </c>
      <c r="D13" s="57">
        <v>104.2</v>
      </c>
      <c r="E13" s="53">
        <f t="shared" si="3"/>
        <v>62520</v>
      </c>
      <c r="F13" s="57">
        <v>2938.8</v>
      </c>
      <c r="G13" s="57">
        <v>2488.1999999999998</v>
      </c>
      <c r="H13" s="54">
        <f t="shared" si="1"/>
        <v>62970.600000000006</v>
      </c>
      <c r="I13" s="57">
        <v>4746.6000000000004</v>
      </c>
      <c r="J13" s="260">
        <f t="shared" si="4"/>
        <v>13.266464416635065</v>
      </c>
      <c r="K13" s="92">
        <v>0.85</v>
      </c>
    </row>
    <row r="14" spans="1:12" x14ac:dyDescent="0.25">
      <c r="A14" s="93" t="s">
        <v>154</v>
      </c>
      <c r="B14" s="56" t="s">
        <v>155</v>
      </c>
      <c r="C14" s="51">
        <v>45.45</v>
      </c>
      <c r="D14" s="57">
        <v>2035.4</v>
      </c>
      <c r="E14" s="53">
        <f>+D14*C14</f>
        <v>92508.930000000008</v>
      </c>
      <c r="F14" s="57">
        <v>51200</v>
      </c>
      <c r="G14" s="57">
        <v>10346</v>
      </c>
      <c r="H14" s="54">
        <f t="shared" si="1"/>
        <v>133362.93</v>
      </c>
      <c r="I14" s="57">
        <v>19496</v>
      </c>
      <c r="J14" s="260">
        <f>+H14/I14</f>
        <v>6.8405278005744767</v>
      </c>
      <c r="K14" s="92">
        <v>0.5</v>
      </c>
    </row>
    <row r="15" spans="1:12" x14ac:dyDescent="0.25">
      <c r="A15" s="93" t="s">
        <v>156</v>
      </c>
      <c r="B15" s="56" t="s">
        <v>157</v>
      </c>
      <c r="C15" s="51">
        <v>61.15</v>
      </c>
      <c r="D15" s="57">
        <v>159.4</v>
      </c>
      <c r="E15" s="53">
        <f>+D15*C15</f>
        <v>9747.31</v>
      </c>
      <c r="F15" s="57">
        <v>1416.4</v>
      </c>
      <c r="G15" s="57">
        <v>242.08</v>
      </c>
      <c r="H15" s="54">
        <f t="shared" si="1"/>
        <v>10921.63</v>
      </c>
      <c r="I15" s="57">
        <v>-442.6</v>
      </c>
      <c r="J15" s="260">
        <f>+H15/I15</f>
        <v>-24.676073203795749</v>
      </c>
      <c r="K15" s="92">
        <v>0.9</v>
      </c>
    </row>
    <row r="16" spans="1:12" ht="13.8" thickBot="1" x14ac:dyDescent="0.3">
      <c r="A16" s="94" t="s">
        <v>158</v>
      </c>
      <c r="B16" s="95" t="s">
        <v>159</v>
      </c>
      <c r="C16" s="96">
        <v>233.91</v>
      </c>
      <c r="D16" s="97">
        <v>1666.6</v>
      </c>
      <c r="E16" s="98">
        <f t="shared" si="3"/>
        <v>389834.40599999996</v>
      </c>
      <c r="F16" s="97">
        <v>68019</v>
      </c>
      <c r="G16" s="97">
        <v>5524</v>
      </c>
      <c r="H16" s="99">
        <f t="shared" si="1"/>
        <v>452329.40599999996</v>
      </c>
      <c r="I16" s="97">
        <v>27179</v>
      </c>
      <c r="J16" s="100">
        <f t="shared" si="4"/>
        <v>16.642606644836086</v>
      </c>
      <c r="K16" s="101">
        <v>0.54</v>
      </c>
    </row>
    <row r="17" spans="1:31" x14ac:dyDescent="0.25">
      <c r="A17" s="118"/>
      <c r="K17" s="6"/>
    </row>
    <row r="18" spans="1:31" x14ac:dyDescent="0.25">
      <c r="A18" s="118"/>
      <c r="K18" s="6"/>
    </row>
    <row r="19" spans="1:31" x14ac:dyDescent="0.25">
      <c r="A19" s="118"/>
      <c r="K19" s="6"/>
    </row>
    <row r="20" spans="1:31" ht="13.8" thickBot="1" x14ac:dyDescent="0.3">
      <c r="A20" s="118"/>
      <c r="K20" s="6"/>
    </row>
    <row r="21" spans="1:31" ht="13.8" thickBot="1" x14ac:dyDescent="0.3">
      <c r="A21" s="261" t="s">
        <v>134</v>
      </c>
      <c r="B21" s="262"/>
      <c r="C21" s="263">
        <f>C3</f>
        <v>27.37</v>
      </c>
      <c r="D21" s="263">
        <f>D3</f>
        <v>5685.6</v>
      </c>
      <c r="E21" s="264">
        <f>+D21*C21</f>
        <v>155614.872</v>
      </c>
      <c r="F21" s="264">
        <f>F3</f>
        <v>64351</v>
      </c>
      <c r="G21" s="264">
        <f>G3</f>
        <v>1043</v>
      </c>
      <c r="H21" s="265">
        <f>+F21+E21-G21</f>
        <v>218922.872</v>
      </c>
      <c r="I21" s="266">
        <f>'1. Income Statement'!G22</f>
        <v>22849</v>
      </c>
      <c r="J21" s="267">
        <f>+H21/I21</f>
        <v>9.5812889842006221</v>
      </c>
      <c r="K21" s="267">
        <v>0.47</v>
      </c>
    </row>
    <row r="22" spans="1:31" x14ac:dyDescent="0.25">
      <c r="A22" s="120"/>
      <c r="C22" s="121"/>
      <c r="D22" s="121"/>
      <c r="K22" s="122"/>
      <c r="L22" s="6"/>
    </row>
    <row r="23" spans="1:31" x14ac:dyDescent="0.25">
      <c r="A23" s="120"/>
      <c r="J23" s="1" t="s">
        <v>202</v>
      </c>
      <c r="K23" s="123">
        <f>AVERAGE(J8:J16)</f>
        <v>7.2770917201931917</v>
      </c>
      <c r="L23" s="124">
        <f>AVERAGE(K8:K21)</f>
        <v>0.71099999999999997</v>
      </c>
    </row>
    <row r="24" spans="1:31" x14ac:dyDescent="0.25">
      <c r="A24" s="120" t="s">
        <v>203</v>
      </c>
      <c r="B24" s="67">
        <f>+I21</f>
        <v>22849</v>
      </c>
      <c r="C24" s="219">
        <f>K24</f>
        <v>9.9568152685171309</v>
      </c>
      <c r="E24" s="1"/>
      <c r="F24" s="123"/>
      <c r="G24" s="123"/>
      <c r="H24" s="123"/>
      <c r="J24" t="s">
        <v>204</v>
      </c>
      <c r="K24" s="221">
        <f>((SUM(J8:J16)-MAX(J8:J16)-MIN(J8:J16))/(COUNT(J8:J16)-2))</f>
        <v>9.9568152685171309</v>
      </c>
      <c r="L24" s="6"/>
    </row>
    <row r="25" spans="1:31" ht="13.8" thickBot="1" x14ac:dyDescent="0.3">
      <c r="A25" s="120"/>
      <c r="E25" s="1"/>
      <c r="F25" s="123"/>
      <c r="G25" s="123"/>
      <c r="H25" s="123"/>
      <c r="J25" t="s">
        <v>205</v>
      </c>
      <c r="L25" s="6"/>
    </row>
    <row r="26" spans="1:31" ht="14.4" thickBot="1" x14ac:dyDescent="0.3">
      <c r="A26" s="69" t="s">
        <v>206</v>
      </c>
      <c r="B26" s="70">
        <f>+B24*C24</f>
        <v>227503.27207034791</v>
      </c>
      <c r="C26" s="45"/>
      <c r="D26" s="45"/>
      <c r="E26" s="45"/>
      <c r="F26" s="45"/>
      <c r="G26" s="45"/>
      <c r="H26" s="45"/>
      <c r="I26" s="45"/>
      <c r="J26" s="45"/>
      <c r="K26" s="45"/>
      <c r="L26" s="125"/>
    </row>
    <row r="27" spans="1:31" x14ac:dyDescent="0.25">
      <c r="X27" s="1" t="s">
        <v>370</v>
      </c>
      <c r="Y27">
        <v>3.2000000000000001E-2</v>
      </c>
    </row>
    <row r="28" spans="1:31" ht="13.8" thickBot="1" x14ac:dyDescent="0.3"/>
    <row r="29" spans="1:31" x14ac:dyDescent="0.25">
      <c r="A29" s="470" t="s">
        <v>269</v>
      </c>
      <c r="B29" s="471"/>
      <c r="C29" s="471"/>
      <c r="D29" s="471"/>
      <c r="E29" s="471"/>
      <c r="F29" s="471"/>
      <c r="G29" s="471"/>
      <c r="H29" s="471"/>
      <c r="I29" s="471"/>
      <c r="J29" s="471"/>
      <c r="K29" s="472"/>
    </row>
    <row r="30" spans="1:31" s="26" customFormat="1" ht="39.6" x14ac:dyDescent="0.25">
      <c r="A30" s="353" t="s">
        <v>207</v>
      </c>
      <c r="B30" s="354" t="s">
        <v>208</v>
      </c>
      <c r="C30" s="354" t="s">
        <v>209</v>
      </c>
      <c r="D30" s="354" t="s">
        <v>210</v>
      </c>
      <c r="E30" s="354" t="s">
        <v>211</v>
      </c>
      <c r="F30" s="354" t="s">
        <v>212</v>
      </c>
      <c r="G30" s="354" t="s">
        <v>213</v>
      </c>
      <c r="H30" s="354" t="s">
        <v>214</v>
      </c>
      <c r="I30" s="354" t="s">
        <v>215</v>
      </c>
      <c r="J30" s="354" t="s">
        <v>216</v>
      </c>
      <c r="K30" s="355" t="s">
        <v>140</v>
      </c>
      <c r="T30" s="356" t="s">
        <v>207</v>
      </c>
      <c r="U30" s="357" t="s">
        <v>208</v>
      </c>
      <c r="V30" s="357" t="s">
        <v>209</v>
      </c>
      <c r="W30" s="357" t="s">
        <v>210</v>
      </c>
      <c r="X30" s="354" t="s">
        <v>369</v>
      </c>
      <c r="Y30" s="357" t="s">
        <v>211</v>
      </c>
      <c r="Z30" s="357" t="s">
        <v>212</v>
      </c>
      <c r="AA30" s="357" t="s">
        <v>213</v>
      </c>
      <c r="AB30" s="357" t="s">
        <v>214</v>
      </c>
      <c r="AC30" s="357" t="s">
        <v>215</v>
      </c>
      <c r="AD30" s="357" t="s">
        <v>216</v>
      </c>
      <c r="AE30" s="358" t="s">
        <v>140</v>
      </c>
    </row>
    <row r="31" spans="1:31" x14ac:dyDescent="0.25">
      <c r="A31" s="116">
        <v>45274</v>
      </c>
      <c r="B31" s="111" t="s">
        <v>217</v>
      </c>
      <c r="C31" s="112" t="s">
        <v>134</v>
      </c>
      <c r="D31" s="71">
        <v>229</v>
      </c>
      <c r="E31" s="224">
        <v>188.7</v>
      </c>
      <c r="F31" s="113">
        <f>D31*E31</f>
        <v>43212.299999999996</v>
      </c>
      <c r="G31" s="113">
        <v>124.6</v>
      </c>
      <c r="H31" s="223">
        <v>1037</v>
      </c>
      <c r="I31" s="114">
        <f>F31+G31-H31</f>
        <v>42299.899999999994</v>
      </c>
      <c r="J31" s="115">
        <f>-202.3</f>
        <v>-202.3</v>
      </c>
      <c r="K31" s="117">
        <f>I31/J31</f>
        <v>-209.09490855165592</v>
      </c>
      <c r="T31" s="116">
        <v>45274</v>
      </c>
      <c r="U31" s="111" t="s">
        <v>217</v>
      </c>
      <c r="V31" s="348" t="s">
        <v>134</v>
      </c>
      <c r="W31" s="71">
        <v>229</v>
      </c>
      <c r="X31" s="71">
        <f t="shared" ref="X31:X36" si="5">W31*(1+$Y$27)^2</f>
        <v>243.89049599999998</v>
      </c>
      <c r="Y31" s="341">
        <v>188.7</v>
      </c>
      <c r="Z31" s="113">
        <f t="shared" ref="Z31:Z36" si="6">X31*Y31</f>
        <v>46022.136595199998</v>
      </c>
      <c r="AA31" s="113">
        <v>124.6</v>
      </c>
      <c r="AB31" s="349">
        <v>1037</v>
      </c>
      <c r="AC31" s="114">
        <f t="shared" ref="AC31:AC36" si="7">Z31+AA31-AB31</f>
        <v>45109.736595199996</v>
      </c>
      <c r="AD31" s="115">
        <f>-202.3</f>
        <v>-202.3</v>
      </c>
      <c r="AE31" s="117">
        <f t="shared" ref="AE31:AE36" si="8">AC31/AD31</f>
        <v>-222.98436280375677</v>
      </c>
    </row>
    <row r="32" spans="1:31" s="26" customFormat="1" x14ac:dyDescent="0.25">
      <c r="A32" s="237">
        <v>45282</v>
      </c>
      <c r="B32" s="238" t="s">
        <v>218</v>
      </c>
      <c r="C32" s="238" t="s">
        <v>219</v>
      </c>
      <c r="D32" s="239">
        <v>330</v>
      </c>
      <c r="E32" s="240">
        <v>38.1</v>
      </c>
      <c r="F32" s="241">
        <f>D32*E32</f>
        <v>12573</v>
      </c>
      <c r="G32" s="239">
        <v>16.7</v>
      </c>
      <c r="H32" s="239">
        <v>1262.8</v>
      </c>
      <c r="I32" s="242">
        <f t="shared" ref="I32:I36" si="9">F32+G32-H32</f>
        <v>11326.900000000001</v>
      </c>
      <c r="J32" s="243">
        <v>-234</v>
      </c>
      <c r="K32" s="244">
        <f>I32/J32</f>
        <v>-48.405555555555559</v>
      </c>
      <c r="M32" s="473"/>
      <c r="N32" s="473"/>
      <c r="O32" s="473"/>
      <c r="P32" s="473"/>
      <c r="T32" s="245">
        <v>45282</v>
      </c>
      <c r="U32" s="238" t="s">
        <v>218</v>
      </c>
      <c r="V32" s="238" t="s">
        <v>219</v>
      </c>
      <c r="W32" s="342">
        <v>330</v>
      </c>
      <c r="X32" s="71">
        <f t="shared" si="5"/>
        <v>351.45792</v>
      </c>
      <c r="Y32" s="343">
        <v>38.1</v>
      </c>
      <c r="Z32" s="113">
        <f t="shared" si="6"/>
        <v>13390.546752</v>
      </c>
      <c r="AA32" s="342">
        <v>16.7</v>
      </c>
      <c r="AB32" s="342">
        <v>1262.8</v>
      </c>
      <c r="AC32" s="242">
        <f t="shared" si="7"/>
        <v>12144.446752000002</v>
      </c>
      <c r="AD32" s="243">
        <v>-234</v>
      </c>
      <c r="AE32" s="244">
        <f t="shared" si="8"/>
        <v>-51.8993450940171</v>
      </c>
    </row>
    <row r="33" spans="1:31" s="26" customFormat="1" x14ac:dyDescent="0.25">
      <c r="A33" s="245">
        <v>45032</v>
      </c>
      <c r="B33" s="238" t="s">
        <v>220</v>
      </c>
      <c r="C33" s="238" t="s">
        <v>221</v>
      </c>
      <c r="D33" s="246">
        <v>200</v>
      </c>
      <c r="E33" s="247">
        <v>47.8</v>
      </c>
      <c r="F33" s="241">
        <f>D33*E33</f>
        <v>9560</v>
      </c>
      <c r="G33" s="239">
        <v>29.5</v>
      </c>
      <c r="H33" s="239">
        <v>713.7</v>
      </c>
      <c r="I33" s="242">
        <f t="shared" si="9"/>
        <v>8875.7999999999993</v>
      </c>
      <c r="J33" s="243">
        <v>-235</v>
      </c>
      <c r="K33" s="244">
        <f t="shared" ref="K33:K35" si="10">I33/J33</f>
        <v>-37.769361702127654</v>
      </c>
      <c r="M33" s="473"/>
      <c r="N33" s="473"/>
      <c r="O33" s="473"/>
      <c r="P33" s="473"/>
      <c r="T33" s="245">
        <v>45032</v>
      </c>
      <c r="U33" s="238" t="s">
        <v>220</v>
      </c>
      <c r="V33" s="238" t="s">
        <v>221</v>
      </c>
      <c r="W33" s="344">
        <v>200</v>
      </c>
      <c r="X33" s="71">
        <f t="shared" si="5"/>
        <v>213.00479999999999</v>
      </c>
      <c r="Y33" s="345">
        <v>47.8</v>
      </c>
      <c r="Z33" s="113">
        <f t="shared" si="6"/>
        <v>10181.629439999999</v>
      </c>
      <c r="AA33" s="342">
        <v>29.5</v>
      </c>
      <c r="AB33" s="342">
        <v>713.7</v>
      </c>
      <c r="AC33" s="242">
        <f t="shared" si="7"/>
        <v>9497.4294399999981</v>
      </c>
      <c r="AD33" s="243">
        <v>-235</v>
      </c>
      <c r="AE33" s="244">
        <f t="shared" si="8"/>
        <v>-40.414593361702117</v>
      </c>
    </row>
    <row r="34" spans="1:31" s="26" customFormat="1" x14ac:dyDescent="0.25">
      <c r="A34" s="245">
        <v>45363</v>
      </c>
      <c r="B34" s="238" t="s">
        <v>222</v>
      </c>
      <c r="C34" s="238" t="s">
        <v>223</v>
      </c>
      <c r="D34" s="246">
        <v>21</v>
      </c>
      <c r="E34" s="247">
        <v>85.1</v>
      </c>
      <c r="F34" s="242">
        <f>D34*E34</f>
        <v>1787.1</v>
      </c>
      <c r="G34" s="239">
        <v>64.5</v>
      </c>
      <c r="H34" s="239">
        <v>210.5</v>
      </c>
      <c r="I34" s="242">
        <f t="shared" si="9"/>
        <v>1641.1</v>
      </c>
      <c r="J34" s="243">
        <v>-105.6</v>
      </c>
      <c r="K34" s="244">
        <f t="shared" si="10"/>
        <v>-15.540719696969697</v>
      </c>
      <c r="M34" s="473"/>
      <c r="N34" s="473"/>
      <c r="O34" s="473"/>
      <c r="P34" s="473"/>
      <c r="T34" s="245">
        <v>45363</v>
      </c>
      <c r="U34" s="238" t="s">
        <v>222</v>
      </c>
      <c r="V34" s="238" t="s">
        <v>223</v>
      </c>
      <c r="W34" s="344">
        <v>21</v>
      </c>
      <c r="X34" s="71">
        <f t="shared" si="5"/>
        <v>22.365503999999998</v>
      </c>
      <c r="Y34" s="345">
        <v>85.1</v>
      </c>
      <c r="Z34" s="113">
        <f t="shared" si="6"/>
        <v>1903.3043903999996</v>
      </c>
      <c r="AA34" s="342">
        <v>64.5</v>
      </c>
      <c r="AB34" s="342">
        <v>210.5</v>
      </c>
      <c r="AC34" s="242">
        <f t="shared" si="7"/>
        <v>1757.3043903999996</v>
      </c>
      <c r="AD34" s="243">
        <v>-105.6</v>
      </c>
      <c r="AE34" s="244">
        <f t="shared" si="8"/>
        <v>-16.641140060606059</v>
      </c>
    </row>
    <row r="35" spans="1:31" s="26" customFormat="1" x14ac:dyDescent="0.25">
      <c r="A35" s="245">
        <v>45807</v>
      </c>
      <c r="B35" s="238" t="s">
        <v>224</v>
      </c>
      <c r="C35" s="238" t="s">
        <v>225</v>
      </c>
      <c r="D35" s="248">
        <v>4.0999999999999996</v>
      </c>
      <c r="E35" s="247">
        <v>86.3</v>
      </c>
      <c r="F35" s="242">
        <f>+D35*E35</f>
        <v>353.83</v>
      </c>
      <c r="G35" s="239">
        <v>0</v>
      </c>
      <c r="H35" s="239">
        <v>33</v>
      </c>
      <c r="I35" s="242">
        <f t="shared" si="9"/>
        <v>320.83</v>
      </c>
      <c r="J35" s="243">
        <v>-56.4</v>
      </c>
      <c r="K35" s="244">
        <f t="shared" si="10"/>
        <v>-5.688475177304964</v>
      </c>
      <c r="M35" s="473"/>
      <c r="N35" s="473"/>
      <c r="O35" s="473"/>
      <c r="P35" s="473"/>
      <c r="T35" s="245">
        <v>45807</v>
      </c>
      <c r="U35" s="238" t="s">
        <v>224</v>
      </c>
      <c r="V35" s="238" t="s">
        <v>225</v>
      </c>
      <c r="W35" s="251">
        <v>4.0999999999999996</v>
      </c>
      <c r="X35" s="71">
        <f t="shared" si="5"/>
        <v>4.3665983999999991</v>
      </c>
      <c r="Y35" s="345">
        <v>86.3</v>
      </c>
      <c r="Z35" s="113">
        <f t="shared" si="6"/>
        <v>376.83744191999989</v>
      </c>
      <c r="AA35" s="342">
        <v>0</v>
      </c>
      <c r="AB35" s="342">
        <v>33</v>
      </c>
      <c r="AC35" s="242">
        <f t="shared" si="7"/>
        <v>343.83744191999989</v>
      </c>
      <c r="AD35" s="243">
        <v>-56.4</v>
      </c>
      <c r="AE35" s="244">
        <f t="shared" si="8"/>
        <v>-6.0964085446808491</v>
      </c>
    </row>
    <row r="36" spans="1:31" s="26" customFormat="1" x14ac:dyDescent="0.25">
      <c r="A36" s="249">
        <v>45937</v>
      </c>
      <c r="B36" s="250" t="s">
        <v>226</v>
      </c>
      <c r="C36" s="250" t="s">
        <v>221</v>
      </c>
      <c r="D36" s="251">
        <v>107</v>
      </c>
      <c r="E36" s="252">
        <v>87.9</v>
      </c>
      <c r="F36" s="253">
        <f>+D36*E36</f>
        <v>9405.3000000000011</v>
      </c>
      <c r="G36" s="254">
        <v>244.4</v>
      </c>
      <c r="H36" s="254">
        <v>438</v>
      </c>
      <c r="I36" s="253">
        <f t="shared" si="9"/>
        <v>9211.7000000000007</v>
      </c>
      <c r="J36" s="253">
        <v>-54.9</v>
      </c>
      <c r="K36" s="255">
        <f>I36/J36</f>
        <v>-167.79052823315121</v>
      </c>
      <c r="M36" s="473"/>
      <c r="N36" s="473"/>
      <c r="O36" s="473"/>
      <c r="P36" s="473"/>
      <c r="T36" s="249">
        <v>45937</v>
      </c>
      <c r="U36" s="250" t="s">
        <v>226</v>
      </c>
      <c r="V36" s="250" t="s">
        <v>221</v>
      </c>
      <c r="W36" s="251">
        <v>107</v>
      </c>
      <c r="X36" s="71">
        <f t="shared" si="5"/>
        <v>113.95756799999999</v>
      </c>
      <c r="Y36" s="252">
        <v>87.9</v>
      </c>
      <c r="Z36" s="113">
        <f t="shared" si="6"/>
        <v>10016.870227200001</v>
      </c>
      <c r="AA36" s="346">
        <v>244.4</v>
      </c>
      <c r="AB36" s="346">
        <v>438</v>
      </c>
      <c r="AC36" s="253">
        <f t="shared" si="7"/>
        <v>9823.2702272000006</v>
      </c>
      <c r="AD36" s="253">
        <v>-54.9</v>
      </c>
      <c r="AE36" s="255">
        <f t="shared" si="8"/>
        <v>-178.93024093260476</v>
      </c>
    </row>
    <row r="37" spans="1:31" x14ac:dyDescent="0.25">
      <c r="A37" s="118"/>
      <c r="E37" s="119"/>
      <c r="F37" s="119"/>
      <c r="J37" s="1" t="s">
        <v>202</v>
      </c>
      <c r="K37" s="259">
        <f>AVERAGE(K31:K35)</f>
        <v>-63.299804136722756</v>
      </c>
      <c r="AD37" s="1" t="s">
        <v>202</v>
      </c>
      <c r="AE37" s="259">
        <f>AVERAGE(AE31:AE35)</f>
        <v>-67.60716997295259</v>
      </c>
    </row>
    <row r="38" spans="1:31" x14ac:dyDescent="0.25">
      <c r="E38" s="119"/>
      <c r="F38" s="119"/>
      <c r="J38" s="1" t="s">
        <v>227</v>
      </c>
      <c r="K38" s="259">
        <f>(K32+K33+K34+K36)/6</f>
        <v>-44.917694197967357</v>
      </c>
      <c r="AD38" s="1" t="s">
        <v>227</v>
      </c>
      <c r="AE38" s="259">
        <f>(AE32+AE33+AE34+AE36)/6</f>
        <v>-47.980886574821675</v>
      </c>
    </row>
    <row r="39" spans="1:31" x14ac:dyDescent="0.25">
      <c r="A39" s="118"/>
      <c r="E39" s="119"/>
      <c r="F39" s="119"/>
      <c r="K39" s="6"/>
    </row>
    <row r="40" spans="1:31" ht="13.8" thickBot="1" x14ac:dyDescent="0.3">
      <c r="A40" s="126" t="s">
        <v>203</v>
      </c>
      <c r="B40" s="257">
        <f>B24</f>
        <v>22849</v>
      </c>
      <c r="C40" s="258">
        <f>K38</f>
        <v>-44.917694197967357</v>
      </c>
      <c r="D40" s="45"/>
      <c r="E40" s="256">
        <f>B40*C40</f>
        <v>-1026324.3947293562</v>
      </c>
      <c r="F40" s="45"/>
      <c r="G40" s="45"/>
      <c r="H40" s="45"/>
      <c r="I40" s="45"/>
      <c r="J40" s="45"/>
      <c r="K40" s="125"/>
    </row>
    <row r="42" spans="1:31" x14ac:dyDescent="0.25">
      <c r="A42" s="1" t="s">
        <v>341</v>
      </c>
    </row>
    <row r="43" spans="1:31" x14ac:dyDescent="0.25">
      <c r="A43" t="s">
        <v>337</v>
      </c>
    </row>
    <row r="44" spans="1:31" x14ac:dyDescent="0.25">
      <c r="A44" t="s">
        <v>338</v>
      </c>
    </row>
  </sheetData>
  <mergeCells count="4">
    <mergeCell ref="A1:I1"/>
    <mergeCell ref="A6:L6"/>
    <mergeCell ref="A29:K29"/>
    <mergeCell ref="M32:P3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62A3F-3BD1-4970-BC28-246B304E6D8B}">
  <sheetPr>
    <pageSetUpPr fitToPage="1"/>
  </sheetPr>
  <dimension ref="A1:P425"/>
  <sheetViews>
    <sheetView showGridLines="0" zoomScale="83" workbookViewId="0">
      <selection activeCell="A72" sqref="A72"/>
    </sheetView>
  </sheetViews>
  <sheetFormatPr defaultRowHeight="13.2" x14ac:dyDescent="0.25"/>
  <cols>
    <col min="1" max="1" width="36.109375" customWidth="1"/>
    <col min="2" max="2" width="14.33203125" customWidth="1"/>
    <col min="3" max="5" width="12.44140625" customWidth="1"/>
    <col min="6" max="6" width="12.5546875" customWidth="1"/>
    <col min="7" max="7" width="4.109375" customWidth="1"/>
    <col min="8" max="8" width="8.6640625" customWidth="1"/>
    <col min="9" max="9" width="11.33203125" customWidth="1"/>
    <col min="10" max="10" width="3.6640625" customWidth="1"/>
    <col min="11" max="15" width="12.6640625" customWidth="1"/>
    <col min="16" max="16" width="12.88671875" bestFit="1" customWidth="1"/>
  </cols>
  <sheetData>
    <row r="1" spans="1:16" ht="13.8" thickBot="1" x14ac:dyDescent="0.3">
      <c r="A1" s="1" t="s">
        <v>3</v>
      </c>
      <c r="B1" s="74"/>
      <c r="C1" s="74"/>
      <c r="D1" s="74"/>
      <c r="E1" s="74"/>
      <c r="F1" s="135"/>
      <c r="G1" s="75"/>
      <c r="K1" s="474" t="s">
        <v>228</v>
      </c>
      <c r="L1" s="474"/>
      <c r="M1" s="474"/>
      <c r="N1" s="474"/>
      <c r="O1" s="474"/>
    </row>
    <row r="2" spans="1:16" ht="15" customHeight="1" thickBot="1" x14ac:dyDescent="0.3">
      <c r="A2" s="1"/>
      <c r="B2" s="1"/>
      <c r="C2" s="1"/>
      <c r="D2" s="1"/>
      <c r="E2" s="1"/>
      <c r="F2" s="1"/>
      <c r="G2" s="75"/>
    </row>
    <row r="3" spans="1:16" s="26" customFormat="1" ht="47.25" customHeight="1" thickBot="1" x14ac:dyDescent="0.3">
      <c r="A3" s="127" t="s">
        <v>266</v>
      </c>
      <c r="B3" s="102">
        <v>2020</v>
      </c>
      <c r="C3" s="102">
        <v>2021</v>
      </c>
      <c r="D3" s="102">
        <v>2022</v>
      </c>
      <c r="E3" s="102">
        <v>2023</v>
      </c>
      <c r="F3" s="102">
        <v>2024</v>
      </c>
      <c r="G3" s="78"/>
      <c r="H3" s="79" t="s">
        <v>265</v>
      </c>
      <c r="I3" s="80" t="s">
        <v>229</v>
      </c>
      <c r="J3" s="78"/>
      <c r="K3" s="87">
        <v>2025</v>
      </c>
      <c r="L3" s="87">
        <v>2026</v>
      </c>
      <c r="M3" s="87">
        <v>2027</v>
      </c>
      <c r="N3" s="87">
        <v>2028</v>
      </c>
      <c r="O3" s="87">
        <v>2029</v>
      </c>
      <c r="P3" s="87" t="s">
        <v>267</v>
      </c>
    </row>
    <row r="4" spans="1:16" ht="12.75" customHeight="1" x14ac:dyDescent="0.25">
      <c r="A4" s="81" t="s">
        <v>230</v>
      </c>
      <c r="B4" s="81">
        <f>'1. Income Statement'!F11</f>
        <v>41908</v>
      </c>
      <c r="C4" s="81">
        <f>'1. Income Statement'!E11</f>
        <v>81288</v>
      </c>
      <c r="D4" s="81">
        <f>'1. Income Statement'!D11</f>
        <v>101175</v>
      </c>
      <c r="E4" s="81">
        <f>'1. Income Statement'!C11</f>
        <v>59554</v>
      </c>
      <c r="F4" s="81">
        <f>'1. Income Statement'!B11</f>
        <v>63627</v>
      </c>
      <c r="G4" s="75"/>
      <c r="H4" s="118"/>
      <c r="I4" s="136"/>
      <c r="J4" s="77"/>
      <c r="K4" s="459">
        <f>F4*(1+K16)</f>
        <v>64263.270000000004</v>
      </c>
      <c r="L4" s="459">
        <f>+K4*(1+L16)</f>
        <v>65227.21905</v>
      </c>
      <c r="M4" s="459">
        <f>+L4*(1+M16)</f>
        <v>66857.899526249996</v>
      </c>
      <c r="N4" s="459">
        <f>+M4*(1+N16)</f>
        <v>68863.636512037498</v>
      </c>
      <c r="O4" s="459">
        <f>+N4*(1+O16)</f>
        <v>70929.545607398628</v>
      </c>
      <c r="P4" s="5"/>
    </row>
    <row r="5" spans="1:16" ht="12.75" customHeight="1" x14ac:dyDescent="0.25">
      <c r="A5" s="128" t="s">
        <v>231</v>
      </c>
      <c r="B5" s="128">
        <f>'1. Income Statement'!F13</f>
        <v>8692</v>
      </c>
      <c r="C5" s="128">
        <f>'1. Income Statement'!E13</f>
        <v>30821</v>
      </c>
      <c r="D5" s="128">
        <f>'1. Income Statement'!D13</f>
        <v>34344</v>
      </c>
      <c r="E5" s="128">
        <f>'1. Income Statement'!C13</f>
        <v>24954</v>
      </c>
      <c r="F5" s="128">
        <f>'1. Income Statement'!B13</f>
        <v>17851</v>
      </c>
      <c r="G5" s="75"/>
      <c r="H5" s="118"/>
      <c r="I5" s="138"/>
      <c r="J5" s="129"/>
      <c r="K5" s="460">
        <f t="shared" ref="K5:O5" si="0">+K4-K6</f>
        <v>17351.082900000001</v>
      </c>
      <c r="L5" s="460">
        <f t="shared" si="0"/>
        <v>17611.349143500003</v>
      </c>
      <c r="M5" s="460">
        <f t="shared" si="0"/>
        <v>18051.632872087503</v>
      </c>
      <c r="N5" s="460">
        <f t="shared" si="0"/>
        <v>18593.181858250129</v>
      </c>
      <c r="O5" s="460">
        <f t="shared" si="0"/>
        <v>19150.977313997631</v>
      </c>
      <c r="P5" s="5"/>
    </row>
    <row r="6" spans="1:16" ht="12.75" customHeight="1" x14ac:dyDescent="0.25">
      <c r="A6" s="81" t="s">
        <v>232</v>
      </c>
      <c r="B6" s="137">
        <f t="shared" ref="B6:F6" si="1">+B4-B5</f>
        <v>33216</v>
      </c>
      <c r="C6" s="137">
        <f t="shared" si="1"/>
        <v>50467</v>
      </c>
      <c r="D6" s="137">
        <f t="shared" si="1"/>
        <v>66831</v>
      </c>
      <c r="E6" s="137">
        <f>+E4-E5</f>
        <v>34600</v>
      </c>
      <c r="F6" s="137">
        <f t="shared" si="1"/>
        <v>45776</v>
      </c>
      <c r="G6" s="75"/>
      <c r="H6" s="118"/>
      <c r="I6" s="136"/>
      <c r="J6" s="77"/>
      <c r="K6" s="137">
        <f>+K4*K17</f>
        <v>46912.187100000003</v>
      </c>
      <c r="L6" s="137">
        <f t="shared" ref="L6:O6" si="2">+L4*L17</f>
        <v>47615.869906499996</v>
      </c>
      <c r="M6" s="137">
        <f t="shared" si="2"/>
        <v>48806.266654162493</v>
      </c>
      <c r="N6" s="137">
        <f t="shared" si="2"/>
        <v>50270.454653787368</v>
      </c>
      <c r="O6" s="137">
        <f t="shared" si="2"/>
        <v>51778.568293400996</v>
      </c>
      <c r="P6" s="5"/>
    </row>
    <row r="7" spans="1:16" ht="12.75" customHeight="1" x14ac:dyDescent="0.25">
      <c r="A7" s="128" t="s">
        <v>233</v>
      </c>
      <c r="B7" s="128">
        <f>SUM('1. Income Statement'!F14:F19)</f>
        <v>25050</v>
      </c>
      <c r="C7" s="128">
        <f>SUM('1. Income Statement'!E14:E19)</f>
        <v>31034</v>
      </c>
      <c r="D7" s="128">
        <f>SUM('1. Income Statement'!D14:D19)</f>
        <v>31042</v>
      </c>
      <c r="E7" s="128">
        <f>SUM('1. Income Statement'!C14:C19)</f>
        <v>33320</v>
      </c>
      <c r="F7" s="128">
        <f>SUM('1. Income Statement'!B14:B19)</f>
        <v>33365</v>
      </c>
      <c r="G7" s="75"/>
      <c r="H7" s="118"/>
      <c r="I7" s="138"/>
      <c r="J7" s="129"/>
      <c r="K7" s="139">
        <f t="shared" ref="K7:O7" si="3">+K18*K4</f>
        <v>32131.635000000002</v>
      </c>
      <c r="L7" s="139">
        <f t="shared" si="3"/>
        <v>31961.3373345</v>
      </c>
      <c r="M7" s="139">
        <f t="shared" si="3"/>
        <v>32091.791772599998</v>
      </c>
      <c r="N7" s="139">
        <f t="shared" si="3"/>
        <v>32365.909160657622</v>
      </c>
      <c r="O7" s="139">
        <f t="shared" si="3"/>
        <v>31918.295523329383</v>
      </c>
      <c r="P7" s="5"/>
    </row>
    <row r="8" spans="1:16" ht="12.75" customHeight="1" x14ac:dyDescent="0.25">
      <c r="A8" s="85"/>
      <c r="B8" s="85"/>
      <c r="C8" s="85"/>
      <c r="D8" s="85"/>
      <c r="E8" s="85"/>
      <c r="F8" s="85"/>
      <c r="G8" s="75"/>
      <c r="H8" s="118"/>
      <c r="I8" s="140"/>
      <c r="J8" s="130"/>
      <c r="K8" s="85"/>
      <c r="L8" s="85"/>
      <c r="M8" s="85"/>
      <c r="N8" s="85"/>
      <c r="O8" s="85"/>
      <c r="P8" s="5"/>
    </row>
    <row r="9" spans="1:16" ht="12.75" customHeight="1" x14ac:dyDescent="0.25">
      <c r="A9" s="85" t="s">
        <v>234</v>
      </c>
      <c r="B9" s="141">
        <f t="shared" ref="B9:F9" si="4">+B6-B7</f>
        <v>8166</v>
      </c>
      <c r="C9" s="141">
        <f t="shared" si="4"/>
        <v>19433</v>
      </c>
      <c r="D9" s="141">
        <f>+D6-D7</f>
        <v>35789</v>
      </c>
      <c r="E9" s="141">
        <f>+E6-E7</f>
        <v>1280</v>
      </c>
      <c r="F9" s="141">
        <f t="shared" si="4"/>
        <v>12411</v>
      </c>
      <c r="G9" s="75"/>
      <c r="H9" s="142"/>
      <c r="I9" s="138"/>
      <c r="J9" s="131"/>
      <c r="K9" s="141">
        <f>+K6-K7</f>
        <v>14780.552100000001</v>
      </c>
      <c r="L9" s="141">
        <f t="shared" ref="L9:O9" si="5">+L6-L7</f>
        <v>15654.532571999996</v>
      </c>
      <c r="M9" s="141">
        <f t="shared" si="5"/>
        <v>16714.474881562495</v>
      </c>
      <c r="N9" s="141">
        <f t="shared" si="5"/>
        <v>17904.545493129746</v>
      </c>
      <c r="O9" s="141">
        <f t="shared" si="5"/>
        <v>19860.272770071613</v>
      </c>
      <c r="P9" s="5"/>
    </row>
    <row r="10" spans="1:16" ht="14.25" customHeight="1" x14ac:dyDescent="0.25">
      <c r="A10" s="128" t="s">
        <v>235</v>
      </c>
      <c r="B10" s="128">
        <f>'1. Income Statement'!F20</f>
        <v>669</v>
      </c>
      <c r="C10" s="128">
        <f>'1. Income Statement'!E20</f>
        <v>-4878</v>
      </c>
      <c r="D10" s="128">
        <f>'1. Income Statement'!D20</f>
        <v>1062</v>
      </c>
      <c r="E10" s="128">
        <f>'1. Income Statement'!C20</f>
        <v>222</v>
      </c>
      <c r="F10" s="128">
        <f>'1. Income Statement'!B20</f>
        <v>4388</v>
      </c>
      <c r="G10" s="75"/>
      <c r="H10" s="143"/>
      <c r="I10" s="138"/>
      <c r="J10" s="129"/>
      <c r="K10" s="460">
        <f>+K33</f>
        <v>2716.3582228714395</v>
      </c>
      <c r="L10" s="460">
        <f t="shared" ref="L10:O10" si="6">+L33</f>
        <v>2580.5403117278674</v>
      </c>
      <c r="M10" s="460">
        <f t="shared" si="6"/>
        <v>2444.722400584295</v>
      </c>
      <c r="N10" s="460">
        <f t="shared" si="6"/>
        <v>2308.904489440723</v>
      </c>
      <c r="O10" s="460">
        <f t="shared" si="6"/>
        <v>2173.0865782971509</v>
      </c>
      <c r="P10" s="5"/>
    </row>
    <row r="11" spans="1:16" ht="14.25" customHeight="1" x14ac:dyDescent="0.25">
      <c r="A11" s="85" t="s">
        <v>236</v>
      </c>
      <c r="B11" s="85">
        <f t="shared" ref="B11:F11" si="7">+B9-B10</f>
        <v>7497</v>
      </c>
      <c r="C11" s="85">
        <f t="shared" si="7"/>
        <v>24311</v>
      </c>
      <c r="D11" s="85">
        <f t="shared" si="7"/>
        <v>34727</v>
      </c>
      <c r="E11" s="85">
        <f>+E9-E10</f>
        <v>1058</v>
      </c>
      <c r="F11" s="85">
        <f t="shared" si="7"/>
        <v>8023</v>
      </c>
      <c r="G11" s="75"/>
      <c r="H11" s="142"/>
      <c r="I11" s="138"/>
      <c r="J11" s="131"/>
      <c r="K11" s="141">
        <f t="shared" ref="K11:O11" si="8">+K9-K10</f>
        <v>12064.19387712856</v>
      </c>
      <c r="L11" s="141">
        <f t="shared" si="8"/>
        <v>13073.992260272129</v>
      </c>
      <c r="M11" s="141">
        <f t="shared" si="8"/>
        <v>14269.752480978201</v>
      </c>
      <c r="N11" s="141">
        <f t="shared" si="8"/>
        <v>15595.641003689023</v>
      </c>
      <c r="O11" s="141">
        <f t="shared" si="8"/>
        <v>17687.186191774461</v>
      </c>
      <c r="P11" s="5"/>
    </row>
    <row r="12" spans="1:16" ht="12.75" customHeight="1" x14ac:dyDescent="0.25">
      <c r="A12" s="128" t="s">
        <v>237</v>
      </c>
      <c r="B12" s="128">
        <f>'1. Income Statement'!F23</f>
        <v>477</v>
      </c>
      <c r="C12" s="128">
        <f>'1. Income Statement'!E23</f>
        <v>1852</v>
      </c>
      <c r="D12" s="128">
        <f>'1. Income Statement'!D23</f>
        <v>3328</v>
      </c>
      <c r="E12" s="128">
        <f>'1. Income Statement'!C23</f>
        <v>-1115</v>
      </c>
      <c r="F12" s="128">
        <f>'1. Income Statement'!B23</f>
        <v>-28</v>
      </c>
      <c r="G12" s="75"/>
      <c r="H12" s="143"/>
      <c r="I12" s="138"/>
      <c r="J12" s="131"/>
      <c r="K12" s="460">
        <f t="shared" ref="K12:O12" si="9">+K11*K19</f>
        <v>723.85163262771357</v>
      </c>
      <c r="L12" s="460">
        <f t="shared" si="9"/>
        <v>1045.9193808217703</v>
      </c>
      <c r="M12" s="460">
        <f t="shared" si="9"/>
        <v>1141.5801984782561</v>
      </c>
      <c r="N12" s="460">
        <f t="shared" si="9"/>
        <v>1403.607690332012</v>
      </c>
      <c r="O12" s="460">
        <f t="shared" si="9"/>
        <v>2299.3342049306798</v>
      </c>
      <c r="P12" s="5"/>
    </row>
    <row r="13" spans="1:16" ht="14.25" customHeight="1" x14ac:dyDescent="0.25">
      <c r="A13" s="81" t="s">
        <v>238</v>
      </c>
      <c r="B13" s="81">
        <f t="shared" ref="B13:F13" si="10">+B11-B12</f>
        <v>7020</v>
      </c>
      <c r="C13" s="81">
        <f t="shared" si="10"/>
        <v>22459</v>
      </c>
      <c r="D13" s="81">
        <f t="shared" si="10"/>
        <v>31399</v>
      </c>
      <c r="E13" s="81">
        <f>+E11-E12</f>
        <v>2173</v>
      </c>
      <c r="F13" s="81">
        <f t="shared" si="10"/>
        <v>8051</v>
      </c>
      <c r="G13" s="75"/>
      <c r="H13" s="142"/>
      <c r="I13" s="138"/>
      <c r="J13" s="131"/>
      <c r="K13" s="141">
        <f t="shared" ref="K13:O13" si="11">+K11-K12</f>
        <v>11340.342244500847</v>
      </c>
      <c r="L13" s="141">
        <f t="shared" si="11"/>
        <v>12028.072879450359</v>
      </c>
      <c r="M13" s="141">
        <f t="shared" si="11"/>
        <v>13128.172282499945</v>
      </c>
      <c r="N13" s="141">
        <f t="shared" si="11"/>
        <v>14192.033313357011</v>
      </c>
      <c r="O13" s="141">
        <f t="shared" si="11"/>
        <v>15387.851986843782</v>
      </c>
      <c r="P13" s="5"/>
    </row>
    <row r="14" spans="1:16" ht="12.75" customHeight="1" x14ac:dyDescent="0.25">
      <c r="A14" s="85"/>
      <c r="B14" s="85"/>
      <c r="C14" s="85"/>
      <c r="D14" s="85"/>
      <c r="E14" s="85"/>
      <c r="F14" s="85"/>
      <c r="G14" s="75"/>
      <c r="H14" s="144"/>
      <c r="I14" s="140"/>
      <c r="J14" s="130"/>
      <c r="K14" s="85"/>
      <c r="L14" s="85"/>
      <c r="M14" s="85"/>
      <c r="N14" s="85"/>
      <c r="O14" s="85"/>
      <c r="P14" s="5"/>
    </row>
    <row r="15" spans="1:16" ht="12.75" customHeight="1" x14ac:dyDescent="0.25">
      <c r="A15" s="82" t="s">
        <v>239</v>
      </c>
      <c r="B15" s="82"/>
      <c r="C15" s="82"/>
      <c r="D15" s="82"/>
      <c r="E15" s="82"/>
      <c r="F15" s="82"/>
      <c r="G15" s="75"/>
      <c r="H15" s="145"/>
      <c r="I15" s="146"/>
      <c r="J15" s="132"/>
      <c r="K15" s="147"/>
      <c r="L15" s="147"/>
      <c r="M15" s="147"/>
      <c r="N15" s="147"/>
      <c r="O15" s="147"/>
      <c r="P15" s="5"/>
    </row>
    <row r="16" spans="1:16" ht="12.75" customHeight="1" x14ac:dyDescent="0.25">
      <c r="A16" s="85" t="s">
        <v>240</v>
      </c>
      <c r="B16" s="147"/>
      <c r="C16" s="147">
        <f>+C4/B4-1</f>
        <v>0.93967738856542904</v>
      </c>
      <c r="D16" s="147">
        <f>+D4/C4-1</f>
        <v>0.24464865662828461</v>
      </c>
      <c r="E16" s="147">
        <f>+E4/D4-1</f>
        <v>-0.41137632814430447</v>
      </c>
      <c r="F16" s="147">
        <f>+F4/E4-1</f>
        <v>6.8391711723813753E-2</v>
      </c>
      <c r="G16" s="75"/>
      <c r="H16" s="148">
        <f>AVERAGE(B16:F16)</f>
        <v>0.21033535719330573</v>
      </c>
      <c r="I16" s="149"/>
      <c r="J16" s="132"/>
      <c r="K16" s="272">
        <v>0.01</v>
      </c>
      <c r="L16" s="272">
        <v>1.4999999999999999E-2</v>
      </c>
      <c r="M16" s="272">
        <v>2.5000000000000001E-2</v>
      </c>
      <c r="N16" s="272">
        <v>0.03</v>
      </c>
      <c r="O16" s="272">
        <v>0.03</v>
      </c>
      <c r="P16" s="268" t="str">
        <f>A54</f>
        <v>Note 1</v>
      </c>
    </row>
    <row r="17" spans="1:16" ht="12.75" customHeight="1" x14ac:dyDescent="0.25">
      <c r="A17" s="85" t="s">
        <v>241</v>
      </c>
      <c r="B17" s="150">
        <f>+B6/B4</f>
        <v>0.79259329960866665</v>
      </c>
      <c r="C17" s="150">
        <f t="shared" ref="C17:F17" si="12">+C6/C4</f>
        <v>0.62084194469048326</v>
      </c>
      <c r="D17" s="150">
        <f>+D6/D4</f>
        <v>0.66054855448480354</v>
      </c>
      <c r="E17" s="150">
        <f>+E6/E4</f>
        <v>0.58098532424354365</v>
      </c>
      <c r="F17" s="150">
        <f t="shared" si="12"/>
        <v>0.71944300375626702</v>
      </c>
      <c r="G17" s="75"/>
      <c r="H17" s="148">
        <f>AVERAGE(B17:F17)</f>
        <v>0.67488242535675291</v>
      </c>
      <c r="I17" s="151">
        <v>0.73</v>
      </c>
      <c r="J17" s="132"/>
      <c r="K17" s="273">
        <f>+I17</f>
        <v>0.73</v>
      </c>
      <c r="L17" s="273">
        <f>+K17</f>
        <v>0.73</v>
      </c>
      <c r="M17" s="273">
        <f t="shared" ref="M17:O17" si="13">+L17</f>
        <v>0.73</v>
      </c>
      <c r="N17" s="273">
        <f t="shared" si="13"/>
        <v>0.73</v>
      </c>
      <c r="O17" s="273">
        <f t="shared" si="13"/>
        <v>0.73</v>
      </c>
      <c r="P17" s="30" t="str">
        <f>A68</f>
        <v>Note 2</v>
      </c>
    </row>
    <row r="18" spans="1:16" ht="12.75" customHeight="1" x14ac:dyDescent="0.25">
      <c r="A18" s="85" t="s">
        <v>242</v>
      </c>
      <c r="B18" s="150">
        <f>+B7/B4</f>
        <v>0.59773790207120359</v>
      </c>
      <c r="C18" s="150">
        <f>+C7/C4</f>
        <v>0.3817783682708395</v>
      </c>
      <c r="D18" s="150">
        <f>+D7/D4</f>
        <v>0.3068149246355325</v>
      </c>
      <c r="E18" s="150">
        <f>+E7/E4</f>
        <v>0.55949222554320444</v>
      </c>
      <c r="F18" s="150">
        <f>+F7/F4</f>
        <v>0.52438430226161847</v>
      </c>
      <c r="G18" s="75"/>
      <c r="H18" s="148">
        <f>AVERAGE(B18:F18)</f>
        <v>0.47404154455647973</v>
      </c>
      <c r="I18" s="151">
        <v>0.5</v>
      </c>
      <c r="J18" s="132"/>
      <c r="K18" s="273">
        <v>0.5</v>
      </c>
      <c r="L18" s="273">
        <v>0.49</v>
      </c>
      <c r="M18" s="273">
        <v>0.48</v>
      </c>
      <c r="N18" s="273">
        <v>0.47</v>
      </c>
      <c r="O18" s="273">
        <v>0.45</v>
      </c>
      <c r="P18" s="30" t="str">
        <f>A71</f>
        <v>Note 3</v>
      </c>
    </row>
    <row r="19" spans="1:16" ht="12.75" customHeight="1" x14ac:dyDescent="0.25">
      <c r="A19" s="85" t="s">
        <v>243</v>
      </c>
      <c r="B19" s="152">
        <f>+B12/B11</f>
        <v>6.3625450180072027E-2</v>
      </c>
      <c r="C19" s="152">
        <f>+C12/C11</f>
        <v>7.6179507218954376E-2</v>
      </c>
      <c r="D19" s="152">
        <f>+D12/D11</f>
        <v>9.5833213349843058E-2</v>
      </c>
      <c r="E19" s="152">
        <f>+E12/E11</f>
        <v>-1.053875236294896</v>
      </c>
      <c r="F19" s="152">
        <f>+F12/F11</f>
        <v>-3.4899663467530847E-3</v>
      </c>
      <c r="G19" s="75"/>
      <c r="H19" s="148">
        <f>AVERAGE(B19:F19)</f>
        <v>-0.16434540637855594</v>
      </c>
      <c r="I19" s="153">
        <v>0.06</v>
      </c>
      <c r="J19" s="133"/>
      <c r="K19" s="273">
        <v>0.06</v>
      </c>
      <c r="L19" s="273">
        <v>0.08</v>
      </c>
      <c r="M19" s="273">
        <v>0.08</v>
      </c>
      <c r="N19" s="273">
        <v>0.09</v>
      </c>
      <c r="O19" s="273">
        <v>0.13</v>
      </c>
      <c r="P19" s="30" t="str">
        <f>A74</f>
        <v>Note 4</v>
      </c>
    </row>
    <row r="20" spans="1:16" ht="12.75" customHeight="1" x14ac:dyDescent="0.25">
      <c r="A20" s="85"/>
      <c r="B20" s="85"/>
      <c r="C20" s="85"/>
      <c r="D20" s="85"/>
      <c r="E20" s="85"/>
      <c r="F20" s="85"/>
      <c r="G20" s="75"/>
      <c r="H20" s="154"/>
      <c r="I20" s="155"/>
      <c r="J20" s="133"/>
      <c r="K20" s="156"/>
      <c r="L20" s="156"/>
      <c r="M20" s="156"/>
      <c r="N20" s="156"/>
      <c r="O20" s="156"/>
      <c r="P20" s="5"/>
    </row>
    <row r="21" spans="1:16" ht="12.75" customHeight="1" x14ac:dyDescent="0.55000000000000004">
      <c r="A21" s="83" t="s">
        <v>244</v>
      </c>
      <c r="B21" s="83"/>
      <c r="C21" s="83"/>
      <c r="D21" s="83"/>
      <c r="E21" s="83"/>
      <c r="F21" s="83"/>
      <c r="G21" s="75"/>
      <c r="H21" s="142"/>
      <c r="I21" s="138"/>
      <c r="J21" s="131"/>
      <c r="K21" s="5"/>
      <c r="L21" s="5"/>
      <c r="M21" s="5"/>
      <c r="N21" s="5"/>
      <c r="O21" s="5"/>
      <c r="P21" s="5"/>
    </row>
    <row r="22" spans="1:16" ht="12.75" customHeight="1" x14ac:dyDescent="0.25">
      <c r="A22" s="85" t="s">
        <v>245</v>
      </c>
      <c r="B22" s="85">
        <f>'3. Cash Flow'!F8</f>
        <v>4681</v>
      </c>
      <c r="C22" s="85">
        <f>'3. Cash Flow'!E8</f>
        <v>5191</v>
      </c>
      <c r="D22" s="85">
        <f>'3. Cash Flow'!D8</f>
        <v>5064</v>
      </c>
      <c r="E22" s="85">
        <f>'3. Cash Flow'!C8</f>
        <v>6290</v>
      </c>
      <c r="F22" s="85">
        <f>'3. Cash Flow'!B8</f>
        <v>7013</v>
      </c>
      <c r="G22" s="75"/>
      <c r="H22" s="142"/>
      <c r="I22" s="138"/>
      <c r="J22" s="131"/>
      <c r="K22" s="85">
        <f t="shared" ref="K22:O22" si="14">+K25*K$4</f>
        <v>5673.7686274385605</v>
      </c>
      <c r="L22" s="85">
        <f t="shared" si="14"/>
        <v>5758.8751568501384</v>
      </c>
      <c r="M22" s="85">
        <f t="shared" si="14"/>
        <v>5902.8470357713913</v>
      </c>
      <c r="N22" s="85">
        <f t="shared" si="14"/>
        <v>6079.9324468445329</v>
      </c>
      <c r="O22" s="85">
        <f t="shared" si="14"/>
        <v>6262.3304202498693</v>
      </c>
      <c r="P22" s="5"/>
    </row>
    <row r="23" spans="1:16" ht="12.75" customHeight="1" x14ac:dyDescent="0.25">
      <c r="A23" s="85" t="s">
        <v>246</v>
      </c>
      <c r="B23" s="85">
        <f>-'3. Cash Flow'!F26</f>
        <v>2226</v>
      </c>
      <c r="C23" s="85">
        <f>-'3. Cash Flow'!E26</f>
        <v>2711</v>
      </c>
      <c r="D23" s="85">
        <f>-'3. Cash Flow'!D26</f>
        <v>3236</v>
      </c>
      <c r="E23" s="85">
        <f>-'3. Cash Flow'!C26</f>
        <v>3907</v>
      </c>
      <c r="F23" s="85">
        <f>-'3. Cash Flow'!B26</f>
        <v>2909</v>
      </c>
      <c r="G23" s="75"/>
      <c r="H23" s="142"/>
      <c r="I23" s="138"/>
      <c r="J23" s="131"/>
      <c r="K23" s="85">
        <f t="shared" ref="K23:O23" si="15">+K26*K4</f>
        <v>2891.8471500000001</v>
      </c>
      <c r="L23" s="85">
        <f t="shared" si="15"/>
        <v>2739.5432001000004</v>
      </c>
      <c r="M23" s="85">
        <f t="shared" si="15"/>
        <v>2674.3159810499997</v>
      </c>
      <c r="N23" s="85">
        <f t="shared" si="15"/>
        <v>2754.5454604815</v>
      </c>
      <c r="O23" s="85">
        <f t="shared" si="15"/>
        <v>2837.1818242959453</v>
      </c>
      <c r="P23" s="5"/>
    </row>
    <row r="24" spans="1:16" x14ac:dyDescent="0.25">
      <c r="A24" s="5"/>
      <c r="B24" s="5"/>
      <c r="C24" s="5"/>
      <c r="D24" s="5"/>
      <c r="E24" s="5"/>
      <c r="F24" s="5"/>
      <c r="G24" s="75"/>
      <c r="H24" s="118"/>
      <c r="I24" s="6"/>
      <c r="K24" s="5"/>
      <c r="L24" s="5"/>
      <c r="M24" s="5"/>
      <c r="N24" s="5"/>
      <c r="O24" s="5"/>
      <c r="P24" s="5"/>
    </row>
    <row r="25" spans="1:16" ht="12.75" customHeight="1" x14ac:dyDescent="0.25">
      <c r="A25" s="85" t="s">
        <v>325</v>
      </c>
      <c r="B25" s="150">
        <f>+B22/B4</f>
        <v>0.11169705068244727</v>
      </c>
      <c r="C25" s="150">
        <f>+C22/C4</f>
        <v>6.3859364235803559E-2</v>
      </c>
      <c r="D25" s="150">
        <f>+D22/D4</f>
        <v>5.0051890289103042E-2</v>
      </c>
      <c r="E25" s="150">
        <f>+E22/E4</f>
        <v>0.10561843033213554</v>
      </c>
      <c r="F25" s="150">
        <f>+F22/F4</f>
        <v>0.11022050387414148</v>
      </c>
      <c r="G25" s="75"/>
      <c r="H25" s="148">
        <f>AVERAGE(B25:F25)</f>
        <v>8.8289447882726163E-2</v>
      </c>
      <c r="I25" s="153"/>
      <c r="J25" s="131"/>
      <c r="K25" s="273">
        <f>H25</f>
        <v>8.8289447882726163E-2</v>
      </c>
      <c r="L25" s="273">
        <f t="shared" ref="L25:O25" si="16">+K25</f>
        <v>8.8289447882726163E-2</v>
      </c>
      <c r="M25" s="273">
        <f t="shared" si="16"/>
        <v>8.8289447882726163E-2</v>
      </c>
      <c r="N25" s="273">
        <f t="shared" si="16"/>
        <v>8.8289447882726163E-2</v>
      </c>
      <c r="O25" s="273">
        <f t="shared" si="16"/>
        <v>8.8289447882726163E-2</v>
      </c>
      <c r="P25" s="475" t="s">
        <v>339</v>
      </c>
    </row>
    <row r="26" spans="1:16" ht="12.75" customHeight="1" x14ac:dyDescent="0.25">
      <c r="A26" s="85" t="s">
        <v>247</v>
      </c>
      <c r="B26" s="150">
        <f>+B23/B4</f>
        <v>5.3116350100219527E-2</v>
      </c>
      <c r="C26" s="150">
        <f>+C23/C4</f>
        <v>3.3350556047633109E-2</v>
      </c>
      <c r="D26" s="150">
        <f>+D23/D4</f>
        <v>3.1984185816654312E-2</v>
      </c>
      <c r="E26" s="150">
        <f>+E23/E4</f>
        <v>6.5604325486113446E-2</v>
      </c>
      <c r="F26" s="150">
        <f>+F23/F4</f>
        <v>4.5719584453140963E-2</v>
      </c>
      <c r="G26" s="75"/>
      <c r="H26" s="148">
        <f>AVERAGE(B26:F26)</f>
        <v>4.5955000380752266E-2</v>
      </c>
      <c r="I26" s="153"/>
      <c r="J26" s="131"/>
      <c r="K26" s="273">
        <v>4.4999999999999998E-2</v>
      </c>
      <c r="L26" s="273">
        <v>4.2000000000000003E-2</v>
      </c>
      <c r="M26" s="273">
        <v>0.04</v>
      </c>
      <c r="N26" s="273">
        <v>0.04</v>
      </c>
      <c r="O26" s="273">
        <v>0.04</v>
      </c>
      <c r="P26" s="475"/>
    </row>
    <row r="27" spans="1:16" x14ac:dyDescent="0.25">
      <c r="A27" s="5"/>
      <c r="B27" s="5"/>
      <c r="C27" s="5"/>
      <c r="D27" s="5"/>
      <c r="E27" s="5"/>
      <c r="F27" s="5"/>
      <c r="G27" s="75"/>
      <c r="H27" s="142"/>
      <c r="I27" s="138"/>
      <c r="J27" s="131"/>
      <c r="K27" s="5"/>
      <c r="L27" s="5"/>
      <c r="M27" s="5"/>
      <c r="N27" s="5"/>
      <c r="O27" s="5"/>
      <c r="P27" s="5"/>
    </row>
    <row r="28" spans="1:16" ht="16.8" x14ac:dyDescent="0.55000000000000004">
      <c r="A28" s="83" t="s">
        <v>248</v>
      </c>
      <c r="B28" s="83"/>
      <c r="C28" s="83"/>
      <c r="D28" s="83"/>
      <c r="E28" s="83"/>
      <c r="F28" s="83"/>
      <c r="G28" s="75"/>
      <c r="H28" s="118"/>
      <c r="I28" s="6"/>
      <c r="K28" s="5"/>
      <c r="L28" s="5"/>
      <c r="M28" s="5"/>
      <c r="N28" s="5"/>
      <c r="O28" s="5"/>
      <c r="P28" s="5"/>
    </row>
    <row r="29" spans="1:16" ht="12.75" customHeight="1" x14ac:dyDescent="0.25">
      <c r="A29" s="85" t="s">
        <v>249</v>
      </c>
      <c r="B29" s="85">
        <f>'2. Balance Sheet'!F23</f>
        <v>2703</v>
      </c>
      <c r="C29" s="85">
        <f>'2. Balance Sheet'!E23</f>
        <v>2241</v>
      </c>
      <c r="D29" s="85">
        <f>'2. Balance Sheet'!D23</f>
        <v>2945</v>
      </c>
      <c r="E29" s="85">
        <f>'2. Balance Sheet'!C23</f>
        <v>10350</v>
      </c>
      <c r="F29" s="85">
        <f>'2. Balance Sheet'!B23</f>
        <v>6946</v>
      </c>
      <c r="G29" s="75"/>
      <c r="H29" s="157"/>
      <c r="I29" s="6"/>
      <c r="K29" s="5"/>
      <c r="L29" s="5"/>
      <c r="M29" s="5"/>
      <c r="N29" s="5"/>
      <c r="O29" s="5"/>
      <c r="P29" s="5"/>
    </row>
    <row r="30" spans="1:16" ht="12.75" customHeight="1" x14ac:dyDescent="0.25">
      <c r="A30" s="85" t="s">
        <v>250</v>
      </c>
      <c r="B30" s="85">
        <f>'2. Balance Sheet'!F31</f>
        <v>37133</v>
      </c>
      <c r="C30" s="85">
        <f>'2. Balance Sheet'!E31</f>
        <v>36195</v>
      </c>
      <c r="D30" s="85">
        <f>'2. Balance Sheet'!D31</f>
        <v>32884</v>
      </c>
      <c r="E30" s="85">
        <f>'2. Balance Sheet'!C31</f>
        <v>61538</v>
      </c>
      <c r="F30" s="85">
        <f>'2. Balance Sheet'!B31</f>
        <v>57405</v>
      </c>
      <c r="G30" s="75"/>
      <c r="H30" s="157"/>
      <c r="I30" s="6"/>
      <c r="K30" s="5"/>
      <c r="L30" s="5"/>
      <c r="M30" s="5"/>
      <c r="N30" s="5"/>
      <c r="O30" s="5"/>
      <c r="P30" s="5"/>
    </row>
    <row r="31" spans="1:16" ht="18" customHeight="1" thickBot="1" x14ac:dyDescent="0.3">
      <c r="A31" s="86" t="s">
        <v>251</v>
      </c>
      <c r="B31" s="158">
        <f t="shared" ref="B31:F31" si="17">+B30+B29</f>
        <v>39836</v>
      </c>
      <c r="C31" s="158">
        <f t="shared" si="17"/>
        <v>38436</v>
      </c>
      <c r="D31" s="158">
        <f t="shared" si="17"/>
        <v>35829</v>
      </c>
      <c r="E31" s="158">
        <f>+E30+E29</f>
        <v>71888</v>
      </c>
      <c r="F31" s="158">
        <f t="shared" si="17"/>
        <v>64351</v>
      </c>
      <c r="G31" s="75"/>
      <c r="H31" s="142"/>
      <c r="I31" s="138"/>
      <c r="J31" s="131"/>
      <c r="K31" s="141">
        <f>K32+B31</f>
        <v>37844.199999999997</v>
      </c>
      <c r="L31" s="141">
        <f>+K31+L32</f>
        <v>35852.399999999994</v>
      </c>
      <c r="M31" s="141">
        <f>+L31+M32</f>
        <v>33860.599999999991</v>
      </c>
      <c r="N31" s="141">
        <f>+M31+N32</f>
        <v>31868.799999999992</v>
      </c>
      <c r="O31" s="141">
        <f>+N31+O32</f>
        <v>29876.999999999993</v>
      </c>
      <c r="P31" s="5"/>
    </row>
    <row r="32" spans="1:16" ht="12.75" customHeight="1" thickTop="1" x14ac:dyDescent="0.25">
      <c r="A32" s="85" t="s">
        <v>252</v>
      </c>
      <c r="B32" s="85"/>
      <c r="C32" s="85"/>
      <c r="D32" s="85"/>
      <c r="E32" s="85"/>
      <c r="F32" s="220">
        <f>(F30-E30)/F30</f>
        <v>-7.1997212786342649E-2</v>
      </c>
      <c r="G32" s="75"/>
      <c r="H32" s="142"/>
      <c r="I32" s="274">
        <v>0.05</v>
      </c>
      <c r="J32" s="131"/>
      <c r="K32" s="458">
        <f>-I32*$B$31</f>
        <v>-1991.8000000000002</v>
      </c>
      <c r="L32" s="458">
        <f>+K32</f>
        <v>-1991.8000000000002</v>
      </c>
      <c r="M32" s="458">
        <f>+L32</f>
        <v>-1991.8000000000002</v>
      </c>
      <c r="N32" s="458">
        <f>+M32</f>
        <v>-1991.8000000000002</v>
      </c>
      <c r="O32" s="458">
        <f>+N32</f>
        <v>-1991.8000000000002</v>
      </c>
      <c r="P32" s="5"/>
    </row>
    <row r="33" spans="1:16" ht="12.75" customHeight="1" x14ac:dyDescent="0.25">
      <c r="A33" s="85" t="s">
        <v>253</v>
      </c>
      <c r="B33" s="85"/>
      <c r="C33" s="5"/>
      <c r="D33" s="5"/>
      <c r="E33" s="5"/>
      <c r="F33" s="85"/>
      <c r="G33" s="75"/>
      <c r="H33" s="159"/>
      <c r="I33" s="274">
        <f>F10/F31</f>
        <v>6.8188528538795048E-2</v>
      </c>
      <c r="J33" s="131"/>
      <c r="K33" s="458">
        <f>B31*I33</f>
        <v>2716.3582228714395</v>
      </c>
      <c r="L33" s="458">
        <f>K31*$I$33</f>
        <v>2580.5403117278674</v>
      </c>
      <c r="M33" s="458">
        <f t="shared" ref="M33:O33" si="18">L31*$I$33</f>
        <v>2444.722400584295</v>
      </c>
      <c r="N33" s="458">
        <f t="shared" si="18"/>
        <v>2308.904489440723</v>
      </c>
      <c r="O33" s="458">
        <f t="shared" si="18"/>
        <v>2173.0865782971509</v>
      </c>
      <c r="P33" s="5"/>
    </row>
    <row r="34" spans="1:16" ht="12.75" customHeight="1" x14ac:dyDescent="0.25">
      <c r="A34" s="9"/>
      <c r="B34" s="9"/>
      <c r="C34" s="9"/>
      <c r="D34" s="9"/>
      <c r="E34" s="9"/>
      <c r="F34" s="375">
        <f>F10/F31</f>
        <v>6.8188528538795048E-2</v>
      </c>
      <c r="G34" s="75"/>
      <c r="H34" s="160"/>
      <c r="I34" s="161"/>
      <c r="J34" s="35"/>
      <c r="K34" s="9"/>
      <c r="L34" s="5"/>
      <c r="M34" s="5"/>
      <c r="N34" s="5"/>
      <c r="O34" s="5"/>
      <c r="P34" s="5"/>
    </row>
    <row r="35" spans="1:16" ht="13.5" customHeight="1" thickBot="1" x14ac:dyDescent="0.3">
      <c r="A35" s="11" t="s">
        <v>254</v>
      </c>
      <c r="B35" s="11"/>
      <c r="C35" s="11"/>
      <c r="D35" s="11"/>
      <c r="E35" s="11"/>
      <c r="F35" s="11"/>
      <c r="G35" s="75"/>
      <c r="H35" s="160"/>
      <c r="I35" s="161"/>
      <c r="J35" s="35"/>
      <c r="K35" s="9"/>
      <c r="L35" s="5"/>
      <c r="M35" s="5"/>
      <c r="N35" s="5"/>
      <c r="O35" s="5"/>
      <c r="P35" s="5"/>
    </row>
    <row r="36" spans="1:16" ht="18" customHeight="1" thickBot="1" x14ac:dyDescent="0.3">
      <c r="A36" s="84"/>
      <c r="B36" s="84">
        <v>2020</v>
      </c>
      <c r="C36" s="84">
        <v>2021</v>
      </c>
      <c r="D36" s="84">
        <v>2022</v>
      </c>
      <c r="E36" s="84">
        <v>2023</v>
      </c>
      <c r="F36" s="84">
        <v>2024</v>
      </c>
      <c r="G36" s="75"/>
      <c r="H36" s="160"/>
      <c r="I36" s="161"/>
      <c r="J36" s="76"/>
      <c r="K36" s="84">
        <v>2024</v>
      </c>
      <c r="L36" s="84">
        <v>2023</v>
      </c>
      <c r="M36" s="84">
        <f>L36-1</f>
        <v>2022</v>
      </c>
      <c r="N36" s="84">
        <f t="shared" ref="N36:O36" si="19">M36-1</f>
        <v>2021</v>
      </c>
      <c r="O36" s="84">
        <f t="shared" si="19"/>
        <v>2020</v>
      </c>
      <c r="P36" s="5"/>
    </row>
    <row r="37" spans="1:16" ht="16.5" customHeight="1" x14ac:dyDescent="0.25">
      <c r="A37" s="81" t="s">
        <v>255</v>
      </c>
      <c r="B37" s="141">
        <f t="shared" ref="B37:F37" si="20">+B22+B9</f>
        <v>12847</v>
      </c>
      <c r="C37" s="141">
        <f t="shared" si="20"/>
        <v>24624</v>
      </c>
      <c r="D37" s="141">
        <f t="shared" si="20"/>
        <v>40853</v>
      </c>
      <c r="E37" s="141">
        <f>+E22+E9</f>
        <v>7570</v>
      </c>
      <c r="F37" s="141">
        <f t="shared" si="20"/>
        <v>19424</v>
      </c>
      <c r="G37" s="75"/>
      <c r="H37" s="160"/>
      <c r="I37" s="161"/>
      <c r="J37" s="131"/>
      <c r="K37" s="141">
        <f t="shared" ref="K37:O37" si="21">+K22+K9</f>
        <v>20454.32072743856</v>
      </c>
      <c r="L37" s="141">
        <f t="shared" si="21"/>
        <v>21413.407728850136</v>
      </c>
      <c r="M37" s="141">
        <f t="shared" si="21"/>
        <v>22617.321917333888</v>
      </c>
      <c r="N37" s="141">
        <f t="shared" si="21"/>
        <v>23984.47793997428</v>
      </c>
      <c r="O37" s="141">
        <f t="shared" si="21"/>
        <v>26122.603190321483</v>
      </c>
      <c r="P37" s="5"/>
    </row>
    <row r="38" spans="1:16" ht="12.75" customHeight="1" x14ac:dyDescent="0.25">
      <c r="A38" s="85"/>
      <c r="B38" s="85"/>
      <c r="C38" s="85"/>
      <c r="D38" s="85"/>
      <c r="E38" s="85"/>
      <c r="F38" s="85"/>
      <c r="G38" s="75"/>
      <c r="H38" s="160"/>
      <c r="I38" s="161"/>
      <c r="J38" s="131"/>
      <c r="K38" s="9"/>
      <c r="L38" s="9"/>
      <c r="M38" s="9"/>
      <c r="N38" s="9"/>
      <c r="O38" s="9"/>
      <c r="P38" s="5"/>
    </row>
    <row r="39" spans="1:16" ht="12.75" customHeight="1" x14ac:dyDescent="0.55000000000000004">
      <c r="A39" s="83" t="s">
        <v>256</v>
      </c>
      <c r="B39" s="83"/>
      <c r="C39" s="83"/>
      <c r="D39" s="83"/>
      <c r="E39" s="83"/>
      <c r="F39" s="83"/>
      <c r="G39" s="75"/>
      <c r="H39" s="142"/>
      <c r="I39" s="138"/>
      <c r="J39" s="131"/>
      <c r="K39" s="5"/>
      <c r="L39" s="5"/>
      <c r="M39" s="5"/>
      <c r="N39" s="5"/>
      <c r="O39" s="5"/>
      <c r="P39" s="5"/>
    </row>
    <row r="40" spans="1:16" ht="12.75" customHeight="1" x14ac:dyDescent="0.25">
      <c r="A40" s="85" t="s">
        <v>240</v>
      </c>
      <c r="B40" s="162"/>
      <c r="C40" s="147">
        <f>+C4/B4-1</f>
        <v>0.93967738856542904</v>
      </c>
      <c r="D40" s="147">
        <f>+D4/C4-1</f>
        <v>0.24464865662828461</v>
      </c>
      <c r="E40" s="147">
        <f>+E4/B4-1</f>
        <v>0.42106519041710411</v>
      </c>
      <c r="F40" s="147">
        <f>+F4/C4-1</f>
        <v>-0.21726454089164449</v>
      </c>
      <c r="G40" s="75"/>
      <c r="H40" s="148"/>
      <c r="I40" s="155"/>
      <c r="J40" s="133"/>
      <c r="K40" s="147">
        <f>K4/B4-1</f>
        <v>0.53343681397346576</v>
      </c>
      <c r="L40" s="147">
        <f>+L4/K4-1</f>
        <v>1.4999999999999902E-2</v>
      </c>
      <c r="M40" s="147">
        <f>+M4/L4-1</f>
        <v>2.4999999999999911E-2</v>
      </c>
      <c r="N40" s="147">
        <f>+N4/M4-1</f>
        <v>3.0000000000000027E-2</v>
      </c>
      <c r="O40" s="147">
        <f>+O4/N4-1</f>
        <v>3.0000000000000027E-2</v>
      </c>
      <c r="P40" s="5"/>
    </row>
    <row r="41" spans="1:16" ht="13.5" customHeight="1" x14ac:dyDescent="0.25">
      <c r="A41" s="85"/>
      <c r="B41" s="85"/>
      <c r="C41" s="85"/>
      <c r="D41" s="85"/>
      <c r="E41" s="85"/>
      <c r="F41" s="85"/>
      <c r="G41" s="75"/>
      <c r="H41" s="148"/>
      <c r="I41" s="155"/>
      <c r="J41" s="133"/>
      <c r="K41" s="85"/>
      <c r="L41" s="5"/>
      <c r="M41" s="5"/>
      <c r="N41" s="5"/>
      <c r="O41" s="5"/>
      <c r="P41" s="5"/>
    </row>
    <row r="42" spans="1:16" ht="12.75" customHeight="1" x14ac:dyDescent="0.55000000000000004">
      <c r="A42" s="83" t="s">
        <v>257</v>
      </c>
      <c r="B42" s="83"/>
      <c r="C42" s="83"/>
      <c r="D42" s="83"/>
      <c r="E42" s="83"/>
      <c r="F42" s="83"/>
      <c r="G42" s="75"/>
      <c r="H42" s="142"/>
      <c r="I42" s="138"/>
      <c r="J42" s="131"/>
      <c r="K42" s="85"/>
      <c r="L42" s="5"/>
      <c r="M42" s="5"/>
      <c r="N42" s="5"/>
      <c r="O42" s="5"/>
      <c r="P42" s="5"/>
    </row>
    <row r="43" spans="1:16" ht="12.75" customHeight="1" x14ac:dyDescent="0.25">
      <c r="A43" s="85" t="s">
        <v>258</v>
      </c>
      <c r="B43" s="163">
        <f t="shared" ref="B43:F43" si="22">+B31/B37</f>
        <v>3.1008017435977271</v>
      </c>
      <c r="C43" s="163">
        <f t="shared" si="22"/>
        <v>1.5609161793372319</v>
      </c>
      <c r="D43" s="163">
        <f t="shared" si="22"/>
        <v>0.87702249528798371</v>
      </c>
      <c r="E43" s="163">
        <f>+E31/E37</f>
        <v>9.4964332892998673</v>
      </c>
      <c r="F43" s="163">
        <f t="shared" si="22"/>
        <v>3.3129633443163096</v>
      </c>
      <c r="G43" s="75"/>
      <c r="H43" s="164"/>
      <c r="I43" s="165"/>
      <c r="J43" s="134"/>
      <c r="K43" s="163">
        <f t="shared" ref="K43:O43" si="23">+K31/K37</f>
        <v>1.8501812161981839</v>
      </c>
      <c r="L43" s="163">
        <f t="shared" si="23"/>
        <v>1.6742967982483379</v>
      </c>
      <c r="M43" s="163">
        <f t="shared" si="23"/>
        <v>1.4971091680863096</v>
      </c>
      <c r="N43" s="163">
        <f t="shared" si="23"/>
        <v>1.3287260235456335</v>
      </c>
      <c r="O43" s="163">
        <f t="shared" si="23"/>
        <v>1.1437221544240861</v>
      </c>
      <c r="P43" s="5"/>
    </row>
    <row r="44" spans="1:16" ht="12.75" customHeight="1" x14ac:dyDescent="0.25">
      <c r="A44" s="85" t="s">
        <v>259</v>
      </c>
      <c r="B44" s="163">
        <f t="shared" ref="B44:F44" si="24">+B37/B10</f>
        <v>19.203288490284006</v>
      </c>
      <c r="C44" s="163">
        <f t="shared" si="24"/>
        <v>-5.0479704797047971</v>
      </c>
      <c r="D44" s="163">
        <f t="shared" si="24"/>
        <v>38.46798493408663</v>
      </c>
      <c r="E44" s="163">
        <f>+E37/E10</f>
        <v>34.099099099099099</v>
      </c>
      <c r="F44" s="163">
        <f t="shared" si="24"/>
        <v>4.4266180492251594</v>
      </c>
      <c r="G44" s="75"/>
      <c r="H44" s="164"/>
      <c r="I44" s="165"/>
      <c r="J44" s="134"/>
      <c r="K44" s="163">
        <f t="shared" ref="K44:O44" si="25">+K37/K10</f>
        <v>7.5300527578488783</v>
      </c>
      <c r="L44" s="163">
        <f t="shared" si="25"/>
        <v>8.2980326374022955</v>
      </c>
      <c r="M44" s="163">
        <f t="shared" si="25"/>
        <v>9.2514888037710499</v>
      </c>
      <c r="N44" s="163">
        <f t="shared" si="25"/>
        <v>10.387817274236383</v>
      </c>
      <c r="O44" s="163">
        <f t="shared" si="25"/>
        <v>12.020967526655738</v>
      </c>
      <c r="P44" s="5"/>
    </row>
    <row r="45" spans="1:16" ht="12.75" customHeight="1" x14ac:dyDescent="0.25">
      <c r="A45" s="85" t="s">
        <v>260</v>
      </c>
      <c r="B45" s="163">
        <f t="shared" ref="B45:F45" si="26">+B9/B10</f>
        <v>12.20627802690583</v>
      </c>
      <c r="C45" s="163">
        <f t="shared" si="26"/>
        <v>-3.9838048380483806</v>
      </c>
      <c r="D45" s="163">
        <f t="shared" si="26"/>
        <v>33.699623352165723</v>
      </c>
      <c r="E45" s="163">
        <f>+E9/E10</f>
        <v>5.7657657657657655</v>
      </c>
      <c r="F45" s="163">
        <f t="shared" si="26"/>
        <v>2.8283956244302644</v>
      </c>
      <c r="G45" s="75"/>
      <c r="H45" s="164"/>
      <c r="I45" s="165"/>
      <c r="J45" s="134"/>
      <c r="K45" s="163">
        <f t="shared" ref="K45:O45" si="27">+K9/K10</f>
        <v>5.4413118179882778</v>
      </c>
      <c r="L45" s="163">
        <f t="shared" si="27"/>
        <v>6.0663778437617584</v>
      </c>
      <c r="M45" s="163">
        <f t="shared" si="27"/>
        <v>6.8369622978738578</v>
      </c>
      <c r="N45" s="163">
        <f t="shared" si="27"/>
        <v>7.754563073099094</v>
      </c>
      <c r="O45" s="163">
        <f t="shared" si="27"/>
        <v>9.1391999602861151</v>
      </c>
      <c r="P45" s="5"/>
    </row>
    <row r="46" spans="1:16" ht="12.75" customHeight="1" x14ac:dyDescent="0.25">
      <c r="A46" s="85"/>
      <c r="B46" s="85"/>
      <c r="C46" s="85"/>
      <c r="D46" s="85"/>
      <c r="E46" s="85"/>
      <c r="F46" s="85"/>
      <c r="G46" s="75"/>
      <c r="H46" s="142"/>
      <c r="I46" s="138"/>
      <c r="J46" s="131"/>
      <c r="K46" s="85"/>
      <c r="L46" s="5"/>
      <c r="M46" s="5"/>
      <c r="N46" s="5"/>
      <c r="O46" s="5"/>
      <c r="P46" s="5"/>
    </row>
    <row r="47" spans="1:16" ht="12.75" customHeight="1" x14ac:dyDescent="0.55000000000000004">
      <c r="A47" s="83" t="s">
        <v>261</v>
      </c>
      <c r="B47" s="83"/>
      <c r="C47" s="83"/>
      <c r="D47" s="83"/>
      <c r="E47" s="83"/>
      <c r="F47" s="83"/>
      <c r="G47" s="75"/>
      <c r="H47" s="142"/>
      <c r="I47" s="138"/>
      <c r="J47" s="131"/>
      <c r="K47" s="85"/>
      <c r="L47" s="5"/>
      <c r="M47" s="5"/>
      <c r="N47" s="5"/>
      <c r="O47" s="5"/>
      <c r="P47" s="5"/>
    </row>
    <row r="48" spans="1:16" ht="12.75" customHeight="1" x14ac:dyDescent="0.25">
      <c r="A48" s="85" t="s">
        <v>262</v>
      </c>
      <c r="B48" s="150">
        <f t="shared" ref="B48:F48" si="28">+B6/B4</f>
        <v>0.79259329960866665</v>
      </c>
      <c r="C48" s="150">
        <f t="shared" si="28"/>
        <v>0.62084194469048326</v>
      </c>
      <c r="D48" s="150">
        <f>+D6/D4</f>
        <v>0.66054855448480354</v>
      </c>
      <c r="E48" s="150">
        <f>+E6/E4</f>
        <v>0.58098532424354365</v>
      </c>
      <c r="F48" s="150">
        <f t="shared" si="28"/>
        <v>0.71944300375626702</v>
      </c>
      <c r="G48" s="75"/>
      <c r="H48" s="148"/>
      <c r="I48" s="155"/>
      <c r="J48" s="133"/>
      <c r="K48" s="150">
        <f t="shared" ref="K48:O48" si="29">+K6/K4</f>
        <v>0.73</v>
      </c>
      <c r="L48" s="150">
        <f t="shared" si="29"/>
        <v>0.73</v>
      </c>
      <c r="M48" s="150">
        <f t="shared" si="29"/>
        <v>0.73</v>
      </c>
      <c r="N48" s="150">
        <f t="shared" si="29"/>
        <v>0.73</v>
      </c>
      <c r="O48" s="150">
        <f t="shared" si="29"/>
        <v>0.73</v>
      </c>
      <c r="P48" s="5"/>
    </row>
    <row r="49" spans="1:16" ht="12.75" customHeight="1" x14ac:dyDescent="0.25">
      <c r="A49" s="85" t="s">
        <v>263</v>
      </c>
      <c r="B49" s="150">
        <f t="shared" ref="B49:F49" si="30">+B37/B4</f>
        <v>0.30655244821991029</v>
      </c>
      <c r="C49" s="150">
        <f t="shared" si="30"/>
        <v>0.30292294065544728</v>
      </c>
      <c r="D49" s="150">
        <f>+D37/D4</f>
        <v>0.4037855201383741</v>
      </c>
      <c r="E49" s="150">
        <f>+E37/E4</f>
        <v>0.12711152903247472</v>
      </c>
      <c r="F49" s="150">
        <f t="shared" si="30"/>
        <v>0.30527920536879</v>
      </c>
      <c r="G49" s="75"/>
      <c r="H49" s="148"/>
      <c r="I49" s="155"/>
      <c r="J49" s="133"/>
      <c r="K49" s="150">
        <f t="shared" ref="K49:O49" si="31">+K37/K4</f>
        <v>0.31828944788272617</v>
      </c>
      <c r="L49" s="150">
        <f t="shared" si="31"/>
        <v>0.32828944788272613</v>
      </c>
      <c r="M49" s="150">
        <f t="shared" si="31"/>
        <v>0.33828944788272614</v>
      </c>
      <c r="N49" s="150">
        <f t="shared" si="31"/>
        <v>0.34828944788272614</v>
      </c>
      <c r="O49" s="150">
        <f t="shared" si="31"/>
        <v>0.36828944788272611</v>
      </c>
      <c r="P49" s="5"/>
    </row>
    <row r="50" spans="1:16" ht="12.75" customHeight="1" x14ac:dyDescent="0.25">
      <c r="A50" s="128" t="s">
        <v>264</v>
      </c>
      <c r="B50" s="166">
        <f t="shared" ref="B50:F50" si="32">+B9/B4</f>
        <v>0.194855397537463</v>
      </c>
      <c r="C50" s="166">
        <f t="shared" si="32"/>
        <v>0.23906357641964374</v>
      </c>
      <c r="D50" s="166">
        <f>+D9/D4</f>
        <v>0.35373362984927109</v>
      </c>
      <c r="E50" s="166">
        <f>+E9/E4</f>
        <v>2.1493098700339188E-2</v>
      </c>
      <c r="F50" s="166">
        <f t="shared" si="32"/>
        <v>0.19505870149464849</v>
      </c>
      <c r="G50" s="75"/>
      <c r="H50" s="148"/>
      <c r="I50" s="155"/>
      <c r="J50" s="133"/>
      <c r="K50" s="150">
        <f t="shared" ref="K50:O50" si="33">+K9/K4</f>
        <v>0.23</v>
      </c>
      <c r="L50" s="150">
        <f t="shared" si="33"/>
        <v>0.23999999999999994</v>
      </c>
      <c r="M50" s="150">
        <f t="shared" si="33"/>
        <v>0.24999999999999994</v>
      </c>
      <c r="N50" s="150">
        <f t="shared" si="33"/>
        <v>0.25999999999999995</v>
      </c>
      <c r="O50" s="150">
        <f t="shared" si="33"/>
        <v>0.27999999999999997</v>
      </c>
      <c r="P50" s="5"/>
    </row>
    <row r="51" spans="1:16" ht="12.75" customHeight="1" thickBot="1" x14ac:dyDescent="0.3">
      <c r="A51" s="130"/>
      <c r="B51" s="130"/>
      <c r="C51" s="130"/>
      <c r="D51" s="130"/>
      <c r="E51" s="130"/>
      <c r="F51" s="130"/>
      <c r="G51" s="75"/>
      <c r="H51" s="167"/>
      <c r="I51" s="168"/>
      <c r="J51" s="131"/>
      <c r="K51" s="65"/>
      <c r="L51" s="65"/>
      <c r="M51" s="65"/>
      <c r="N51" s="65"/>
      <c r="O51" s="65"/>
      <c r="P51" s="65"/>
    </row>
    <row r="52" spans="1:16" ht="12.75" customHeight="1" x14ac:dyDescent="0.25">
      <c r="A52" s="236" t="s">
        <v>290</v>
      </c>
      <c r="G52" s="75"/>
      <c r="H52" s="129"/>
      <c r="I52" s="131"/>
      <c r="J52" s="131"/>
    </row>
    <row r="53" spans="1:16" ht="12.75" customHeight="1" x14ac:dyDescent="0.25">
      <c r="G53" s="75"/>
      <c r="H53" s="129"/>
      <c r="I53" s="131"/>
      <c r="J53" s="131"/>
      <c r="K53" s="131"/>
      <c r="L53" s="131"/>
      <c r="M53" s="131"/>
      <c r="N53" s="131"/>
      <c r="O53" s="131"/>
    </row>
    <row r="54" spans="1:16" ht="12.75" customHeight="1" x14ac:dyDescent="0.25">
      <c r="A54" s="236" t="s">
        <v>330</v>
      </c>
      <c r="G54" s="75"/>
      <c r="H54" s="129"/>
      <c r="I54" s="131"/>
      <c r="J54" s="131"/>
      <c r="K54" s="131"/>
      <c r="L54" s="131"/>
      <c r="M54" s="131"/>
      <c r="N54" s="131"/>
      <c r="O54" s="131"/>
    </row>
    <row r="55" spans="1:16" ht="12.75" customHeight="1" x14ac:dyDescent="0.25">
      <c r="A55" t="s">
        <v>342</v>
      </c>
      <c r="G55" s="75"/>
      <c r="H55" s="129"/>
      <c r="I55" s="131"/>
      <c r="J55" s="131"/>
      <c r="K55" s="131"/>
      <c r="L55" s="131"/>
      <c r="M55" s="131"/>
      <c r="N55" s="131"/>
      <c r="O55" s="131"/>
    </row>
    <row r="56" spans="1:16" ht="12.75" customHeight="1" x14ac:dyDescent="0.25">
      <c r="G56" s="75"/>
      <c r="H56" s="129"/>
      <c r="I56" s="131"/>
      <c r="J56" s="131"/>
      <c r="K56" s="131"/>
      <c r="L56" s="131"/>
      <c r="M56" s="131"/>
      <c r="N56" s="131"/>
      <c r="O56" s="131"/>
    </row>
    <row r="57" spans="1:16" ht="12.75" customHeight="1" x14ac:dyDescent="0.25">
      <c r="A57" t="s">
        <v>343</v>
      </c>
      <c r="G57" s="75"/>
      <c r="H57" s="129"/>
      <c r="I57" s="131"/>
      <c r="J57" s="131"/>
      <c r="K57" s="131"/>
      <c r="L57" s="131"/>
      <c r="M57" s="131"/>
      <c r="N57" s="131"/>
      <c r="O57" s="131"/>
    </row>
    <row r="58" spans="1:16" ht="12.75" customHeight="1" x14ac:dyDescent="0.25">
      <c r="A58" t="s">
        <v>345</v>
      </c>
      <c r="G58" s="75"/>
      <c r="H58" s="129"/>
      <c r="I58" s="131"/>
      <c r="J58" s="131"/>
      <c r="K58" s="131"/>
      <c r="L58" s="131"/>
      <c r="M58" s="131"/>
      <c r="N58" s="131"/>
      <c r="O58" s="131"/>
    </row>
    <row r="59" spans="1:16" ht="12.75" customHeight="1" x14ac:dyDescent="0.25">
      <c r="A59" t="s">
        <v>344</v>
      </c>
      <c r="G59" s="75"/>
      <c r="H59" s="129"/>
      <c r="I59" s="131"/>
      <c r="J59" s="131"/>
      <c r="K59" s="131"/>
      <c r="L59" s="131"/>
      <c r="M59" s="131"/>
      <c r="N59" s="131"/>
      <c r="O59" s="131"/>
    </row>
    <row r="60" spans="1:16" ht="12.75" customHeight="1" x14ac:dyDescent="0.25">
      <c r="A60" s="1" t="s">
        <v>144</v>
      </c>
      <c r="G60" s="75"/>
      <c r="H60" s="129"/>
      <c r="I60" s="131"/>
      <c r="J60" s="131"/>
      <c r="K60" s="131"/>
      <c r="L60" s="131"/>
      <c r="M60" s="131"/>
      <c r="N60" s="131"/>
      <c r="O60" s="131"/>
    </row>
    <row r="61" spans="1:16" ht="12.75" customHeight="1" x14ac:dyDescent="0.25">
      <c r="A61" s="1"/>
      <c r="G61" s="75"/>
      <c r="H61" s="129"/>
      <c r="I61" s="131"/>
      <c r="J61" s="131"/>
      <c r="K61" s="131"/>
      <c r="L61" s="131"/>
      <c r="M61" s="131"/>
      <c r="N61" s="131"/>
      <c r="O61" s="131"/>
    </row>
    <row r="62" spans="1:16" ht="12.75" customHeight="1" x14ac:dyDescent="0.25">
      <c r="A62" s="102" t="s">
        <v>5</v>
      </c>
      <c r="B62" s="102">
        <v>2020</v>
      </c>
      <c r="C62" s="102">
        <v>2021</v>
      </c>
      <c r="D62" s="102">
        <v>2022</v>
      </c>
      <c r="E62" s="102">
        <v>2023</v>
      </c>
      <c r="F62" s="102">
        <v>2024</v>
      </c>
      <c r="G62" s="75"/>
      <c r="H62" s="129"/>
      <c r="I62" s="131"/>
      <c r="J62" s="131"/>
      <c r="K62" s="131"/>
      <c r="L62" s="131"/>
      <c r="M62" s="131"/>
      <c r="N62" s="131"/>
      <c r="O62" s="131"/>
    </row>
    <row r="63" spans="1:16" ht="12.75" customHeight="1" x14ac:dyDescent="0.25">
      <c r="A63" s="56" t="s">
        <v>335</v>
      </c>
      <c r="B63" s="56">
        <v>82584</v>
      </c>
      <c r="C63" s="56">
        <v>78740</v>
      </c>
      <c r="D63" s="270">
        <v>79990</v>
      </c>
      <c r="E63" s="270">
        <v>85159</v>
      </c>
      <c r="F63" s="270">
        <v>88821</v>
      </c>
      <c r="G63" s="75"/>
      <c r="H63" s="129"/>
      <c r="I63" s="131"/>
      <c r="J63" s="131"/>
      <c r="K63" s="131"/>
      <c r="L63" s="131"/>
      <c r="M63" s="131"/>
      <c r="N63" s="131"/>
      <c r="O63" s="131"/>
    </row>
    <row r="64" spans="1:16" ht="12.75" customHeight="1" x14ac:dyDescent="0.25">
      <c r="A64" s="56" t="s">
        <v>336</v>
      </c>
      <c r="B64" s="56"/>
      <c r="C64" s="271">
        <f t="shared" ref="C64:E64" si="34">(C63-B63)/B63</f>
        <v>-4.6546546546546545E-2</v>
      </c>
      <c r="D64" s="271">
        <f t="shared" si="34"/>
        <v>1.5875031750063499E-2</v>
      </c>
      <c r="E64" s="271">
        <f t="shared" si="34"/>
        <v>6.4620577572196525E-2</v>
      </c>
      <c r="F64" s="271">
        <f>(F63-E63)/E63</f>
        <v>4.3001914066628309E-2</v>
      </c>
      <c r="G64" s="75"/>
      <c r="H64" s="129"/>
      <c r="I64" s="131"/>
      <c r="J64" s="131"/>
      <c r="K64" s="131"/>
      <c r="L64" s="131"/>
      <c r="M64" s="131"/>
      <c r="N64" s="131"/>
      <c r="O64" s="131"/>
    </row>
    <row r="65" spans="1:15" ht="12.75" customHeight="1" x14ac:dyDescent="0.25">
      <c r="G65" s="75"/>
      <c r="H65" s="129"/>
      <c r="I65" s="131"/>
      <c r="J65" s="131"/>
      <c r="K65" s="131"/>
      <c r="L65" s="131"/>
      <c r="M65" s="131"/>
      <c r="N65" s="131"/>
      <c r="O65" s="131"/>
    </row>
    <row r="66" spans="1:15" ht="12.75" customHeight="1" x14ac:dyDescent="0.25">
      <c r="G66" s="75"/>
      <c r="H66" s="129"/>
      <c r="I66" s="131"/>
      <c r="J66" s="131"/>
      <c r="K66" s="131"/>
      <c r="L66" s="131"/>
      <c r="M66" s="131"/>
      <c r="N66" s="131"/>
      <c r="O66" s="131"/>
    </row>
    <row r="67" spans="1:15" ht="12.75" customHeight="1" x14ac:dyDescent="0.25">
      <c r="G67" s="75"/>
      <c r="H67" s="129"/>
      <c r="I67" s="131"/>
      <c r="J67" s="131"/>
      <c r="K67" s="131"/>
      <c r="L67" s="131"/>
      <c r="M67" s="131"/>
      <c r="N67" s="131"/>
      <c r="O67" s="131"/>
    </row>
    <row r="68" spans="1:15" ht="12.75" customHeight="1" x14ac:dyDescent="0.25">
      <c r="A68" s="1" t="s">
        <v>331</v>
      </c>
      <c r="G68" s="75"/>
      <c r="H68" s="129"/>
      <c r="I68" s="131"/>
      <c r="J68" s="131"/>
      <c r="K68" s="131"/>
      <c r="L68" s="131"/>
      <c r="M68" s="131"/>
      <c r="N68" s="131"/>
      <c r="O68" s="131"/>
    </row>
    <row r="69" spans="1:15" ht="12.75" customHeight="1" x14ac:dyDescent="0.25">
      <c r="A69" t="s">
        <v>270</v>
      </c>
      <c r="G69" s="75"/>
      <c r="H69" s="129"/>
      <c r="I69" s="131"/>
      <c r="J69" s="131"/>
      <c r="K69" s="131"/>
      <c r="L69" s="131"/>
      <c r="M69" s="131"/>
      <c r="N69" s="131"/>
      <c r="O69" s="131"/>
    </row>
    <row r="70" spans="1:15" ht="12.75" customHeight="1" x14ac:dyDescent="0.25">
      <c r="G70" s="75"/>
      <c r="H70" s="129"/>
      <c r="I70" s="131"/>
      <c r="J70" s="131"/>
    </row>
    <row r="71" spans="1:15" ht="12.75" customHeight="1" x14ac:dyDescent="0.25">
      <c r="A71" s="1" t="s">
        <v>332</v>
      </c>
      <c r="G71" s="75"/>
      <c r="H71" s="129"/>
      <c r="I71" s="131"/>
      <c r="J71" s="131"/>
    </row>
    <row r="72" spans="1:15" ht="12.75" customHeight="1" x14ac:dyDescent="0.25">
      <c r="A72" t="s">
        <v>271</v>
      </c>
      <c r="G72" s="75"/>
      <c r="H72" s="129"/>
      <c r="I72" s="131"/>
      <c r="J72" s="131"/>
    </row>
    <row r="73" spans="1:15" ht="12.75" customHeight="1" x14ac:dyDescent="0.25">
      <c r="G73" s="75"/>
      <c r="H73" s="129"/>
      <c r="I73" s="131"/>
      <c r="J73" s="131"/>
    </row>
    <row r="74" spans="1:15" ht="12.75" customHeight="1" x14ac:dyDescent="0.25">
      <c r="A74" s="1" t="s">
        <v>333</v>
      </c>
      <c r="G74" s="75"/>
      <c r="H74" s="129"/>
      <c r="I74" s="131"/>
      <c r="J74" s="131"/>
    </row>
    <row r="75" spans="1:15" ht="12.75" customHeight="1" x14ac:dyDescent="0.25">
      <c r="A75" s="5" t="s">
        <v>334</v>
      </c>
      <c r="G75" s="75"/>
      <c r="H75" s="129"/>
      <c r="I75" s="131"/>
      <c r="J75" s="131"/>
    </row>
    <row r="76" spans="1:15" ht="12.75" customHeight="1" x14ac:dyDescent="0.25">
      <c r="G76" s="75"/>
      <c r="H76" s="129"/>
      <c r="I76" s="131"/>
      <c r="J76" s="131"/>
    </row>
    <row r="77" spans="1:15" ht="12.75" customHeight="1" x14ac:dyDescent="0.25">
      <c r="A77" s="1" t="str">
        <f>P25</f>
        <v>Note 5</v>
      </c>
      <c r="G77" s="75"/>
      <c r="H77" s="129"/>
      <c r="I77" s="131"/>
      <c r="J77" s="131"/>
    </row>
    <row r="78" spans="1:15" ht="12.75" customHeight="1" x14ac:dyDescent="0.25">
      <c r="A78" t="s">
        <v>340</v>
      </c>
      <c r="G78" s="75"/>
      <c r="H78" s="129"/>
      <c r="I78" s="131"/>
      <c r="J78" s="131"/>
    </row>
    <row r="79" spans="1:15" ht="12.75" customHeight="1" x14ac:dyDescent="0.25">
      <c r="G79" s="75"/>
      <c r="H79" s="129"/>
      <c r="I79" s="131"/>
      <c r="J79" s="131"/>
    </row>
    <row r="80" spans="1:15" ht="12.75" customHeight="1" x14ac:dyDescent="0.25">
      <c r="G80" s="75"/>
      <c r="H80" s="129"/>
      <c r="I80" s="131"/>
      <c r="J80" s="131"/>
    </row>
    <row r="81" spans="7:10" ht="12.75" customHeight="1" x14ac:dyDescent="0.25">
      <c r="G81" s="75"/>
      <c r="H81" s="129"/>
      <c r="I81" s="131"/>
      <c r="J81" s="131"/>
    </row>
    <row r="82" spans="7:10" ht="12.75" customHeight="1" x14ac:dyDescent="0.25">
      <c r="G82" s="75"/>
      <c r="H82" s="129"/>
      <c r="I82" s="131"/>
      <c r="J82" s="131"/>
    </row>
    <row r="83" spans="7:10" ht="12.75" customHeight="1" x14ac:dyDescent="0.25">
      <c r="G83" s="75"/>
      <c r="H83" s="129"/>
      <c r="I83" s="131"/>
      <c r="J83" s="131"/>
    </row>
    <row r="84" spans="7:10" ht="12.75" customHeight="1" x14ac:dyDescent="0.25">
      <c r="G84" s="75"/>
      <c r="H84" s="129"/>
      <c r="I84" s="131"/>
      <c r="J84" s="131"/>
    </row>
    <row r="85" spans="7:10" ht="12.75" customHeight="1" x14ac:dyDescent="0.25">
      <c r="G85" s="75"/>
      <c r="H85" s="131"/>
      <c r="I85" s="131"/>
      <c r="J85" s="131"/>
    </row>
    <row r="86" spans="7:10" ht="12.75" customHeight="1" x14ac:dyDescent="0.25">
      <c r="G86" s="75"/>
      <c r="H86" s="131"/>
      <c r="I86" s="131"/>
      <c r="J86" s="131"/>
    </row>
    <row r="87" spans="7:10" ht="12.75" customHeight="1" x14ac:dyDescent="0.25">
      <c r="G87" s="75"/>
      <c r="H87" s="131"/>
      <c r="I87" s="131"/>
      <c r="J87" s="131"/>
    </row>
    <row r="88" spans="7:10" ht="12.75" customHeight="1" x14ac:dyDescent="0.25">
      <c r="G88" s="75"/>
      <c r="H88" s="131"/>
      <c r="I88" s="131"/>
      <c r="J88" s="131"/>
    </row>
    <row r="89" spans="7:10" ht="12.75" customHeight="1" x14ac:dyDescent="0.25">
      <c r="G89" s="75"/>
      <c r="H89" s="131"/>
      <c r="I89" s="131"/>
      <c r="J89" s="131"/>
    </row>
    <row r="90" spans="7:10" ht="12.75" customHeight="1" x14ac:dyDescent="0.25">
      <c r="G90" s="75"/>
      <c r="H90" s="131"/>
      <c r="I90" s="131"/>
      <c r="J90" s="131"/>
    </row>
    <row r="91" spans="7:10" ht="12.75" customHeight="1" x14ac:dyDescent="0.25">
      <c r="G91" s="75"/>
      <c r="H91" s="131"/>
      <c r="I91" s="131"/>
      <c r="J91" s="131"/>
    </row>
    <row r="92" spans="7:10" ht="12.75" customHeight="1" x14ac:dyDescent="0.25">
      <c r="G92" s="75"/>
      <c r="H92" s="131"/>
      <c r="I92" s="131"/>
      <c r="J92" s="131"/>
    </row>
    <row r="93" spans="7:10" ht="12.75" customHeight="1" x14ac:dyDescent="0.25">
      <c r="G93" s="75"/>
      <c r="H93" s="131"/>
      <c r="I93" s="131"/>
      <c r="J93" s="131"/>
    </row>
    <row r="94" spans="7:10" ht="12.75" customHeight="1" x14ac:dyDescent="0.25">
      <c r="G94" s="75"/>
      <c r="H94" s="131"/>
      <c r="I94" s="131"/>
      <c r="J94" s="131"/>
    </row>
    <row r="95" spans="7:10" ht="12.75" customHeight="1" x14ac:dyDescent="0.25">
      <c r="G95" s="75"/>
      <c r="H95" s="131"/>
      <c r="I95" s="131"/>
      <c r="J95" s="131"/>
    </row>
    <row r="96" spans="7:10" ht="12.75" customHeight="1" x14ac:dyDescent="0.25">
      <c r="G96" s="75"/>
      <c r="H96" s="131"/>
      <c r="I96" s="131"/>
      <c r="J96" s="131"/>
    </row>
    <row r="97" spans="7:10" ht="12.75" customHeight="1" x14ac:dyDescent="0.25">
      <c r="G97" s="75"/>
      <c r="H97" s="131"/>
      <c r="I97" s="131"/>
      <c r="J97" s="131"/>
    </row>
    <row r="98" spans="7:10" ht="12.75" customHeight="1" x14ac:dyDescent="0.25">
      <c r="G98" s="75"/>
      <c r="H98" s="131"/>
      <c r="I98" s="131"/>
      <c r="J98" s="131"/>
    </row>
    <row r="99" spans="7:10" ht="12.75" customHeight="1" x14ac:dyDescent="0.25">
      <c r="G99" s="75"/>
      <c r="H99" s="131"/>
      <c r="I99" s="131"/>
      <c r="J99" s="131"/>
    </row>
    <row r="100" spans="7:10" ht="12.75" customHeight="1" x14ac:dyDescent="0.25">
      <c r="G100" s="75"/>
      <c r="H100" s="131"/>
      <c r="I100" s="131"/>
      <c r="J100" s="131"/>
    </row>
    <row r="101" spans="7:10" ht="12.75" customHeight="1" x14ac:dyDescent="0.25">
      <c r="G101" s="75"/>
      <c r="H101" s="131"/>
      <c r="I101" s="131"/>
      <c r="J101" s="131"/>
    </row>
    <row r="102" spans="7:10" ht="12.75" customHeight="1" x14ac:dyDescent="0.25">
      <c r="G102" s="75"/>
      <c r="H102" s="131"/>
      <c r="I102" s="131"/>
      <c r="J102" s="131"/>
    </row>
    <row r="103" spans="7:10" ht="12.75" customHeight="1" x14ac:dyDescent="0.25">
      <c r="G103" s="75"/>
      <c r="H103" s="131"/>
      <c r="I103" s="131"/>
      <c r="J103" s="131"/>
    </row>
    <row r="104" spans="7:10" ht="12.75" customHeight="1" x14ac:dyDescent="0.25">
      <c r="G104" s="75"/>
      <c r="H104" s="131"/>
      <c r="I104" s="131"/>
      <c r="J104" s="131"/>
    </row>
    <row r="105" spans="7:10" ht="12.75" customHeight="1" x14ac:dyDescent="0.25">
      <c r="G105" s="75"/>
      <c r="H105" s="131"/>
      <c r="I105" s="131"/>
      <c r="J105" s="131"/>
    </row>
    <row r="106" spans="7:10" ht="12.75" customHeight="1" x14ac:dyDescent="0.25">
      <c r="G106" s="75"/>
      <c r="H106" s="131"/>
      <c r="I106" s="131"/>
      <c r="J106" s="131"/>
    </row>
    <row r="107" spans="7:10" ht="12.75" customHeight="1" x14ac:dyDescent="0.25">
      <c r="G107" s="75"/>
      <c r="H107" s="131"/>
      <c r="I107" s="131"/>
      <c r="J107" s="131"/>
    </row>
    <row r="108" spans="7:10" ht="12.75" customHeight="1" x14ac:dyDescent="0.25">
      <c r="G108" s="75"/>
      <c r="H108" s="131"/>
      <c r="I108" s="131"/>
      <c r="J108" s="131"/>
    </row>
    <row r="109" spans="7:10" ht="12.75" customHeight="1" x14ac:dyDescent="0.25">
      <c r="G109" s="75"/>
      <c r="H109" s="131"/>
      <c r="I109" s="131"/>
      <c r="J109" s="131"/>
    </row>
    <row r="110" spans="7:10" ht="12.75" customHeight="1" x14ac:dyDescent="0.25">
      <c r="G110" s="75"/>
      <c r="H110" s="131"/>
      <c r="I110" s="131"/>
      <c r="J110" s="131"/>
    </row>
    <row r="111" spans="7:10" ht="12.75" customHeight="1" x14ac:dyDescent="0.25">
      <c r="G111" s="75"/>
      <c r="H111" s="131"/>
      <c r="I111" s="131"/>
      <c r="J111" s="131"/>
    </row>
    <row r="112" spans="7:10" ht="12.75" customHeight="1" x14ac:dyDescent="0.25">
      <c r="G112" s="75"/>
      <c r="H112" s="131"/>
      <c r="I112" s="131"/>
      <c r="J112" s="131"/>
    </row>
    <row r="113" spans="7:10" ht="12.75" customHeight="1" x14ac:dyDescent="0.25">
      <c r="G113" s="75"/>
      <c r="H113" s="131"/>
      <c r="I113" s="131"/>
      <c r="J113" s="131"/>
    </row>
    <row r="114" spans="7:10" ht="12.75" customHeight="1" x14ac:dyDescent="0.25">
      <c r="G114" s="75"/>
      <c r="H114" s="131"/>
      <c r="I114" s="131"/>
      <c r="J114" s="131"/>
    </row>
    <row r="115" spans="7:10" ht="12.75" customHeight="1" x14ac:dyDescent="0.25">
      <c r="G115" s="75"/>
      <c r="H115" s="131"/>
      <c r="I115" s="131"/>
      <c r="J115" s="131"/>
    </row>
    <row r="116" spans="7:10" ht="12.75" customHeight="1" x14ac:dyDescent="0.25">
      <c r="G116" s="75"/>
      <c r="H116" s="131"/>
      <c r="I116" s="131"/>
      <c r="J116" s="131"/>
    </row>
    <row r="117" spans="7:10" ht="12.75" customHeight="1" x14ac:dyDescent="0.25">
      <c r="G117" s="75"/>
      <c r="H117" s="131"/>
      <c r="I117" s="131"/>
      <c r="J117" s="131"/>
    </row>
    <row r="118" spans="7:10" ht="12.75" customHeight="1" x14ac:dyDescent="0.25">
      <c r="G118" s="75"/>
      <c r="H118" s="131"/>
      <c r="I118" s="131"/>
      <c r="J118" s="131"/>
    </row>
    <row r="119" spans="7:10" ht="12.75" customHeight="1" x14ac:dyDescent="0.25">
      <c r="G119" s="131"/>
      <c r="H119" s="131"/>
      <c r="I119" s="131"/>
      <c r="J119" s="131"/>
    </row>
    <row r="120" spans="7:10" ht="12.75" customHeight="1" x14ac:dyDescent="0.25">
      <c r="G120" s="131"/>
      <c r="H120" s="131"/>
      <c r="I120" s="131"/>
      <c r="J120" s="131"/>
    </row>
    <row r="121" spans="7:10" ht="12.75" customHeight="1" x14ac:dyDescent="0.25">
      <c r="G121" s="131"/>
      <c r="H121" s="131"/>
      <c r="I121" s="131"/>
      <c r="J121" s="131"/>
    </row>
    <row r="122" spans="7:10" ht="12.75" customHeight="1" x14ac:dyDescent="0.25">
      <c r="G122" s="131"/>
      <c r="H122" s="131"/>
      <c r="I122" s="131"/>
      <c r="J122" s="131"/>
    </row>
    <row r="123" spans="7:10" ht="12.75" customHeight="1" x14ac:dyDescent="0.25">
      <c r="G123" s="131"/>
      <c r="H123" s="131"/>
      <c r="I123" s="131"/>
      <c r="J123" s="131"/>
    </row>
    <row r="124" spans="7:10" ht="12.75" customHeight="1" x14ac:dyDescent="0.25">
      <c r="G124" s="131"/>
      <c r="H124" s="131"/>
      <c r="I124" s="131"/>
      <c r="J124" s="131"/>
    </row>
    <row r="125" spans="7:10" ht="12.75" customHeight="1" x14ac:dyDescent="0.25">
      <c r="G125" s="131"/>
      <c r="H125" s="131"/>
      <c r="I125" s="131"/>
      <c r="J125" s="131"/>
    </row>
    <row r="126" spans="7:10" ht="12.75" customHeight="1" x14ac:dyDescent="0.25">
      <c r="G126" s="131"/>
      <c r="H126" s="131"/>
      <c r="I126" s="131"/>
      <c r="J126" s="131"/>
    </row>
    <row r="127" spans="7:10" ht="12.75" customHeight="1" x14ac:dyDescent="0.25">
      <c r="G127" s="131"/>
      <c r="H127" s="131"/>
      <c r="I127" s="131"/>
      <c r="J127" s="131"/>
    </row>
    <row r="128" spans="7:10" ht="12.75" customHeight="1" x14ac:dyDescent="0.25">
      <c r="G128" s="131"/>
      <c r="H128" s="131"/>
      <c r="I128" s="131"/>
      <c r="J128" s="131"/>
    </row>
    <row r="129" spans="7:10" ht="12.75" customHeight="1" x14ac:dyDescent="0.25">
      <c r="G129" s="131"/>
      <c r="H129" s="131"/>
      <c r="I129" s="131"/>
      <c r="J129" s="131"/>
    </row>
    <row r="130" spans="7:10" ht="12.75" customHeight="1" x14ac:dyDescent="0.25">
      <c r="G130" s="131"/>
      <c r="H130" s="131"/>
      <c r="I130" s="131"/>
      <c r="J130" s="131"/>
    </row>
    <row r="131" spans="7:10" ht="12.75" customHeight="1" x14ac:dyDescent="0.25">
      <c r="G131" s="131"/>
      <c r="H131" s="131"/>
      <c r="I131" s="131"/>
      <c r="J131" s="131"/>
    </row>
    <row r="132" spans="7:10" ht="12.75" customHeight="1" x14ac:dyDescent="0.25">
      <c r="G132" s="131"/>
      <c r="H132" s="131"/>
      <c r="I132" s="131"/>
      <c r="J132" s="131"/>
    </row>
    <row r="133" spans="7:10" ht="12.75" customHeight="1" x14ac:dyDescent="0.25">
      <c r="G133" s="131"/>
      <c r="H133" s="131"/>
      <c r="I133" s="131"/>
      <c r="J133" s="131"/>
    </row>
    <row r="134" spans="7:10" ht="12.75" customHeight="1" x14ac:dyDescent="0.25">
      <c r="G134" s="131"/>
      <c r="H134" s="131"/>
      <c r="I134" s="131"/>
      <c r="J134" s="131"/>
    </row>
    <row r="135" spans="7:10" ht="12.75" customHeight="1" x14ac:dyDescent="0.25">
      <c r="G135" s="131"/>
      <c r="H135" s="131"/>
      <c r="I135" s="131"/>
      <c r="J135" s="131"/>
    </row>
    <row r="136" spans="7:10" ht="12.75" customHeight="1" x14ac:dyDescent="0.25">
      <c r="G136" s="131"/>
      <c r="H136" s="131"/>
      <c r="I136" s="131"/>
      <c r="J136" s="131"/>
    </row>
    <row r="137" spans="7:10" ht="12.75" customHeight="1" x14ac:dyDescent="0.25">
      <c r="G137" s="131"/>
      <c r="H137" s="131"/>
      <c r="I137" s="131"/>
      <c r="J137" s="131"/>
    </row>
    <row r="138" spans="7:10" ht="12.75" customHeight="1" x14ac:dyDescent="0.25">
      <c r="G138" s="131"/>
      <c r="H138" s="131"/>
      <c r="I138" s="131"/>
      <c r="J138" s="131"/>
    </row>
    <row r="139" spans="7:10" ht="12.75" customHeight="1" x14ac:dyDescent="0.25">
      <c r="G139" s="131"/>
      <c r="H139" s="131"/>
      <c r="I139" s="131"/>
      <c r="J139" s="131"/>
    </row>
    <row r="140" spans="7:10" ht="12.75" customHeight="1" x14ac:dyDescent="0.25">
      <c r="G140" s="131"/>
      <c r="H140" s="131"/>
      <c r="I140" s="131"/>
      <c r="J140" s="131"/>
    </row>
    <row r="141" spans="7:10" ht="12.75" customHeight="1" x14ac:dyDescent="0.25">
      <c r="G141" s="131"/>
      <c r="H141" s="131"/>
      <c r="I141" s="131"/>
      <c r="J141" s="131"/>
    </row>
    <row r="142" spans="7:10" ht="12.75" customHeight="1" x14ac:dyDescent="0.25">
      <c r="G142" s="131"/>
      <c r="H142" s="131"/>
      <c r="I142" s="131"/>
      <c r="J142" s="131"/>
    </row>
    <row r="143" spans="7:10" ht="12.75" customHeight="1" x14ac:dyDescent="0.25">
      <c r="G143" s="131"/>
      <c r="H143" s="131"/>
      <c r="I143" s="131"/>
      <c r="J143" s="131"/>
    </row>
    <row r="144" spans="7:10" ht="12.75" customHeight="1" x14ac:dyDescent="0.25">
      <c r="G144" s="131"/>
      <c r="H144" s="131"/>
      <c r="I144" s="131"/>
      <c r="J144" s="131"/>
    </row>
    <row r="145" spans="7:10" ht="12.75" customHeight="1" x14ac:dyDescent="0.25">
      <c r="G145" s="131"/>
      <c r="H145" s="131"/>
      <c r="I145" s="131"/>
      <c r="J145" s="131"/>
    </row>
    <row r="146" spans="7:10" ht="12.75" customHeight="1" x14ac:dyDescent="0.25">
      <c r="G146" s="131"/>
      <c r="H146" s="131"/>
      <c r="I146" s="131"/>
      <c r="J146" s="131"/>
    </row>
    <row r="147" spans="7:10" ht="12.75" customHeight="1" x14ac:dyDescent="0.25">
      <c r="G147" s="131"/>
      <c r="H147" s="131"/>
      <c r="I147" s="131"/>
      <c r="J147" s="131"/>
    </row>
    <row r="148" spans="7:10" ht="12.75" customHeight="1" x14ac:dyDescent="0.25">
      <c r="G148" s="131"/>
      <c r="H148" s="131"/>
      <c r="I148" s="131"/>
      <c r="J148" s="131"/>
    </row>
    <row r="149" spans="7:10" ht="12.75" customHeight="1" x14ac:dyDescent="0.25">
      <c r="G149" s="131"/>
      <c r="H149" s="131"/>
      <c r="I149" s="131"/>
      <c r="J149" s="131"/>
    </row>
    <row r="150" spans="7:10" ht="12.75" customHeight="1" x14ac:dyDescent="0.25">
      <c r="G150" s="131"/>
      <c r="H150" s="131"/>
      <c r="I150" s="131"/>
      <c r="J150" s="131"/>
    </row>
    <row r="151" spans="7:10" ht="12.75" customHeight="1" x14ac:dyDescent="0.25">
      <c r="G151" s="131"/>
      <c r="H151" s="131"/>
      <c r="I151" s="131"/>
      <c r="J151" s="131"/>
    </row>
    <row r="152" spans="7:10" ht="12.75" customHeight="1" x14ac:dyDescent="0.25">
      <c r="G152" s="131"/>
      <c r="H152" s="131"/>
      <c r="I152" s="131"/>
      <c r="J152" s="131"/>
    </row>
    <row r="153" spans="7:10" ht="12.75" customHeight="1" x14ac:dyDescent="0.25">
      <c r="G153" s="131"/>
      <c r="H153" s="131"/>
      <c r="I153" s="131"/>
      <c r="J153" s="131"/>
    </row>
    <row r="154" spans="7:10" ht="12.75" customHeight="1" x14ac:dyDescent="0.25">
      <c r="G154" s="131"/>
      <c r="H154" s="131"/>
      <c r="I154" s="131"/>
      <c r="J154" s="131"/>
    </row>
    <row r="155" spans="7:10" ht="12.75" customHeight="1" x14ac:dyDescent="0.25">
      <c r="G155" s="131"/>
      <c r="H155" s="131"/>
      <c r="I155" s="131"/>
      <c r="J155" s="131"/>
    </row>
    <row r="156" spans="7:10" ht="12.75" customHeight="1" x14ac:dyDescent="0.25">
      <c r="G156" s="131"/>
      <c r="H156" s="131"/>
      <c r="I156" s="131"/>
      <c r="J156" s="131"/>
    </row>
    <row r="157" spans="7:10" ht="12.75" customHeight="1" x14ac:dyDescent="0.25">
      <c r="G157" s="131"/>
      <c r="H157" s="131"/>
      <c r="I157" s="131"/>
      <c r="J157" s="131"/>
    </row>
    <row r="158" spans="7:10" ht="12.75" customHeight="1" x14ac:dyDescent="0.25">
      <c r="G158" s="131"/>
      <c r="H158" s="131"/>
      <c r="I158" s="131"/>
      <c r="J158" s="131"/>
    </row>
    <row r="159" spans="7:10" ht="12.75" customHeight="1" x14ac:dyDescent="0.25">
      <c r="G159" s="131"/>
      <c r="H159" s="131"/>
      <c r="I159" s="131"/>
      <c r="J159" s="131"/>
    </row>
    <row r="160" spans="7:10" ht="12.75" customHeight="1" x14ac:dyDescent="0.25">
      <c r="G160" s="131"/>
      <c r="H160" s="131"/>
      <c r="I160" s="131"/>
      <c r="J160" s="131"/>
    </row>
    <row r="161" spans="7:10" ht="12.75" customHeight="1" x14ac:dyDescent="0.25">
      <c r="G161" s="131"/>
      <c r="H161" s="131"/>
      <c r="I161" s="131"/>
      <c r="J161" s="131"/>
    </row>
    <row r="162" spans="7:10" ht="12.75" customHeight="1" x14ac:dyDescent="0.25">
      <c r="G162" s="131"/>
      <c r="H162" s="131"/>
      <c r="I162" s="131"/>
      <c r="J162" s="131"/>
    </row>
    <row r="163" spans="7:10" ht="12.75" customHeight="1" x14ac:dyDescent="0.25">
      <c r="G163" s="131"/>
      <c r="H163" s="131"/>
      <c r="I163" s="131"/>
      <c r="J163" s="131"/>
    </row>
    <row r="164" spans="7:10" ht="12.75" customHeight="1" x14ac:dyDescent="0.25">
      <c r="G164" s="131"/>
      <c r="H164" s="131"/>
      <c r="I164" s="131"/>
      <c r="J164" s="131"/>
    </row>
    <row r="165" spans="7:10" ht="12.75" customHeight="1" x14ac:dyDescent="0.25">
      <c r="G165" s="131"/>
      <c r="H165" s="131"/>
      <c r="I165" s="131"/>
      <c r="J165" s="131"/>
    </row>
    <row r="166" spans="7:10" ht="12.75" customHeight="1" x14ac:dyDescent="0.25">
      <c r="G166" s="131"/>
      <c r="H166" s="131"/>
      <c r="I166" s="131"/>
      <c r="J166" s="131"/>
    </row>
    <row r="167" spans="7:10" ht="12.75" customHeight="1" x14ac:dyDescent="0.25">
      <c r="G167" s="131"/>
      <c r="H167" s="131"/>
      <c r="I167" s="131"/>
      <c r="J167" s="131"/>
    </row>
    <row r="168" spans="7:10" ht="12.75" customHeight="1" x14ac:dyDescent="0.25">
      <c r="G168" s="131"/>
      <c r="H168" s="131"/>
      <c r="I168" s="131"/>
      <c r="J168" s="131"/>
    </row>
    <row r="169" spans="7:10" ht="12.75" customHeight="1" x14ac:dyDescent="0.25">
      <c r="G169" s="131"/>
      <c r="H169" s="131"/>
      <c r="I169" s="131"/>
      <c r="J169" s="131"/>
    </row>
    <row r="170" spans="7:10" ht="12.75" customHeight="1" x14ac:dyDescent="0.25">
      <c r="G170" s="131"/>
      <c r="H170" s="131"/>
      <c r="I170" s="131"/>
      <c r="J170" s="131"/>
    </row>
    <row r="171" spans="7:10" ht="12.75" customHeight="1" x14ac:dyDescent="0.25">
      <c r="G171" s="131"/>
      <c r="H171" s="131"/>
      <c r="I171" s="131"/>
      <c r="J171" s="131"/>
    </row>
    <row r="172" spans="7:10" ht="12.75" customHeight="1" x14ac:dyDescent="0.25">
      <c r="G172" s="131"/>
      <c r="H172" s="131"/>
      <c r="I172" s="131"/>
      <c r="J172" s="131"/>
    </row>
    <row r="173" spans="7:10" ht="12.75" customHeight="1" x14ac:dyDescent="0.25">
      <c r="G173" s="131"/>
      <c r="H173" s="131"/>
      <c r="I173" s="131"/>
      <c r="J173" s="131"/>
    </row>
    <row r="174" spans="7:10" ht="12.75" customHeight="1" x14ac:dyDescent="0.25">
      <c r="G174" s="131"/>
      <c r="H174" s="131"/>
      <c r="I174" s="131"/>
      <c r="J174" s="131"/>
    </row>
    <row r="175" spans="7:10" ht="12.75" customHeight="1" x14ac:dyDescent="0.25">
      <c r="G175" s="131"/>
      <c r="H175" s="131"/>
      <c r="I175" s="131"/>
      <c r="J175" s="131"/>
    </row>
    <row r="176" spans="7:10" ht="12.75" customHeight="1" x14ac:dyDescent="0.25">
      <c r="G176" s="131"/>
      <c r="H176" s="131"/>
      <c r="I176" s="131"/>
      <c r="J176" s="131"/>
    </row>
    <row r="177" spans="7:10" ht="12.75" customHeight="1" x14ac:dyDescent="0.25">
      <c r="G177" s="131"/>
      <c r="H177" s="131"/>
      <c r="I177" s="131"/>
      <c r="J177" s="131"/>
    </row>
    <row r="178" spans="7:10" ht="12.75" customHeight="1" x14ac:dyDescent="0.25">
      <c r="G178" s="131"/>
      <c r="H178" s="131"/>
      <c r="I178" s="131"/>
      <c r="J178" s="131"/>
    </row>
    <row r="179" spans="7:10" ht="12.75" customHeight="1" x14ac:dyDescent="0.25">
      <c r="G179" s="131"/>
      <c r="H179" s="131"/>
      <c r="I179" s="131"/>
      <c r="J179" s="131"/>
    </row>
    <row r="180" spans="7:10" ht="12.75" customHeight="1" x14ac:dyDescent="0.25">
      <c r="G180" s="131"/>
      <c r="H180" s="131"/>
      <c r="I180" s="131"/>
      <c r="J180" s="131"/>
    </row>
    <row r="181" spans="7:10" ht="12.75" customHeight="1" x14ac:dyDescent="0.25">
      <c r="G181" s="131"/>
      <c r="H181" s="131"/>
      <c r="I181" s="131"/>
      <c r="J181" s="131"/>
    </row>
    <row r="182" spans="7:10" ht="12.75" customHeight="1" x14ac:dyDescent="0.25">
      <c r="G182" s="131"/>
      <c r="H182" s="131"/>
      <c r="I182" s="131"/>
      <c r="J182" s="131"/>
    </row>
    <row r="183" spans="7:10" ht="12.75" customHeight="1" x14ac:dyDescent="0.25">
      <c r="G183" s="131"/>
      <c r="H183" s="131"/>
      <c r="I183" s="131"/>
      <c r="J183" s="131"/>
    </row>
    <row r="184" spans="7:10" ht="12.75" customHeight="1" x14ac:dyDescent="0.25">
      <c r="G184" s="131"/>
      <c r="H184" s="131"/>
      <c r="I184" s="131"/>
      <c r="J184" s="131"/>
    </row>
    <row r="185" spans="7:10" ht="12.75" customHeight="1" x14ac:dyDescent="0.25">
      <c r="G185" s="131"/>
      <c r="H185" s="131"/>
      <c r="I185" s="131"/>
      <c r="J185" s="131"/>
    </row>
    <row r="186" spans="7:10" ht="12.75" customHeight="1" x14ac:dyDescent="0.25">
      <c r="G186" s="131"/>
      <c r="H186" s="131"/>
      <c r="I186" s="131"/>
      <c r="J186" s="131"/>
    </row>
    <row r="187" spans="7:10" ht="12.75" customHeight="1" x14ac:dyDescent="0.25">
      <c r="G187" s="131"/>
      <c r="H187" s="131"/>
      <c r="I187" s="131"/>
      <c r="J187" s="131"/>
    </row>
    <row r="188" spans="7:10" ht="12.75" customHeight="1" x14ac:dyDescent="0.25">
      <c r="G188" s="131"/>
      <c r="H188" s="131"/>
      <c r="I188" s="131"/>
      <c r="J188" s="131"/>
    </row>
    <row r="189" spans="7:10" ht="12.75" customHeight="1" x14ac:dyDescent="0.25">
      <c r="G189" s="131"/>
      <c r="H189" s="131"/>
      <c r="I189" s="131"/>
      <c r="J189" s="131"/>
    </row>
    <row r="190" spans="7:10" ht="12.75" customHeight="1" x14ac:dyDescent="0.25">
      <c r="G190" s="131"/>
      <c r="H190" s="131"/>
      <c r="I190" s="131"/>
      <c r="J190" s="131"/>
    </row>
    <row r="191" spans="7:10" ht="12.75" customHeight="1" x14ac:dyDescent="0.25">
      <c r="G191" s="131"/>
      <c r="H191" s="131"/>
      <c r="I191" s="131"/>
      <c r="J191" s="131"/>
    </row>
    <row r="192" spans="7:10" ht="12.75" customHeight="1" x14ac:dyDescent="0.25">
      <c r="G192" s="131"/>
      <c r="H192" s="131"/>
      <c r="I192" s="131"/>
      <c r="J192" s="131"/>
    </row>
    <row r="193" spans="7:10" ht="12.75" customHeight="1" x14ac:dyDescent="0.25">
      <c r="G193" s="131"/>
      <c r="H193" s="131"/>
      <c r="I193" s="131"/>
      <c r="J193" s="131"/>
    </row>
    <row r="194" spans="7:10" ht="12.75" customHeight="1" x14ac:dyDescent="0.25">
      <c r="G194" s="131"/>
      <c r="H194" s="131"/>
      <c r="I194" s="131"/>
      <c r="J194" s="131"/>
    </row>
    <row r="195" spans="7:10" ht="12.75" customHeight="1" x14ac:dyDescent="0.25">
      <c r="G195" s="131"/>
      <c r="H195" s="131"/>
      <c r="I195" s="131"/>
      <c r="J195" s="131"/>
    </row>
    <row r="196" spans="7:10" ht="12.75" customHeight="1" x14ac:dyDescent="0.25">
      <c r="G196" s="131"/>
      <c r="H196" s="131"/>
      <c r="I196" s="131"/>
      <c r="J196" s="131"/>
    </row>
    <row r="197" spans="7:10" ht="12.75" customHeight="1" x14ac:dyDescent="0.25">
      <c r="G197" s="131"/>
      <c r="H197" s="131"/>
      <c r="I197" s="131"/>
      <c r="J197" s="131"/>
    </row>
    <row r="198" spans="7:10" ht="12.75" customHeight="1" x14ac:dyDescent="0.25">
      <c r="G198" s="131"/>
      <c r="H198" s="131"/>
      <c r="I198" s="131"/>
      <c r="J198" s="131"/>
    </row>
    <row r="199" spans="7:10" ht="12.75" customHeight="1" x14ac:dyDescent="0.25">
      <c r="G199" s="131"/>
      <c r="H199" s="131"/>
      <c r="I199" s="131"/>
      <c r="J199" s="131"/>
    </row>
    <row r="200" spans="7:10" ht="12.75" customHeight="1" x14ac:dyDescent="0.25">
      <c r="G200" s="131"/>
      <c r="H200" s="131"/>
      <c r="I200" s="131"/>
      <c r="J200" s="131"/>
    </row>
    <row r="201" spans="7:10" ht="12.75" customHeight="1" x14ac:dyDescent="0.25">
      <c r="G201" s="131"/>
      <c r="H201" s="131"/>
      <c r="I201" s="131"/>
      <c r="J201" s="131"/>
    </row>
    <row r="202" spans="7:10" ht="12.75" customHeight="1" x14ac:dyDescent="0.25">
      <c r="G202" s="131"/>
      <c r="H202" s="131"/>
      <c r="I202" s="131"/>
      <c r="J202" s="131"/>
    </row>
    <row r="203" spans="7:10" ht="12.75" customHeight="1" x14ac:dyDescent="0.25">
      <c r="G203" s="131"/>
      <c r="H203" s="131"/>
      <c r="I203" s="131"/>
      <c r="J203" s="131"/>
    </row>
    <row r="204" spans="7:10" ht="12.75" customHeight="1" x14ac:dyDescent="0.25">
      <c r="G204" s="131"/>
      <c r="H204" s="131"/>
      <c r="I204" s="131"/>
      <c r="J204" s="131"/>
    </row>
    <row r="205" spans="7:10" ht="12.75" customHeight="1" x14ac:dyDescent="0.25">
      <c r="G205" s="131"/>
      <c r="H205" s="131"/>
      <c r="I205" s="131"/>
      <c r="J205" s="131"/>
    </row>
    <row r="206" spans="7:10" ht="12.75" customHeight="1" x14ac:dyDescent="0.25">
      <c r="G206" s="131"/>
      <c r="H206" s="131"/>
      <c r="I206" s="131"/>
      <c r="J206" s="131"/>
    </row>
    <row r="207" spans="7:10" ht="12.75" customHeight="1" x14ac:dyDescent="0.25">
      <c r="G207" s="131"/>
      <c r="H207" s="131"/>
      <c r="I207" s="131"/>
      <c r="J207" s="131"/>
    </row>
    <row r="208" spans="7:10" ht="12.75" customHeight="1" x14ac:dyDescent="0.25">
      <c r="G208" s="131"/>
      <c r="H208" s="131"/>
      <c r="I208" s="131"/>
      <c r="J208" s="131"/>
    </row>
    <row r="209" spans="7:10" ht="12.75" customHeight="1" x14ac:dyDescent="0.25">
      <c r="G209" s="131"/>
      <c r="H209" s="131"/>
      <c r="I209" s="131"/>
      <c r="J209" s="131"/>
    </row>
    <row r="210" spans="7:10" ht="12.75" customHeight="1" x14ac:dyDescent="0.25">
      <c r="G210" s="131"/>
      <c r="H210" s="131"/>
      <c r="I210" s="131"/>
      <c r="J210" s="131"/>
    </row>
    <row r="211" spans="7:10" ht="12.75" customHeight="1" x14ac:dyDescent="0.25">
      <c r="G211" s="131"/>
      <c r="H211" s="131"/>
      <c r="I211" s="131"/>
      <c r="J211" s="131"/>
    </row>
    <row r="212" spans="7:10" ht="12.75" customHeight="1" x14ac:dyDescent="0.25">
      <c r="G212" s="131"/>
      <c r="H212" s="131"/>
      <c r="I212" s="131"/>
      <c r="J212" s="131"/>
    </row>
    <row r="213" spans="7:10" ht="12.75" customHeight="1" x14ac:dyDescent="0.25">
      <c r="G213" s="131"/>
      <c r="H213" s="131"/>
      <c r="I213" s="131"/>
      <c r="J213" s="131"/>
    </row>
    <row r="214" spans="7:10" ht="12.75" customHeight="1" x14ac:dyDescent="0.25">
      <c r="G214" s="131"/>
      <c r="H214" s="131"/>
      <c r="I214" s="131"/>
      <c r="J214" s="131"/>
    </row>
    <row r="215" spans="7:10" ht="12.75" customHeight="1" x14ac:dyDescent="0.25">
      <c r="G215" s="131"/>
      <c r="H215" s="131"/>
      <c r="I215" s="131"/>
      <c r="J215" s="131"/>
    </row>
    <row r="216" spans="7:10" ht="12.75" customHeight="1" x14ac:dyDescent="0.25">
      <c r="G216" s="131"/>
      <c r="H216" s="131"/>
      <c r="I216" s="131"/>
      <c r="J216" s="131"/>
    </row>
    <row r="217" spans="7:10" ht="12.75" customHeight="1" x14ac:dyDescent="0.25">
      <c r="G217" s="131"/>
      <c r="H217" s="131"/>
      <c r="I217" s="131"/>
      <c r="J217" s="131"/>
    </row>
    <row r="218" spans="7:10" ht="12.75" customHeight="1" x14ac:dyDescent="0.25">
      <c r="G218" s="131"/>
      <c r="H218" s="131"/>
      <c r="I218" s="131"/>
      <c r="J218" s="131"/>
    </row>
    <row r="219" spans="7:10" ht="12.75" customHeight="1" x14ac:dyDescent="0.25">
      <c r="G219" s="131"/>
      <c r="H219" s="131"/>
      <c r="I219" s="131"/>
      <c r="J219" s="131"/>
    </row>
    <row r="220" spans="7:10" ht="12.75" customHeight="1" x14ac:dyDescent="0.25">
      <c r="G220" s="131"/>
      <c r="H220" s="131"/>
      <c r="I220" s="131"/>
      <c r="J220" s="131"/>
    </row>
    <row r="221" spans="7:10" ht="12.75" customHeight="1" x14ac:dyDescent="0.25">
      <c r="G221" s="131"/>
      <c r="H221" s="131"/>
      <c r="I221" s="131"/>
      <c r="J221" s="131"/>
    </row>
    <row r="222" spans="7:10" ht="12.75" customHeight="1" x14ac:dyDescent="0.25">
      <c r="G222" s="131"/>
      <c r="H222" s="131"/>
      <c r="I222" s="131"/>
      <c r="J222" s="131"/>
    </row>
    <row r="223" spans="7:10" ht="12.75" customHeight="1" x14ac:dyDescent="0.25">
      <c r="G223" s="131"/>
      <c r="H223" s="131"/>
      <c r="I223" s="131"/>
      <c r="J223" s="131"/>
    </row>
    <row r="224" spans="7:10" ht="12.75" customHeight="1" x14ac:dyDescent="0.25">
      <c r="G224" s="131"/>
      <c r="H224" s="131"/>
      <c r="I224" s="131"/>
      <c r="J224" s="131"/>
    </row>
    <row r="225" spans="7:10" ht="12.75" customHeight="1" x14ac:dyDescent="0.25">
      <c r="G225" s="131"/>
      <c r="H225" s="131"/>
      <c r="I225" s="131"/>
      <c r="J225" s="131"/>
    </row>
    <row r="226" spans="7:10" ht="12.75" customHeight="1" x14ac:dyDescent="0.25">
      <c r="G226" s="131"/>
      <c r="H226" s="131"/>
      <c r="I226" s="131"/>
      <c r="J226" s="131"/>
    </row>
    <row r="227" spans="7:10" ht="12.75" customHeight="1" x14ac:dyDescent="0.25">
      <c r="G227" s="131"/>
      <c r="H227" s="131"/>
      <c r="I227" s="131"/>
      <c r="J227" s="131"/>
    </row>
    <row r="228" spans="7:10" ht="12.75" customHeight="1" x14ac:dyDescent="0.25">
      <c r="G228" s="131"/>
      <c r="H228" s="131"/>
      <c r="I228" s="131"/>
      <c r="J228" s="131"/>
    </row>
    <row r="229" spans="7:10" ht="12.75" customHeight="1" x14ac:dyDescent="0.25">
      <c r="G229" s="131"/>
      <c r="H229" s="131"/>
      <c r="I229" s="131"/>
      <c r="J229" s="131"/>
    </row>
    <row r="230" spans="7:10" ht="12.75" customHeight="1" x14ac:dyDescent="0.25">
      <c r="G230" s="131"/>
      <c r="H230" s="131"/>
      <c r="I230" s="131"/>
      <c r="J230" s="131"/>
    </row>
    <row r="231" spans="7:10" ht="12.75" customHeight="1" x14ac:dyDescent="0.25">
      <c r="G231" s="131"/>
      <c r="H231" s="131"/>
      <c r="I231" s="131"/>
      <c r="J231" s="131"/>
    </row>
    <row r="232" spans="7:10" ht="12.75" customHeight="1" x14ac:dyDescent="0.25">
      <c r="G232" s="131"/>
      <c r="H232" s="131"/>
      <c r="I232" s="131"/>
      <c r="J232" s="131"/>
    </row>
    <row r="233" spans="7:10" ht="12.75" customHeight="1" x14ac:dyDescent="0.25">
      <c r="G233" s="131"/>
      <c r="H233" s="131"/>
      <c r="I233" s="131"/>
      <c r="J233" s="131"/>
    </row>
    <row r="234" spans="7:10" ht="12.75" customHeight="1" x14ac:dyDescent="0.25">
      <c r="G234" s="131"/>
      <c r="H234" s="131"/>
      <c r="I234" s="131"/>
      <c r="J234" s="131"/>
    </row>
    <row r="235" spans="7:10" ht="12.75" customHeight="1" x14ac:dyDescent="0.25">
      <c r="G235" s="131"/>
      <c r="H235" s="131"/>
      <c r="I235" s="131"/>
      <c r="J235" s="131"/>
    </row>
    <row r="236" spans="7:10" ht="12.75" customHeight="1" x14ac:dyDescent="0.25">
      <c r="G236" s="131"/>
      <c r="H236" s="131"/>
      <c r="I236" s="131"/>
      <c r="J236" s="131"/>
    </row>
    <row r="237" spans="7:10" ht="12.75" customHeight="1" x14ac:dyDescent="0.25">
      <c r="G237" s="131"/>
      <c r="H237" s="131"/>
      <c r="I237" s="131"/>
      <c r="J237" s="131"/>
    </row>
    <row r="238" spans="7:10" ht="12.75" customHeight="1" x14ac:dyDescent="0.25">
      <c r="G238" s="131"/>
      <c r="H238" s="131"/>
      <c r="I238" s="131"/>
      <c r="J238" s="131"/>
    </row>
    <row r="239" spans="7:10" ht="12.75" customHeight="1" x14ac:dyDescent="0.25">
      <c r="G239" s="131"/>
      <c r="H239" s="131"/>
      <c r="I239" s="131"/>
      <c r="J239" s="131"/>
    </row>
    <row r="240" spans="7:10" ht="12.75" customHeight="1" x14ac:dyDescent="0.25">
      <c r="G240" s="131"/>
      <c r="H240" s="131"/>
      <c r="I240" s="131"/>
      <c r="J240" s="131"/>
    </row>
    <row r="241" spans="7:10" ht="12.75" customHeight="1" x14ac:dyDescent="0.25">
      <c r="G241" s="131"/>
      <c r="H241" s="131"/>
      <c r="I241" s="131"/>
      <c r="J241" s="131"/>
    </row>
    <row r="242" spans="7:10" ht="12.75" customHeight="1" x14ac:dyDescent="0.25">
      <c r="G242" s="131"/>
      <c r="H242" s="131"/>
      <c r="I242" s="131"/>
      <c r="J242" s="131"/>
    </row>
    <row r="243" spans="7:10" ht="12.75" customHeight="1" x14ac:dyDescent="0.25">
      <c r="G243" s="131"/>
      <c r="H243" s="131"/>
      <c r="I243" s="131"/>
      <c r="J243" s="131"/>
    </row>
    <row r="244" spans="7:10" ht="12.75" customHeight="1" x14ac:dyDescent="0.25">
      <c r="G244" s="131"/>
      <c r="H244" s="131"/>
      <c r="I244" s="131"/>
      <c r="J244" s="131"/>
    </row>
    <row r="245" spans="7:10" ht="12.75" customHeight="1" x14ac:dyDescent="0.25">
      <c r="G245" s="131"/>
      <c r="H245" s="131"/>
      <c r="I245" s="131"/>
      <c r="J245" s="131"/>
    </row>
    <row r="246" spans="7:10" ht="12.75" customHeight="1" x14ac:dyDescent="0.25">
      <c r="G246" s="131"/>
      <c r="H246" s="131"/>
      <c r="I246" s="131"/>
      <c r="J246" s="131"/>
    </row>
    <row r="247" spans="7:10" ht="12.75" customHeight="1" x14ac:dyDescent="0.25">
      <c r="G247" s="131"/>
      <c r="H247" s="131"/>
      <c r="I247" s="131"/>
      <c r="J247" s="131"/>
    </row>
    <row r="248" spans="7:10" ht="12.75" customHeight="1" x14ac:dyDescent="0.25">
      <c r="G248" s="131"/>
      <c r="H248" s="131"/>
      <c r="I248" s="131"/>
      <c r="J248" s="131"/>
    </row>
    <row r="249" spans="7:10" ht="12.75" customHeight="1" x14ac:dyDescent="0.25">
      <c r="G249" s="131"/>
      <c r="H249" s="131"/>
      <c r="I249" s="131"/>
      <c r="J249" s="131"/>
    </row>
    <row r="250" spans="7:10" ht="12.75" customHeight="1" x14ac:dyDescent="0.25">
      <c r="G250" s="131"/>
      <c r="H250" s="131"/>
      <c r="I250" s="131"/>
      <c r="J250" s="131"/>
    </row>
    <row r="251" spans="7:10" ht="12.75" customHeight="1" x14ac:dyDescent="0.25">
      <c r="G251" s="131"/>
      <c r="H251" s="131"/>
      <c r="I251" s="131"/>
      <c r="J251" s="131"/>
    </row>
    <row r="252" spans="7:10" ht="12.75" customHeight="1" x14ac:dyDescent="0.25">
      <c r="G252" s="131"/>
      <c r="H252" s="131"/>
      <c r="I252" s="131"/>
      <c r="J252" s="131"/>
    </row>
    <row r="253" spans="7:10" ht="12.75" customHeight="1" x14ac:dyDescent="0.25">
      <c r="G253" s="131"/>
      <c r="H253" s="131"/>
      <c r="I253" s="131"/>
      <c r="J253" s="131"/>
    </row>
    <row r="254" spans="7:10" ht="12.75" customHeight="1" x14ac:dyDescent="0.25">
      <c r="G254" s="131"/>
      <c r="H254" s="131"/>
      <c r="I254" s="131"/>
      <c r="J254" s="131"/>
    </row>
    <row r="255" spans="7:10" ht="12.75" customHeight="1" x14ac:dyDescent="0.25">
      <c r="G255" s="131"/>
      <c r="H255" s="131"/>
      <c r="I255" s="131"/>
      <c r="J255" s="131"/>
    </row>
    <row r="256" spans="7:10" ht="12.75" customHeight="1" x14ac:dyDescent="0.25">
      <c r="G256" s="131"/>
      <c r="H256" s="131"/>
      <c r="I256" s="131"/>
      <c r="J256" s="131"/>
    </row>
    <row r="257" spans="7:10" ht="12.75" customHeight="1" x14ac:dyDescent="0.25">
      <c r="G257" s="131"/>
      <c r="H257" s="131"/>
      <c r="I257" s="131"/>
      <c r="J257" s="131"/>
    </row>
    <row r="258" spans="7:10" ht="12.75" customHeight="1" x14ac:dyDescent="0.25">
      <c r="G258" s="131"/>
      <c r="H258" s="131"/>
      <c r="I258" s="131"/>
      <c r="J258" s="131"/>
    </row>
    <row r="259" spans="7:10" ht="12.75" customHeight="1" x14ac:dyDescent="0.25">
      <c r="G259" s="131"/>
      <c r="H259" s="131"/>
      <c r="I259" s="131"/>
      <c r="J259" s="131"/>
    </row>
    <row r="260" spans="7:10" ht="12.75" customHeight="1" x14ac:dyDescent="0.25">
      <c r="G260" s="131"/>
      <c r="H260" s="131"/>
      <c r="I260" s="131"/>
      <c r="J260" s="131"/>
    </row>
    <row r="261" spans="7:10" ht="12.75" customHeight="1" x14ac:dyDescent="0.25">
      <c r="G261" s="131"/>
      <c r="H261" s="131"/>
      <c r="I261" s="131"/>
      <c r="J261" s="131"/>
    </row>
    <row r="262" spans="7:10" ht="12.75" customHeight="1" x14ac:dyDescent="0.25">
      <c r="G262" s="131"/>
      <c r="H262" s="131"/>
      <c r="I262" s="131"/>
      <c r="J262" s="131"/>
    </row>
    <row r="263" spans="7:10" ht="12.75" customHeight="1" x14ac:dyDescent="0.25">
      <c r="G263" s="131"/>
      <c r="H263" s="131"/>
      <c r="I263" s="131"/>
      <c r="J263" s="131"/>
    </row>
    <row r="264" spans="7:10" ht="12.75" customHeight="1" x14ac:dyDescent="0.25">
      <c r="G264" s="131"/>
      <c r="H264" s="131"/>
      <c r="I264" s="131"/>
      <c r="J264" s="131"/>
    </row>
    <row r="265" spans="7:10" ht="12.75" customHeight="1" x14ac:dyDescent="0.25">
      <c r="G265" s="131"/>
      <c r="H265" s="131"/>
      <c r="I265" s="131"/>
      <c r="J265" s="131"/>
    </row>
    <row r="266" spans="7:10" ht="12.75" customHeight="1" x14ac:dyDescent="0.25">
      <c r="G266" s="131"/>
      <c r="H266" s="131"/>
      <c r="I266" s="131"/>
      <c r="J266" s="131"/>
    </row>
    <row r="267" spans="7:10" ht="12.75" customHeight="1" x14ac:dyDescent="0.25">
      <c r="G267" s="131"/>
      <c r="H267" s="131"/>
      <c r="I267" s="131"/>
      <c r="J267" s="131"/>
    </row>
    <row r="268" spans="7:10" ht="12.75" customHeight="1" x14ac:dyDescent="0.25">
      <c r="G268" s="131"/>
      <c r="H268" s="131"/>
      <c r="I268" s="131"/>
      <c r="J268" s="131"/>
    </row>
    <row r="269" spans="7:10" ht="12.75" customHeight="1" x14ac:dyDescent="0.25">
      <c r="G269" s="131"/>
      <c r="H269" s="131"/>
      <c r="I269" s="131"/>
      <c r="J269" s="131"/>
    </row>
    <row r="270" spans="7:10" ht="12.75" customHeight="1" x14ac:dyDescent="0.25">
      <c r="G270" s="131"/>
      <c r="H270" s="131"/>
      <c r="I270" s="131"/>
      <c r="J270" s="131"/>
    </row>
    <row r="271" spans="7:10" ht="12.75" customHeight="1" x14ac:dyDescent="0.25">
      <c r="G271" s="131"/>
      <c r="H271" s="131"/>
      <c r="I271" s="131"/>
      <c r="J271" s="131"/>
    </row>
    <row r="272" spans="7:10" ht="12.75" customHeight="1" x14ac:dyDescent="0.25">
      <c r="G272" s="131"/>
      <c r="H272" s="131"/>
      <c r="I272" s="131"/>
      <c r="J272" s="131"/>
    </row>
    <row r="273" spans="7:10" ht="12.75" customHeight="1" x14ac:dyDescent="0.25">
      <c r="G273" s="131"/>
      <c r="H273" s="131"/>
      <c r="I273" s="131"/>
      <c r="J273" s="131"/>
    </row>
    <row r="274" spans="7:10" ht="12.75" customHeight="1" x14ac:dyDescent="0.25">
      <c r="G274" s="131"/>
      <c r="H274" s="131"/>
      <c r="I274" s="131"/>
      <c r="J274" s="131"/>
    </row>
    <row r="275" spans="7:10" ht="12.75" customHeight="1" x14ac:dyDescent="0.25"/>
    <row r="276" spans="7:10" ht="12.75" customHeight="1" x14ac:dyDescent="0.25"/>
    <row r="277" spans="7:10" ht="12.75" customHeight="1" x14ac:dyDescent="0.25"/>
    <row r="278" spans="7:10" ht="12.75" customHeight="1" x14ac:dyDescent="0.25"/>
    <row r="279" spans="7:10" ht="12.75" customHeight="1" x14ac:dyDescent="0.25"/>
    <row r="280" spans="7:10" ht="12.75" customHeight="1" x14ac:dyDescent="0.25"/>
    <row r="281" spans="7:10" ht="12.75" customHeight="1" x14ac:dyDescent="0.25"/>
    <row r="282" spans="7:10" ht="12.75" customHeight="1" x14ac:dyDescent="0.25"/>
    <row r="283" spans="7:10" ht="12.75" customHeight="1" x14ac:dyDescent="0.25"/>
    <row r="284" spans="7:10" ht="12.75" customHeight="1" x14ac:dyDescent="0.25"/>
    <row r="285" spans="7:10" ht="12.75" customHeight="1" x14ac:dyDescent="0.25"/>
    <row r="286" spans="7:10" ht="12.75" customHeight="1" x14ac:dyDescent="0.25"/>
    <row r="287" spans="7:10" ht="12.75" customHeight="1" x14ac:dyDescent="0.25"/>
    <row r="288" spans="7:10"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sheetData>
  <mergeCells count="2">
    <mergeCell ref="K1:O1"/>
    <mergeCell ref="P25:P26"/>
  </mergeCells>
  <pageMargins left="0.36" right="0.3" top="0.59" bottom="0.42" header="0.46" footer="0.67"/>
  <pageSetup scale="54"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A9879-F234-494F-A912-F929EAA03D28}">
  <dimension ref="A1:X57"/>
  <sheetViews>
    <sheetView showGridLines="0" zoomScale="82" workbookViewId="0">
      <selection activeCell="D5" sqref="D5"/>
    </sheetView>
  </sheetViews>
  <sheetFormatPr defaultRowHeight="13.2" x14ac:dyDescent="0.25"/>
  <cols>
    <col min="1" max="1" width="32" bestFit="1" customWidth="1"/>
    <col min="2" max="2" width="13.77734375" customWidth="1"/>
    <col min="3" max="3" width="23.6640625" bestFit="1" customWidth="1"/>
    <col min="4" max="4" width="13.21875" customWidth="1"/>
    <col min="5" max="5" width="14.109375" customWidth="1"/>
    <col min="6" max="6" width="10.88671875" bestFit="1" customWidth="1"/>
    <col min="7" max="7" width="15.21875" customWidth="1"/>
    <col min="8" max="8" width="16.5546875" customWidth="1"/>
    <col min="9" max="10" width="8.88671875" bestFit="1" customWidth="1"/>
    <col min="13" max="13" width="23.44140625" bestFit="1" customWidth="1"/>
    <col min="14" max="14" width="14.109375" bestFit="1" customWidth="1"/>
  </cols>
  <sheetData>
    <row r="1" spans="1:24" ht="21" x14ac:dyDescent="0.4">
      <c r="A1" s="73" t="s">
        <v>272</v>
      </c>
      <c r="N1" s="476" t="s">
        <v>326</v>
      </c>
      <c r="O1" s="477"/>
      <c r="P1" s="477"/>
      <c r="Q1" s="477"/>
      <c r="R1" s="477"/>
      <c r="S1" s="477"/>
      <c r="T1" s="477"/>
      <c r="U1" s="477"/>
      <c r="V1" s="477"/>
      <c r="W1" s="477"/>
      <c r="X1" s="478"/>
    </row>
    <row r="2" spans="1:24" ht="13.8" thickBot="1" x14ac:dyDescent="0.3">
      <c r="A2" s="1" t="s">
        <v>273</v>
      </c>
      <c r="N2" s="226"/>
      <c r="O2" s="227">
        <v>2020</v>
      </c>
      <c r="P2" s="227">
        <v>2021</v>
      </c>
      <c r="Q2" s="227">
        <v>2022</v>
      </c>
      <c r="R2" s="227">
        <f>Q2+1</f>
        <v>2023</v>
      </c>
      <c r="S2" s="227">
        <f>R2+1</f>
        <v>2024</v>
      </c>
      <c r="T2" s="227">
        <v>2025</v>
      </c>
      <c r="U2" s="227">
        <f>T2+1</f>
        <v>2026</v>
      </c>
      <c r="V2" s="227">
        <f>U2+1</f>
        <v>2027</v>
      </c>
      <c r="W2" s="227">
        <f>V2+1</f>
        <v>2028</v>
      </c>
      <c r="X2" s="228">
        <f>W2+1</f>
        <v>2029</v>
      </c>
    </row>
    <row r="3" spans="1:24" x14ac:dyDescent="0.25">
      <c r="A3" s="2" t="s">
        <v>5</v>
      </c>
      <c r="B3" s="215" t="s">
        <v>274</v>
      </c>
      <c r="C3" s="215" t="s">
        <v>275</v>
      </c>
      <c r="D3" s="215" t="s">
        <v>276</v>
      </c>
      <c r="E3" s="215" t="s">
        <v>277</v>
      </c>
      <c r="F3" s="407" t="s">
        <v>278</v>
      </c>
      <c r="G3" s="410"/>
      <c r="H3" s="169"/>
      <c r="M3" s="226" t="s">
        <v>327</v>
      </c>
      <c r="N3" s="229">
        <f>'2. Balance Sheet'!F13-'2. Balance Sheet'!F30</f>
        <v>9146</v>
      </c>
      <c r="O3" s="229">
        <f>'2. Balance Sheet'!E13-'2. Balance Sheet'!E30</f>
        <v>17022</v>
      </c>
      <c r="P3" s="229">
        <f>'2. Balance Sheet'!D13-'2. Balance Sheet'!D30</f>
        <v>9120</v>
      </c>
      <c r="Q3" s="229">
        <f>'2. Balance Sheet'!C13-'2. Balance Sheet'!C30</f>
        <v>-4460</v>
      </c>
      <c r="R3" s="229">
        <f>'2. Balance Sheet'!B13-'2. Balance Sheet'!B30</f>
        <v>7363</v>
      </c>
      <c r="S3" s="230">
        <f>'5. Projected Analysis'!K4/'5. DCF'!S4</f>
        <v>-10848.41</v>
      </c>
      <c r="T3" s="230">
        <f>'5. Projected Analysis'!L4/'5. DCF'!T4</f>
        <v>-891.6774999999999</v>
      </c>
      <c r="U3" s="230">
        <f>'5. Projected Analysis'!M4/'5. DCF'!U4</f>
        <v>-3274.0601249999995</v>
      </c>
      <c r="V3" s="230">
        <f>'5. Projected Analysis'!N4/'5. DCF'!V4</f>
        <v>-4251.1589125</v>
      </c>
      <c r="W3" s="231">
        <f>'5. Projected Analysis'!O4/'5. DCF'!W4</f>
        <v>3900.790185625</v>
      </c>
    </row>
    <row r="4" spans="1:24" x14ac:dyDescent="0.25">
      <c r="A4" s="7" t="s">
        <v>279</v>
      </c>
      <c r="B4" s="212">
        <f>'4. Valuation 1-3'!E21</f>
        <v>155614.872</v>
      </c>
      <c r="C4" s="213">
        <f>B4/B6</f>
        <v>0.7074500720729987</v>
      </c>
      <c r="D4" s="214">
        <f>+C8+(C11*C10)</f>
        <v>7.4552399999999991E-2</v>
      </c>
      <c r="E4" s="214">
        <f>+D4</f>
        <v>7.4552399999999991E-2</v>
      </c>
      <c r="F4" s="408">
        <f>+E4*C4</f>
        <v>5.2742100753215025E-2</v>
      </c>
      <c r="G4" s="411"/>
      <c r="H4" s="6"/>
      <c r="M4" s="226" t="s">
        <v>328</v>
      </c>
      <c r="N4" s="227"/>
      <c r="O4" s="227"/>
      <c r="P4" s="227"/>
      <c r="Q4" s="227"/>
      <c r="R4" s="227"/>
      <c r="S4" s="230">
        <f>'5. Projected Analysis'!F4/(('5. DCF'!P5+'5. DCF'!Q5)/2)</f>
        <v>-5.9237501163765014</v>
      </c>
      <c r="T4" s="227">
        <f>'5. Projected Analysis'!K4/(('5. DCF'!Q5+'5. DCF'!R5)/2)</f>
        <v>-73.151132612407523</v>
      </c>
      <c r="U4" s="227">
        <f>'5. Projected Analysis'!L4/(('5. DCF'!R5+'5. DCF'!S5)/2)</f>
        <v>-20.420486177311727</v>
      </c>
      <c r="V4" s="227">
        <f>'5. Projected Analysis'!M4/(('5. DCF'!S5+'5. DCF'!T5)/2)</f>
        <v>-16.198791418865241</v>
      </c>
      <c r="W4" s="228">
        <f>'5. Projected Analysis'!N4/(('5. DCF'!T5+'5. DCF'!U5)/2)</f>
        <v>18.183378810986731</v>
      </c>
    </row>
    <row r="5" spans="1:24" ht="13.8" thickBot="1" x14ac:dyDescent="0.3">
      <c r="A5" s="7" t="s">
        <v>280</v>
      </c>
      <c r="B5" s="212">
        <f>'4. Valuation 1-3'!F21</f>
        <v>64351</v>
      </c>
      <c r="C5" s="213">
        <f>B5/B6</f>
        <v>0.29254992792700135</v>
      </c>
      <c r="D5" s="218">
        <f>'1. Income Statement'!B20/'5. DCF'!B5</f>
        <v>6.8188528538795048E-2</v>
      </c>
      <c r="E5" s="218">
        <f>D5*(1-C12)</f>
        <v>6.8426504208630057E-2</v>
      </c>
      <c r="F5" s="408">
        <f>C5*E5</f>
        <v>2.0018168874531377E-2</v>
      </c>
      <c r="G5" s="411"/>
      <c r="H5" s="6"/>
      <c r="M5" s="232" t="s">
        <v>329</v>
      </c>
      <c r="N5" s="233"/>
      <c r="O5" s="234">
        <f t="shared" ref="O5:W5" si="0">O3-N3</f>
        <v>7876</v>
      </c>
      <c r="P5" s="234">
        <f t="shared" si="0"/>
        <v>-7902</v>
      </c>
      <c r="Q5" s="234">
        <f t="shared" si="0"/>
        <v>-13580</v>
      </c>
      <c r="R5" s="234">
        <f t="shared" si="0"/>
        <v>11823</v>
      </c>
      <c r="S5" s="234">
        <f t="shared" si="0"/>
        <v>-18211.41</v>
      </c>
      <c r="T5" s="234">
        <f t="shared" si="0"/>
        <v>9956.7325000000001</v>
      </c>
      <c r="U5" s="234">
        <f t="shared" si="0"/>
        <v>-2382.3826249999997</v>
      </c>
      <c r="V5" s="234">
        <f t="shared" si="0"/>
        <v>-977.09878750000053</v>
      </c>
      <c r="W5" s="235">
        <f t="shared" si="0"/>
        <v>8151.9490981250001</v>
      </c>
    </row>
    <row r="6" spans="1:24" x14ac:dyDescent="0.25">
      <c r="A6" s="2" t="s">
        <v>281</v>
      </c>
      <c r="B6" s="216">
        <f>SUM(B4:B5)</f>
        <v>219965.872</v>
      </c>
      <c r="C6" s="217">
        <f>C4+C5</f>
        <v>1</v>
      </c>
      <c r="D6" s="2"/>
      <c r="E6" s="2"/>
      <c r="F6" s="409">
        <f>SUM(F4:F5)</f>
        <v>7.2760269627746399E-2</v>
      </c>
      <c r="G6" s="411"/>
      <c r="H6" s="6"/>
      <c r="T6" s="222"/>
    </row>
    <row r="7" spans="1:24" x14ac:dyDescent="0.25">
      <c r="A7" s="118"/>
      <c r="H7" s="6"/>
      <c r="U7" s="222"/>
    </row>
    <row r="8" spans="1:24" x14ac:dyDescent="0.25">
      <c r="A8" s="118" t="s">
        <v>322</v>
      </c>
      <c r="C8" s="170">
        <v>4.1309999999999999E-2</v>
      </c>
      <c r="D8" t="s">
        <v>138</v>
      </c>
      <c r="H8" s="6"/>
      <c r="U8" s="222"/>
    </row>
    <row r="9" spans="1:24" x14ac:dyDescent="0.25">
      <c r="A9" s="118" t="s">
        <v>376</v>
      </c>
      <c r="C9" s="275">
        <v>9.9629999999999996E-2</v>
      </c>
      <c r="D9" s="207" t="s">
        <v>138</v>
      </c>
      <c r="H9" s="6"/>
      <c r="U9" s="222"/>
    </row>
    <row r="10" spans="1:24" x14ac:dyDescent="0.25">
      <c r="A10" s="118" t="s">
        <v>282</v>
      </c>
      <c r="C10" s="275">
        <f>C9-C8</f>
        <v>5.8319999999999997E-2</v>
      </c>
      <c r="D10" t="s">
        <v>349</v>
      </c>
      <c r="H10" s="6"/>
    </row>
    <row r="11" spans="1:24" x14ac:dyDescent="0.25">
      <c r="A11" s="118" t="s">
        <v>283</v>
      </c>
      <c r="C11" s="171">
        <v>0.56999999999999995</v>
      </c>
      <c r="H11" s="6"/>
    </row>
    <row r="12" spans="1:24" x14ac:dyDescent="0.25">
      <c r="A12" s="118" t="s">
        <v>284</v>
      </c>
      <c r="C12" s="170">
        <f>'1. Income Statement'!B23/'1. Income Statement'!B22</f>
        <v>-3.4899663467530847E-3</v>
      </c>
      <c r="H12" s="6"/>
    </row>
    <row r="13" spans="1:24" ht="13.8" thickBot="1" x14ac:dyDescent="0.3">
      <c r="A13" s="126"/>
      <c r="B13" s="45"/>
      <c r="C13" s="45"/>
      <c r="D13" s="45"/>
      <c r="E13" s="45"/>
      <c r="F13" s="45"/>
      <c r="G13" s="45"/>
      <c r="H13" s="125"/>
      <c r="U13" s="1"/>
    </row>
    <row r="14" spans="1:24" x14ac:dyDescent="0.25">
      <c r="A14" s="1"/>
      <c r="U14" s="222"/>
    </row>
    <row r="15" spans="1:24" ht="21" x14ac:dyDescent="0.4">
      <c r="A15" s="73" t="s">
        <v>323</v>
      </c>
      <c r="U15" s="222"/>
    </row>
    <row r="16" spans="1:24" ht="21.6" thickBot="1" x14ac:dyDescent="0.45">
      <c r="A16" s="73"/>
      <c r="C16" s="172" t="s">
        <v>285</v>
      </c>
      <c r="D16" s="173">
        <v>1</v>
      </c>
      <c r="E16" s="173">
        <v>2</v>
      </c>
      <c r="F16" s="173">
        <v>3</v>
      </c>
      <c r="G16" s="173">
        <v>4</v>
      </c>
      <c r="H16" s="173">
        <v>5</v>
      </c>
    </row>
    <row r="17" spans="1:8" x14ac:dyDescent="0.25">
      <c r="A17" s="1" t="s">
        <v>286</v>
      </c>
      <c r="B17" s="174" t="s">
        <v>287</v>
      </c>
      <c r="C17" s="175" t="s">
        <v>288</v>
      </c>
      <c r="H17" s="175" t="s">
        <v>289</v>
      </c>
    </row>
    <row r="18" spans="1:8" s="26" customFormat="1" ht="13.8" thickBot="1" x14ac:dyDescent="0.3">
      <c r="B18" s="210" t="s">
        <v>290</v>
      </c>
      <c r="C18" s="211">
        <v>2024</v>
      </c>
      <c r="D18" s="211">
        <v>2025</v>
      </c>
      <c r="E18" s="211">
        <f>D18+1</f>
        <v>2026</v>
      </c>
      <c r="F18" s="211">
        <f>E18+1</f>
        <v>2027</v>
      </c>
      <c r="G18" s="211">
        <f>F18+1</f>
        <v>2028</v>
      </c>
      <c r="H18" s="211">
        <f>G18+1</f>
        <v>2029</v>
      </c>
    </row>
    <row r="19" spans="1:8" x14ac:dyDescent="0.25">
      <c r="A19" t="s">
        <v>291</v>
      </c>
      <c r="B19" s="72"/>
      <c r="C19" s="176">
        <f>'[1]5. Projected Analysis'!F4</f>
        <v>63627</v>
      </c>
      <c r="D19" s="176">
        <f>'[1]5. Projected Analysis'!K4</f>
        <v>64263.270000000004</v>
      </c>
      <c r="E19" s="176">
        <f>'[1]5. Projected Analysis'!L4</f>
        <v>65227.21905</v>
      </c>
      <c r="F19" s="176">
        <f>'[1]5. Projected Analysis'!M4</f>
        <v>66857.899526249996</v>
      </c>
      <c r="G19" s="176">
        <f>'[1]5. Projected Analysis'!N4</f>
        <v>68863.636512037498</v>
      </c>
      <c r="H19" s="176">
        <f>+G19*(1+H20)</f>
        <v>70929.545607398628</v>
      </c>
    </row>
    <row r="20" spans="1:8" x14ac:dyDescent="0.25">
      <c r="A20" t="s">
        <v>292</v>
      </c>
      <c r="B20" s="177"/>
      <c r="C20" s="269">
        <f>'[1]5. Projected Analysis'!K16</f>
        <v>0.01</v>
      </c>
      <c r="D20" s="269">
        <f>'[1]5. Projected Analysis'!K16</f>
        <v>0.01</v>
      </c>
      <c r="E20" s="269">
        <f>'[1]5. Projected Analysis'!L16</f>
        <v>1.4999999999999999E-2</v>
      </c>
      <c r="F20" s="269">
        <f>'[1]5. Projected Analysis'!M16</f>
        <v>2.5000000000000001E-2</v>
      </c>
      <c r="G20" s="269">
        <f>'[1]5. Projected Analysis'!N16</f>
        <v>0.03</v>
      </c>
      <c r="H20" s="269">
        <f>'[1]5. Projected Analysis'!O16</f>
        <v>0.03</v>
      </c>
    </row>
    <row r="21" spans="1:8" x14ac:dyDescent="0.25">
      <c r="B21" s="177"/>
      <c r="C21" s="176"/>
      <c r="D21" s="178"/>
      <c r="E21" s="178"/>
      <c r="F21" s="178"/>
      <c r="G21" s="178"/>
      <c r="H21" s="180"/>
    </row>
    <row r="22" spans="1:8" x14ac:dyDescent="0.25">
      <c r="A22" t="s">
        <v>293</v>
      </c>
      <c r="B22" s="181"/>
      <c r="C22" s="176">
        <f>-'[1]5. Projected Analysis'!F5</f>
        <v>-17851</v>
      </c>
      <c r="D22" s="176">
        <f>-'[1]5. Projected Analysis'!K5</f>
        <v>-17351.082900000001</v>
      </c>
      <c r="E22" s="176">
        <f>-'[1]5. Projected Analysis'!L5</f>
        <v>-17611.349143500003</v>
      </c>
      <c r="F22" s="176">
        <f>-'[1]5. Projected Analysis'!M5</f>
        <v>-18051.632872087503</v>
      </c>
      <c r="G22" s="176">
        <f>-'[1]5. Projected Analysis'!N5</f>
        <v>-18593.181858250129</v>
      </c>
      <c r="H22" s="176">
        <f>-'[1]5. Projected Analysis'!O5</f>
        <v>-19150.977313997631</v>
      </c>
    </row>
    <row r="23" spans="1:8" x14ac:dyDescent="0.25">
      <c r="B23" s="181"/>
      <c r="C23" s="180"/>
      <c r="D23" s="178"/>
      <c r="E23" s="178"/>
      <c r="F23" s="178"/>
      <c r="G23" s="178"/>
      <c r="H23" s="180"/>
    </row>
    <row r="24" spans="1:8" x14ac:dyDescent="0.25">
      <c r="A24" t="s">
        <v>294</v>
      </c>
      <c r="B24" s="181"/>
      <c r="C24" s="182">
        <f>-'[1]5. Projected Analysis'!F7</f>
        <v>-33365</v>
      </c>
      <c r="D24" s="182">
        <f>-'[1]5. Projected Analysis'!K7</f>
        <v>-32131.635000000002</v>
      </c>
      <c r="E24" s="182">
        <f>-'[1]5. Projected Analysis'!L7</f>
        <v>-31961.3373345</v>
      </c>
      <c r="F24" s="182">
        <f>-'[1]5. Projected Analysis'!M7</f>
        <v>-32091.791772599998</v>
      </c>
      <c r="G24" s="182">
        <f>-'[1]5. Projected Analysis'!N7</f>
        <v>-32365.909160657622</v>
      </c>
      <c r="H24" s="182">
        <f>-'[1]5. Projected Analysis'!O7</f>
        <v>-31918.295523329383</v>
      </c>
    </row>
    <row r="25" spans="1:8" x14ac:dyDescent="0.25">
      <c r="A25" t="s">
        <v>295</v>
      </c>
      <c r="C25" s="176">
        <f t="shared" ref="C25:H25" si="1">+C19+C22+C24</f>
        <v>12411</v>
      </c>
      <c r="D25" s="35">
        <f t="shared" si="1"/>
        <v>14780.552100000001</v>
      </c>
      <c r="E25" s="35">
        <f t="shared" si="1"/>
        <v>15654.532571999996</v>
      </c>
      <c r="F25" s="35">
        <f t="shared" si="1"/>
        <v>16714.474881562495</v>
      </c>
      <c r="G25" s="35">
        <f t="shared" si="1"/>
        <v>17904.545493129746</v>
      </c>
      <c r="H25" s="176">
        <f t="shared" si="1"/>
        <v>19860.272770071613</v>
      </c>
    </row>
    <row r="26" spans="1:8" x14ac:dyDescent="0.25">
      <c r="A26" t="s">
        <v>296</v>
      </c>
      <c r="B26" s="177"/>
      <c r="C26" s="176">
        <f>-'[1]5. Projected Analysis'!F12</f>
        <v>28</v>
      </c>
      <c r="D26" s="35">
        <f>-'[1]5. Projected Analysis'!K12</f>
        <v>-723.85163262771357</v>
      </c>
      <c r="E26" s="35">
        <f>-'[1]5. Projected Analysis'!L12</f>
        <v>-1045.9193808217703</v>
      </c>
      <c r="F26" s="35">
        <f>-'[1]5. Projected Analysis'!M12</f>
        <v>-1141.5801984782561</v>
      </c>
      <c r="G26" s="35">
        <f>-'[1]5. Projected Analysis'!N12</f>
        <v>-1403.607690332012</v>
      </c>
      <c r="H26" s="35">
        <f>-'[1]5. Projected Analysis'!O12</f>
        <v>-2299.3342049306798</v>
      </c>
    </row>
    <row r="27" spans="1:8" x14ac:dyDescent="0.25">
      <c r="A27" t="s">
        <v>297</v>
      </c>
      <c r="B27" s="177"/>
      <c r="C27" s="176">
        <f>'[1]5. Projected Analysis'!F22</f>
        <v>7013</v>
      </c>
      <c r="D27" s="35">
        <f>'[1]5. Projected Analysis'!K22</f>
        <v>5673.7686274385605</v>
      </c>
      <c r="E27" s="35">
        <f>'[1]5. Projected Analysis'!L22</f>
        <v>5758.8751568501384</v>
      </c>
      <c r="F27" s="35">
        <f>'[1]5. Projected Analysis'!M22</f>
        <v>5902.8470357713913</v>
      </c>
      <c r="G27" s="35">
        <f>'[1]5. Projected Analysis'!N22</f>
        <v>6079.9324468445329</v>
      </c>
      <c r="H27" s="35">
        <f>'[1]5. Projected Analysis'!O22</f>
        <v>6262.3304202498693</v>
      </c>
    </row>
    <row r="28" spans="1:8" x14ac:dyDescent="0.25">
      <c r="A28" t="s">
        <v>298</v>
      </c>
      <c r="B28" s="177"/>
      <c r="C28" s="176">
        <f>'[1]5. Projected Analysis'!F23</f>
        <v>2909</v>
      </c>
      <c r="D28" s="35">
        <f>-'[1]5. Projected Analysis'!K23</f>
        <v>-2891.8471500000001</v>
      </c>
      <c r="E28" s="35">
        <f>-'[1]5. Projected Analysis'!L23</f>
        <v>-2739.5432001000004</v>
      </c>
      <c r="F28" s="35">
        <f>-'[1]5. Projected Analysis'!M23</f>
        <v>-2674.3159810499997</v>
      </c>
      <c r="G28" s="35">
        <f>-'[1]5. Projected Analysis'!N23</f>
        <v>-2754.5454604815</v>
      </c>
      <c r="H28" s="35">
        <f>-'[1]5. Projected Analysis'!O23</f>
        <v>-2837.1818242959453</v>
      </c>
    </row>
    <row r="29" spans="1:8" ht="13.8" thickBot="1" x14ac:dyDescent="0.3">
      <c r="A29" t="s">
        <v>28</v>
      </c>
      <c r="C29" s="183">
        <f t="shared" ref="C29:H29" si="2">SUM(C25:C28)</f>
        <v>22361</v>
      </c>
      <c r="D29" s="183">
        <f t="shared" si="2"/>
        <v>16838.621944810846</v>
      </c>
      <c r="E29" s="183">
        <f t="shared" si="2"/>
        <v>17627.945147928363</v>
      </c>
      <c r="F29" s="183">
        <f t="shared" si="2"/>
        <v>18801.425737805632</v>
      </c>
      <c r="G29" s="183">
        <f t="shared" si="2"/>
        <v>19826.324789160768</v>
      </c>
      <c r="H29" s="183">
        <f t="shared" si="2"/>
        <v>20986.087161094856</v>
      </c>
    </row>
    <row r="30" spans="1:8" ht="13.8" thickTop="1" x14ac:dyDescent="0.25">
      <c r="C30" s="35"/>
      <c r="D30" s="35"/>
      <c r="E30" s="35"/>
      <c r="F30" s="35"/>
      <c r="G30" s="35"/>
      <c r="H30" s="176"/>
    </row>
    <row r="31" spans="1:8" x14ac:dyDescent="0.25">
      <c r="A31" t="s">
        <v>255</v>
      </c>
      <c r="C31" s="36">
        <f t="shared" ref="C31:H31" si="3">+C25+C27</f>
        <v>19424</v>
      </c>
      <c r="D31" s="36">
        <f t="shared" si="3"/>
        <v>20454.32072743856</v>
      </c>
      <c r="E31" s="36">
        <f t="shared" si="3"/>
        <v>21413.407728850136</v>
      </c>
      <c r="F31" s="36">
        <f t="shared" si="3"/>
        <v>22617.321917333888</v>
      </c>
      <c r="G31" s="36">
        <f t="shared" si="3"/>
        <v>23984.47793997428</v>
      </c>
      <c r="H31" s="184">
        <f t="shared" si="3"/>
        <v>26122.603190321483</v>
      </c>
    </row>
    <row r="32" spans="1:8" x14ac:dyDescent="0.25">
      <c r="H32" s="185"/>
    </row>
    <row r="33" spans="1:8" ht="13.8" thickBot="1" x14ac:dyDescent="0.3">
      <c r="A33" s="186" t="s">
        <v>299</v>
      </c>
      <c r="B33" s="187" t="s">
        <v>290</v>
      </c>
      <c r="H33" s="185"/>
    </row>
    <row r="34" spans="1:8" x14ac:dyDescent="0.25">
      <c r="A34" t="s">
        <v>300</v>
      </c>
      <c r="B34" s="219">
        <f>'[1]4. Valuation 1-3'!C24</f>
        <v>9.9568152685171309</v>
      </c>
      <c r="C34" s="188"/>
      <c r="D34" s="207" t="s">
        <v>301</v>
      </c>
      <c r="H34" s="189">
        <f>(+B34*H31)</f>
        <v>260097.93429880726</v>
      </c>
    </row>
    <row r="35" spans="1:8" x14ac:dyDescent="0.25">
      <c r="A35" t="s">
        <v>302</v>
      </c>
      <c r="B35" s="190">
        <f>+'[1]5. DCF'!G6</f>
        <v>8.9418384239827689E-2</v>
      </c>
      <c r="C35" s="191"/>
      <c r="D35" s="207" t="s">
        <v>303</v>
      </c>
      <c r="H35" s="176">
        <f>H29/(B35-H20)</f>
        <v>353191.81814822962</v>
      </c>
    </row>
    <row r="36" spans="1:8" x14ac:dyDescent="0.25">
      <c r="A36" t="s">
        <v>202</v>
      </c>
      <c r="H36" s="192">
        <f>+(H34+H35)/2</f>
        <v>306644.87622351845</v>
      </c>
    </row>
    <row r="37" spans="1:8" x14ac:dyDescent="0.25">
      <c r="A37" t="s">
        <v>304</v>
      </c>
      <c r="C37" s="67"/>
      <c r="H37" s="189">
        <f>-C55*0.75</f>
        <v>-48263.25</v>
      </c>
    </row>
    <row r="38" spans="1:8" x14ac:dyDescent="0.25">
      <c r="A38" t="s">
        <v>305</v>
      </c>
      <c r="C38" s="67"/>
      <c r="H38" s="193">
        <v>0</v>
      </c>
    </row>
    <row r="39" spans="1:8" x14ac:dyDescent="0.25">
      <c r="A39" t="s">
        <v>306</v>
      </c>
      <c r="H39" s="189">
        <f>H37+H36</f>
        <v>258381.62622351845</v>
      </c>
    </row>
    <row r="40" spans="1:8" x14ac:dyDescent="0.25">
      <c r="H40" s="185"/>
    </row>
    <row r="41" spans="1:8" x14ac:dyDescent="0.25">
      <c r="A41" t="s">
        <v>307</v>
      </c>
      <c r="C41" s="36"/>
      <c r="D41" s="36">
        <f>+D29</f>
        <v>16838.621944810846</v>
      </c>
      <c r="E41" s="36">
        <f>+E29</f>
        <v>17627.945147928363</v>
      </c>
      <c r="F41" s="36">
        <f>+F29</f>
        <v>18801.425737805632</v>
      </c>
      <c r="G41" s="36">
        <f>+G29</f>
        <v>19826.324789160768</v>
      </c>
      <c r="H41" s="184">
        <f>+H39+H29</f>
        <v>279367.71338461334</v>
      </c>
    </row>
    <row r="42" spans="1:8" x14ac:dyDescent="0.25">
      <c r="C42" s="67"/>
      <c r="D42" s="194" t="s">
        <v>308</v>
      </c>
      <c r="E42" s="194" t="s">
        <v>308</v>
      </c>
      <c r="F42" s="194" t="s">
        <v>308</v>
      </c>
      <c r="G42" s="194" t="s">
        <v>308</v>
      </c>
      <c r="H42" s="195" t="s">
        <v>308</v>
      </c>
    </row>
    <row r="43" spans="1:8" ht="16.8" x14ac:dyDescent="0.55000000000000004">
      <c r="A43" s="196"/>
      <c r="B43" s="208"/>
      <c r="C43" s="67"/>
      <c r="D43" s="197">
        <f>1/((1+'[1]5. DCF'!$E$4)^D16)</f>
        <v>0.9106646203425538</v>
      </c>
      <c r="E43" s="197">
        <f>1/((1+'[1]5. DCF'!$E$4)^E16)</f>
        <v>0.82931005074364761</v>
      </c>
      <c r="F43" s="197">
        <f>1/((1+'[1]5. DCF'!$E$4)^F16)</f>
        <v>0.75522332250672775</v>
      </c>
      <c r="G43" s="197">
        <f>1/((1+'[1]5. DCF'!$E$4)^G16)</f>
        <v>0.68775516026443129</v>
      </c>
      <c r="H43" s="197">
        <f>1/((1+'[1]5. DCF'!$E$4)^H16)</f>
        <v>0.62631429191084054</v>
      </c>
    </row>
    <row r="44" spans="1:8" x14ac:dyDescent="0.25">
      <c r="B44" s="196"/>
      <c r="C44" s="67"/>
      <c r="D44" s="194" t="s">
        <v>309</v>
      </c>
      <c r="E44" s="194" t="s">
        <v>309</v>
      </c>
      <c r="F44" s="194" t="s">
        <v>309</v>
      </c>
      <c r="G44" s="194" t="s">
        <v>309</v>
      </c>
      <c r="H44" s="194" t="s">
        <v>309</v>
      </c>
    </row>
    <row r="45" spans="1:8" x14ac:dyDescent="0.25">
      <c r="B45" s="196"/>
    </row>
    <row r="46" spans="1:8" x14ac:dyDescent="0.25">
      <c r="B46" s="196" t="s">
        <v>310</v>
      </c>
      <c r="C46" s="198">
        <f>+D43*D41</f>
        <v>15334.337260462964</v>
      </c>
      <c r="D46" s="199"/>
    </row>
    <row r="47" spans="1:8" x14ac:dyDescent="0.25">
      <c r="B47" s="196" t="s">
        <v>311</v>
      </c>
      <c r="C47" s="198">
        <f>+E43*E41</f>
        <v>14619.032085134708</v>
      </c>
    </row>
    <row r="48" spans="1:8" x14ac:dyDescent="0.25">
      <c r="B48" s="196" t="s">
        <v>312</v>
      </c>
      <c r="C48" s="198">
        <f>+F43*F41</f>
        <v>14199.275213569073</v>
      </c>
    </row>
    <row r="49" spans="1:4" x14ac:dyDescent="0.25">
      <c r="B49" s="196" t="s">
        <v>313</v>
      </c>
      <c r="C49" s="198">
        <f>+G43*G41</f>
        <v>13635.65718282393</v>
      </c>
    </row>
    <row r="50" spans="1:4" x14ac:dyDescent="0.25">
      <c r="B50" s="196" t="s">
        <v>314</v>
      </c>
      <c r="C50" s="198">
        <f>+H43*H41</f>
        <v>174971.99159123475</v>
      </c>
    </row>
    <row r="51" spans="1:4" ht="13.8" thickBot="1" x14ac:dyDescent="0.3">
      <c r="B51" s="196" t="s">
        <v>315</v>
      </c>
      <c r="C51" s="200">
        <f>SUM(C45:C50)</f>
        <v>232760.29333322542</v>
      </c>
      <c r="D51" s="207" t="s">
        <v>316</v>
      </c>
    </row>
    <row r="52" spans="1:4" ht="13.8" thickTop="1" x14ac:dyDescent="0.25">
      <c r="B52" s="196"/>
      <c r="C52" s="198"/>
    </row>
    <row r="53" spans="1:4" x14ac:dyDescent="0.25">
      <c r="B53" s="201" t="s">
        <v>317</v>
      </c>
      <c r="C53" s="202" t="s">
        <v>318</v>
      </c>
      <c r="D53" s="203"/>
    </row>
    <row r="54" spans="1:4" x14ac:dyDescent="0.25">
      <c r="B54" s="204" t="s">
        <v>319</v>
      </c>
      <c r="C54" s="198">
        <f>+C51</f>
        <v>232760.29333322542</v>
      </c>
    </row>
    <row r="55" spans="1:4" x14ac:dyDescent="0.25">
      <c r="B55" s="209" t="s">
        <v>320</v>
      </c>
      <c r="C55" s="36">
        <f>'[1]4. Valuation 1-3'!F3</f>
        <v>64351</v>
      </c>
    </row>
    <row r="56" spans="1:4" ht="13.8" thickBot="1" x14ac:dyDescent="0.3">
      <c r="B56" s="209" t="s">
        <v>321</v>
      </c>
      <c r="C56" s="36">
        <f>-'[1]4. Valuation 1-3'!G3</f>
        <v>-1043</v>
      </c>
    </row>
    <row r="57" spans="1:4" ht="14.4" thickBot="1" x14ac:dyDescent="0.3">
      <c r="A57" s="69" t="s">
        <v>324</v>
      </c>
      <c r="B57" s="205"/>
      <c r="C57" s="70">
        <f>+C55+C54+C56</f>
        <v>296068.29333322542</v>
      </c>
    </row>
  </sheetData>
  <mergeCells count="1">
    <mergeCell ref="N1:X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EC2F57474BB3740A4A520D6D1A23A2C" ma:contentTypeVersion="4" ma:contentTypeDescription="Create a new document." ma:contentTypeScope="" ma:versionID="600ea0f806c95076a04c6ec4a398fc53">
  <xsd:schema xmlns:xsd="http://www.w3.org/2001/XMLSchema" xmlns:xs="http://www.w3.org/2001/XMLSchema" xmlns:p="http://schemas.microsoft.com/office/2006/metadata/properties" xmlns:ns3="7697df0f-1807-457a-a458-79295021d9ff" targetNamespace="http://schemas.microsoft.com/office/2006/metadata/properties" ma:root="true" ma:fieldsID="ceb110a0adab504e39e0247028f3903a" ns3:_="">
    <xsd:import namespace="7697df0f-1807-457a-a458-79295021d9f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97df0f-1807-457a-a458-79295021d9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2E7FA5-C4D0-40A9-B527-BAE1FFB28533}">
  <ds:schemaRefs>
    <ds:schemaRef ds:uri="http://schemas.microsoft.com/office/2006/documentManagement/types"/>
    <ds:schemaRef ds:uri="http://www.w3.org/XML/1998/namespace"/>
    <ds:schemaRef ds:uri="http://purl.org/dc/dcmitype/"/>
    <ds:schemaRef ds:uri="http://schemas.microsoft.com/office/2006/metadata/properties"/>
    <ds:schemaRef ds:uri="http://purl.org/dc/elements/1.1/"/>
    <ds:schemaRef ds:uri="7697df0f-1807-457a-a458-79295021d9ff"/>
    <ds:schemaRef ds:uri="http://purl.org/dc/term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BB6B03EC-3FF1-4CCC-89BB-D2F5705CEC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97df0f-1807-457a-a458-79295021d9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1921B9-350D-4B3C-968D-E47C1B4383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Answer Sheet</vt:lpstr>
      <vt:lpstr>1. Income Statement</vt:lpstr>
      <vt:lpstr>2. Balance Sheet</vt:lpstr>
      <vt:lpstr>3. Cash Flow</vt:lpstr>
      <vt:lpstr>4. Valuation 1-3</vt:lpstr>
      <vt:lpstr>5. Projected Analysis</vt:lpstr>
      <vt:lpstr>5. DCF</vt:lpstr>
      <vt:lpstr>'5. Projected 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Antonuzzo</dc:creator>
  <cp:lastModifiedBy>andrea antonuzzo</cp:lastModifiedBy>
  <dcterms:created xsi:type="dcterms:W3CDTF">2025-10-06T23:45:56Z</dcterms:created>
  <dcterms:modified xsi:type="dcterms:W3CDTF">2026-01-25T23:15:51Z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2025-10-06T23:56:33Z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122ad743-56b3-477e-89e9-32fe2133614e</vt:lpwstr>
  </property>
  <property fmtid="{D5CDD505-2E9C-101B-9397-08002B2CF9AE}" pid="8" name="MSIP_Label_a73fd474-4f3c-44ed-88fb-5cc4bd2471bf_ContentBits">
    <vt:lpwstr>0</vt:lpwstr>
  </property>
  <property fmtid="{D5CDD505-2E9C-101B-9397-08002B2CF9AE}" pid="9" name="MSIP_Label_a73fd474-4f3c-44ed-88fb-5cc4bd2471bf_Tag">
    <vt:lpwstr>10, 3, 0, 1</vt:lpwstr>
  </property>
  <property fmtid="{D5CDD505-2E9C-101B-9397-08002B2CF9AE}" pid="10" name="ContentTypeId">
    <vt:lpwstr>0x0101002EC2F57474BB3740A4A520D6D1A23A2C</vt:lpwstr>
  </property>
</Properties>
</file>