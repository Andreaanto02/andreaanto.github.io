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defaultThemeVersion="124226"/>
  <mc:AlternateContent xmlns:mc="http://schemas.openxmlformats.org/markup-compatibility/2006">
    <mc:Choice Requires="x15">
      <x15ac:absPath xmlns:x15ac="http://schemas.microsoft.com/office/spreadsheetml/2010/11/ac" url="C:\Users\andre\Desktop\Sito Andrea\"/>
    </mc:Choice>
  </mc:AlternateContent>
  <xr:revisionPtr revIDLastSave="0" documentId="8_{D37EF013-9886-4F4B-9C0B-6A778124F13E}" xr6:coauthVersionLast="47" xr6:coauthVersionMax="47" xr10:uidLastSave="{00000000-0000-0000-0000-000000000000}"/>
  <bookViews>
    <workbookView xWindow="-108" yWindow="-108" windowWidth="23256" windowHeight="13896" firstSheet="15" activeTab="21" xr2:uid="{00000000-000D-0000-FFFF-FFFF00000000}"/>
  </bookViews>
  <sheets>
    <sheet name="NFLX Income Statement - GAAP" sheetId="2" r:id="rId1"/>
    <sheet name="NFLX Balance Sheet " sheetId="3" r:id="rId2"/>
    <sheet name="NFLX Cash Flow - Standardized" sheetId="4" r:id="rId3"/>
    <sheet name="NFLX DDIS" sheetId="5" r:id="rId4"/>
    <sheet name="PSKY Income Statement - GAAP " sheetId="6" r:id="rId5"/>
    <sheet name="PSKY Balance Sheet" sheetId="7" r:id="rId6"/>
    <sheet name="PSKY Cash Flow - Standardized" sheetId="8" r:id="rId7"/>
    <sheet name="PSKY DDIS" sheetId="9" r:id="rId8"/>
    <sheet name="WBD Income Statement - GAAP" sheetId="16" r:id="rId9"/>
    <sheet name="WBD Balance Sheet" sheetId="15" r:id="rId10"/>
    <sheet name="WBD Cash Flow - Standardized" sheetId="14" r:id="rId11"/>
    <sheet name="WBD DDIS" sheetId="26" r:id="rId12"/>
    <sheet name="WBD Adj Highlights" sheetId="12" r:id="rId13"/>
    <sheet name="WBD Benchmark" sheetId="17" r:id="rId14"/>
    <sheet name="WBD Profitability Ratios" sheetId="13" r:id="rId15"/>
    <sheet name="WBD Segments" sheetId="11" r:id="rId16"/>
    <sheet name="WBD SOTP" sheetId="18" r:id="rId17"/>
    <sheet name="Studios DCF" sheetId="27" r:id="rId18"/>
    <sheet name="Networks DCF" sheetId="21" r:id="rId19"/>
    <sheet name="Streaming DCF" sheetId="22" r:id="rId20"/>
    <sheet name="Bid Ceiling" sheetId="23" r:id="rId21"/>
    <sheet name="Results" sheetId="30" r:id="rId22"/>
  </sheets>
  <externalReferences>
    <externalReference r:id="rId23"/>
    <externalReference r:id="rId24"/>
  </externalReferences>
  <definedNames>
    <definedName name="Parent_Name">[1]SPWR!$E$7</definedName>
    <definedName name="Sub_Discount_Rate">#REF!</definedName>
    <definedName name="Sub_Name">[1]MAXN!$E$7</definedName>
    <definedName name="Sub_New_Share_Price">[1]MAXN_Adj!$E$12</definedName>
    <definedName name="Sub_Tax_Rate">[1]MAXN_Adj!$E$23</definedName>
    <definedName name="Sub_Terminal_Growth_Rate">#REF!</definedName>
    <definedName name="Sub_Terminal_Multiple">#REF!</definedName>
    <definedName name="Sub_Total_Shares">[1]MAXN_Adj!$E$21</definedName>
    <definedName name="tgr">'WBD SOTP'!$L$11</definedName>
    <definedName name="wacc">'WBD SOTP'!$L$10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30" l="1"/>
  <c r="L39" i="23"/>
  <c r="H52" i="23"/>
  <c r="I52" i="23" s="1"/>
  <c r="J52" i="23" s="1"/>
  <c r="K52" i="23" s="1"/>
  <c r="J53" i="23"/>
  <c r="K53" i="23" s="1"/>
  <c r="D53" i="23"/>
  <c r="E53" i="23" s="1"/>
  <c r="F53" i="23" s="1"/>
  <c r="G53" i="23" s="1"/>
  <c r="H53" i="23" s="1"/>
  <c r="I53" i="23" s="1"/>
  <c r="C53" i="23"/>
  <c r="D52" i="23"/>
  <c r="E52" i="23" s="1"/>
  <c r="F52" i="23" s="1"/>
  <c r="G52" i="23" s="1"/>
  <c r="C52" i="23"/>
  <c r="B54" i="23"/>
  <c r="B55" i="23" s="1"/>
  <c r="M7" i="2"/>
  <c r="E7" i="2"/>
  <c r="F7" i="2"/>
  <c r="G7" i="2"/>
  <c r="H7" i="2"/>
  <c r="I7" i="2"/>
  <c r="D7" i="2"/>
  <c r="B46" i="23"/>
  <c r="L40" i="23"/>
  <c r="B23" i="23"/>
  <c r="B19" i="23"/>
  <c r="B22" i="23"/>
  <c r="B32" i="9"/>
  <c r="B31" i="9"/>
  <c r="D71" i="26"/>
  <c r="D70" i="26"/>
  <c r="D69" i="26"/>
  <c r="B18" i="23"/>
  <c r="G11" i="5"/>
  <c r="G9" i="5"/>
  <c r="G7" i="5"/>
  <c r="G3" i="5"/>
  <c r="L3" i="5"/>
  <c r="L7" i="5"/>
  <c r="L9" i="5"/>
  <c r="L11" i="5"/>
  <c r="D17" i="5"/>
  <c r="D16" i="5"/>
  <c r="W12" i="18" a="1"/>
  <c r="W12" i="18" s="1"/>
  <c r="L75" i="18"/>
  <c r="K75" i="18"/>
  <c r="L140" i="18"/>
  <c r="L149" i="18" s="1"/>
  <c r="I132" i="18"/>
  <c r="K26" i="21"/>
  <c r="I63" i="18"/>
  <c r="I61" i="18"/>
  <c r="I64" i="18" s="1"/>
  <c r="I21" i="21"/>
  <c r="H21" i="21"/>
  <c r="G21" i="21"/>
  <c r="F21" i="21"/>
  <c r="F31" i="21"/>
  <c r="F30" i="21"/>
  <c r="F29" i="21"/>
  <c r="C29" i="21"/>
  <c r="H31" i="21"/>
  <c r="F27" i="21"/>
  <c r="F26" i="21"/>
  <c r="D15" i="21"/>
  <c r="E15" i="21"/>
  <c r="F15" i="21"/>
  <c r="G15" i="21"/>
  <c r="H15" i="21"/>
  <c r="I15" i="21"/>
  <c r="J15" i="21"/>
  <c r="K15" i="21"/>
  <c r="C15" i="21"/>
  <c r="J39" i="18"/>
  <c r="K39" i="18"/>
  <c r="L39" i="18"/>
  <c r="M39" i="18"/>
  <c r="N39" i="18"/>
  <c r="O39" i="18"/>
  <c r="P39" i="18"/>
  <c r="Q39" i="18"/>
  <c r="J38" i="18"/>
  <c r="K38" i="18"/>
  <c r="L38" i="18"/>
  <c r="M38" i="18"/>
  <c r="N38" i="18"/>
  <c r="O38" i="18"/>
  <c r="P38" i="18"/>
  <c r="Q38" i="18"/>
  <c r="I39" i="18"/>
  <c r="I38" i="18"/>
  <c r="U29" i="11"/>
  <c r="V29" i="11" s="1"/>
  <c r="T29" i="11"/>
  <c r="S29" i="11"/>
  <c r="R29" i="11"/>
  <c r="P29" i="11"/>
  <c r="O28" i="11"/>
  <c r="J9" i="23"/>
  <c r="J8" i="23" s="1"/>
  <c r="C29" i="23" s="1"/>
  <c r="J7" i="23"/>
  <c r="J5" i="23"/>
  <c r="J4" i="23" s="1"/>
  <c r="C27" i="23" s="1"/>
  <c r="J6" i="23"/>
  <c r="C28" i="23" s="1"/>
  <c r="C18" i="21"/>
  <c r="C21" i="21" s="1"/>
  <c r="D30" i="21"/>
  <c r="D29" i="21"/>
  <c r="E29" i="21"/>
  <c r="G29" i="21"/>
  <c r="G30" i="21" s="1"/>
  <c r="G31" i="21" s="1"/>
  <c r="H29" i="21"/>
  <c r="H30" i="21" s="1"/>
  <c r="I29" i="21"/>
  <c r="I30" i="21" s="1"/>
  <c r="J29" i="21"/>
  <c r="J30" i="21" s="1"/>
  <c r="K29" i="21"/>
  <c r="D26" i="21"/>
  <c r="E26" i="21"/>
  <c r="G26" i="21"/>
  <c r="G27" i="21" s="1"/>
  <c r="H26" i="21"/>
  <c r="I26" i="21"/>
  <c r="J26" i="21"/>
  <c r="C26" i="21"/>
  <c r="Q42" i="18"/>
  <c r="K15" i="22" s="1"/>
  <c r="D16" i="22"/>
  <c r="E16" i="22"/>
  <c r="F16" i="22"/>
  <c r="G16" i="22"/>
  <c r="H16" i="22"/>
  <c r="I16" i="22"/>
  <c r="J16" i="22"/>
  <c r="C16" i="22"/>
  <c r="D15" i="22"/>
  <c r="E15" i="22"/>
  <c r="F15" i="22"/>
  <c r="G15" i="22"/>
  <c r="H15" i="22"/>
  <c r="I15" i="22"/>
  <c r="J15" i="22"/>
  <c r="C15" i="22"/>
  <c r="T26" i="11"/>
  <c r="V26" i="11" s="1"/>
  <c r="W26" i="11" s="1"/>
  <c r="U26" i="11"/>
  <c r="J43" i="18"/>
  <c r="K43" i="18"/>
  <c r="L43" i="18"/>
  <c r="M43" i="18"/>
  <c r="N43" i="18"/>
  <c r="O43" i="18"/>
  <c r="P43" i="18"/>
  <c r="Q43" i="18"/>
  <c r="I43" i="18"/>
  <c r="U32" i="11"/>
  <c r="V32" i="11" s="1"/>
  <c r="W32" i="11" s="1"/>
  <c r="T32" i="11"/>
  <c r="J42" i="18"/>
  <c r="K42" i="18"/>
  <c r="L42" i="18"/>
  <c r="M42" i="18"/>
  <c r="G18" i="22" s="1"/>
  <c r="I42" i="18"/>
  <c r="S31" i="11"/>
  <c r="R31" i="11"/>
  <c r="R32" i="11"/>
  <c r="S32" i="11"/>
  <c r="F18" i="22"/>
  <c r="F21" i="22" s="1"/>
  <c r="C12" i="22"/>
  <c r="U12" i="11"/>
  <c r="V12" i="11"/>
  <c r="T12" i="11"/>
  <c r="S12" i="11"/>
  <c r="R12" i="11"/>
  <c r="I59" i="18"/>
  <c r="I58" i="18"/>
  <c r="R28" i="11"/>
  <c r="D15" i="27"/>
  <c r="E15" i="27"/>
  <c r="F15" i="27"/>
  <c r="G15" i="27"/>
  <c r="G18" i="27" s="1"/>
  <c r="C15" i="27"/>
  <c r="I34" i="18"/>
  <c r="T25" i="11"/>
  <c r="U25" i="11" s="1"/>
  <c r="S26" i="11"/>
  <c r="T27" i="11"/>
  <c r="D13" i="27"/>
  <c r="E13" i="27"/>
  <c r="F13" i="27"/>
  <c r="G13" i="27"/>
  <c r="H13" i="27"/>
  <c r="C13" i="27"/>
  <c r="J18" i="18"/>
  <c r="K18" i="18"/>
  <c r="L18" i="18"/>
  <c r="M18" i="18"/>
  <c r="G13" i="21" s="1"/>
  <c r="N18" i="18"/>
  <c r="H13" i="21" s="1"/>
  <c r="I18" i="18"/>
  <c r="U40" i="11"/>
  <c r="V40" i="11" s="1"/>
  <c r="T39" i="11"/>
  <c r="T40" i="11"/>
  <c r="S40" i="11"/>
  <c r="T41" i="11"/>
  <c r="S39" i="11"/>
  <c r="R39" i="11"/>
  <c r="R40" i="11" s="1"/>
  <c r="R43" i="11"/>
  <c r="R48" i="11"/>
  <c r="R49" i="11"/>
  <c r="L61" i="18"/>
  <c r="J61" i="18"/>
  <c r="I105" i="18"/>
  <c r="I21" i="18"/>
  <c r="J22" i="18"/>
  <c r="K22" i="18"/>
  <c r="L22" i="18"/>
  <c r="M22" i="18"/>
  <c r="N22" i="18"/>
  <c r="O22" i="18"/>
  <c r="P22" i="18"/>
  <c r="Q22" i="18"/>
  <c r="I22" i="18"/>
  <c r="T15" i="11"/>
  <c r="T14" i="11" s="1"/>
  <c r="U14" i="11" s="1"/>
  <c r="V14" i="11" s="1"/>
  <c r="F12" i="21"/>
  <c r="T28" i="11"/>
  <c r="K63" i="18"/>
  <c r="D23" i="21"/>
  <c r="E23" i="21"/>
  <c r="D30" i="27"/>
  <c r="R45" i="11"/>
  <c r="T30" i="11"/>
  <c r="U15" i="11"/>
  <c r="V15" i="11" s="1"/>
  <c r="S15" i="11"/>
  <c r="D13" i="21"/>
  <c r="E13" i="21"/>
  <c r="F13" i="21"/>
  <c r="C13" i="21"/>
  <c r="D12" i="21"/>
  <c r="E12" i="21"/>
  <c r="G12" i="21"/>
  <c r="C12" i="21"/>
  <c r="C27" i="21" s="1"/>
  <c r="D16" i="21"/>
  <c r="E18" i="21"/>
  <c r="F16" i="21"/>
  <c r="C18" i="27"/>
  <c r="C21" i="27" s="1"/>
  <c r="C33" i="27" s="1"/>
  <c r="E27" i="21"/>
  <c r="E31" i="21"/>
  <c r="E24" i="21"/>
  <c r="E30" i="21"/>
  <c r="K30" i="27"/>
  <c r="J30" i="27"/>
  <c r="I30" i="27"/>
  <c r="I31" i="27" s="1"/>
  <c r="H30" i="27"/>
  <c r="G30" i="27"/>
  <c r="F30" i="27"/>
  <c r="F31" i="27" s="1"/>
  <c r="E30" i="27"/>
  <c r="G31" i="27"/>
  <c r="F37" i="21"/>
  <c r="F36" i="21"/>
  <c r="G37" i="21" s="1"/>
  <c r="H37" i="21" s="1"/>
  <c r="I37" i="21" s="1"/>
  <c r="J37" i="21" s="1"/>
  <c r="K37" i="21" s="1"/>
  <c r="F36" i="27"/>
  <c r="L152" i="18"/>
  <c r="F35" i="22"/>
  <c r="E29" i="22"/>
  <c r="F29" i="22"/>
  <c r="G29" i="22"/>
  <c r="H29" i="22"/>
  <c r="I29" i="22"/>
  <c r="J29" i="22"/>
  <c r="K29" i="22"/>
  <c r="D29" i="22"/>
  <c r="D26" i="22"/>
  <c r="E26" i="22"/>
  <c r="D23" i="22"/>
  <c r="E23" i="22"/>
  <c r="F23" i="22"/>
  <c r="G23" i="22"/>
  <c r="H23" i="22"/>
  <c r="I23" i="22"/>
  <c r="J23" i="22"/>
  <c r="K23" i="22"/>
  <c r="D31" i="27"/>
  <c r="E31" i="27"/>
  <c r="H31" i="27"/>
  <c r="J31" i="27"/>
  <c r="K31" i="27"/>
  <c r="C23" i="22"/>
  <c r="C27" i="27"/>
  <c r="D27" i="27"/>
  <c r="E27" i="27"/>
  <c r="F27" i="27"/>
  <c r="G27" i="27"/>
  <c r="H27" i="27"/>
  <c r="I27" i="27"/>
  <c r="J27" i="27"/>
  <c r="K27" i="27"/>
  <c r="C24" i="27"/>
  <c r="D24" i="27"/>
  <c r="E24" i="27"/>
  <c r="F24" i="27"/>
  <c r="G24" i="27"/>
  <c r="H24" i="27"/>
  <c r="I24" i="27"/>
  <c r="J24" i="27"/>
  <c r="K24" i="27"/>
  <c r="F16" i="27"/>
  <c r="E16" i="27"/>
  <c r="D16" i="27"/>
  <c r="C16" i="27"/>
  <c r="D13" i="22"/>
  <c r="E13" i="22"/>
  <c r="F13" i="22"/>
  <c r="C13" i="22"/>
  <c r="D12" i="22"/>
  <c r="E12" i="22"/>
  <c r="F12" i="22"/>
  <c r="G12" i="22"/>
  <c r="H12" i="22"/>
  <c r="I12" i="22"/>
  <c r="J12" i="22"/>
  <c r="K12" i="22"/>
  <c r="C19" i="27"/>
  <c r="D19" i="27"/>
  <c r="D18" i="27" s="1"/>
  <c r="D21" i="27" s="1"/>
  <c r="D33" i="27" s="1"/>
  <c r="E19" i="27"/>
  <c r="E18" i="27" s="1"/>
  <c r="E21" i="27" s="1"/>
  <c r="E33" i="27" s="1"/>
  <c r="F19" i="27"/>
  <c r="F18" i="27" s="1"/>
  <c r="F21" i="27" s="1"/>
  <c r="G19" i="27"/>
  <c r="H19" i="27"/>
  <c r="I19" i="27"/>
  <c r="J19" i="27"/>
  <c r="K19" i="27"/>
  <c r="D6" i="22"/>
  <c r="D6" i="27"/>
  <c r="D10" i="22"/>
  <c r="E10" i="22" s="1"/>
  <c r="F10" i="22" s="1"/>
  <c r="G10" i="22" s="1"/>
  <c r="H10" i="22" s="1"/>
  <c r="I10" i="22" s="1"/>
  <c r="J10" i="22" s="1"/>
  <c r="K10" i="22" s="1"/>
  <c r="E10" i="21"/>
  <c r="F10" i="21" s="1"/>
  <c r="G10" i="21" s="1"/>
  <c r="H10" i="21" s="1"/>
  <c r="I10" i="21" s="1"/>
  <c r="J10" i="21" s="1"/>
  <c r="K10" i="21" s="1"/>
  <c r="D10" i="21"/>
  <c r="D10" i="27"/>
  <c r="E10" i="27" s="1"/>
  <c r="F10" i="27" s="1"/>
  <c r="G10" i="27" s="1"/>
  <c r="H10" i="27" s="1"/>
  <c r="I10" i="27" s="1"/>
  <c r="J10" i="27" s="1"/>
  <c r="K10" i="27" s="1"/>
  <c r="Q163" i="18" a="1"/>
  <c r="Q163" i="18" s="1"/>
  <c r="M51" i="18"/>
  <c r="N51" i="18"/>
  <c r="O51" i="18"/>
  <c r="P51" i="18"/>
  <c r="Q51" i="18"/>
  <c r="L51" i="18"/>
  <c r="K149" i="18"/>
  <c r="K138" i="18"/>
  <c r="J138" i="18"/>
  <c r="I138" i="18"/>
  <c r="K141" i="18"/>
  <c r="K144" i="18"/>
  <c r="J144" i="18"/>
  <c r="K147" i="18"/>
  <c r="I147" i="18"/>
  <c r="K133" i="18"/>
  <c r="J133" i="18"/>
  <c r="I133" i="18"/>
  <c r="K146" i="18"/>
  <c r="K143" i="18"/>
  <c r="J143" i="18"/>
  <c r="K140" i="18"/>
  <c r="K135" i="18"/>
  <c r="J135" i="18"/>
  <c r="I135" i="18"/>
  <c r="L133" i="18"/>
  <c r="K129" i="18"/>
  <c r="J129" i="18"/>
  <c r="I129" i="18"/>
  <c r="K132" i="18"/>
  <c r="J132" i="18"/>
  <c r="I146" i="18"/>
  <c r="L121" i="18"/>
  <c r="J121" i="18"/>
  <c r="K121" i="18"/>
  <c r="I121" i="18"/>
  <c r="I19" i="18"/>
  <c r="I107" i="18" s="1"/>
  <c r="R47" i="11"/>
  <c r="S47" i="11"/>
  <c r="S45" i="11" s="1"/>
  <c r="S46" i="11" s="1"/>
  <c r="S50" i="11"/>
  <c r="S49" i="11"/>
  <c r="T43" i="11"/>
  <c r="T42" i="11" s="1"/>
  <c r="T44" i="11" s="1"/>
  <c r="J100" i="18"/>
  <c r="K100" i="18"/>
  <c r="R42" i="11"/>
  <c r="P47" i="11"/>
  <c r="Q160" i="18"/>
  <c r="R41" i="11"/>
  <c r="Q159" i="18"/>
  <c r="I100" i="18"/>
  <c r="J30" i="18"/>
  <c r="K30" i="18"/>
  <c r="L30" i="18"/>
  <c r="M30" i="18"/>
  <c r="N30" i="18"/>
  <c r="O30" i="18"/>
  <c r="P30" i="18"/>
  <c r="Q30" i="18"/>
  <c r="I30" i="18"/>
  <c r="Q46" i="18"/>
  <c r="J29" i="18"/>
  <c r="K29" i="18"/>
  <c r="L29" i="18"/>
  <c r="L129" i="18" s="1"/>
  <c r="M29" i="18"/>
  <c r="N29" i="18"/>
  <c r="O29" i="18"/>
  <c r="P29" i="18"/>
  <c r="Q29" i="18"/>
  <c r="I29" i="18"/>
  <c r="J46" i="18"/>
  <c r="K46" i="18"/>
  <c r="L46" i="18"/>
  <c r="M46" i="18"/>
  <c r="N46" i="18"/>
  <c r="O46" i="18"/>
  <c r="P46" i="18"/>
  <c r="I46" i="18"/>
  <c r="S44" i="11"/>
  <c r="R44" i="11"/>
  <c r="J75" i="18"/>
  <c r="I75" i="18"/>
  <c r="S43" i="11"/>
  <c r="S42" i="11" s="1"/>
  <c r="J68" i="18"/>
  <c r="K68" i="18"/>
  <c r="J63" i="18"/>
  <c r="J58" i="18"/>
  <c r="K58" i="18"/>
  <c r="I68" i="18"/>
  <c r="J66" i="18"/>
  <c r="K66" i="18"/>
  <c r="K61" i="18"/>
  <c r="J56" i="18"/>
  <c r="K56" i="18"/>
  <c r="I66" i="18"/>
  <c r="I56" i="18"/>
  <c r="T38" i="11"/>
  <c r="T24" i="11"/>
  <c r="P38" i="11"/>
  <c r="J354" i="11"/>
  <c r="S41" i="11"/>
  <c r="S27" i="11"/>
  <c r="K352" i="11"/>
  <c r="J352" i="11"/>
  <c r="K358" i="11"/>
  <c r="J358" i="11"/>
  <c r="K356" i="11"/>
  <c r="K354" i="11"/>
  <c r="J356" i="11"/>
  <c r="J353" i="11"/>
  <c r="J359" i="11"/>
  <c r="K359" i="11" s="1"/>
  <c r="J357" i="11"/>
  <c r="K357" i="11" s="1"/>
  <c r="K355" i="11"/>
  <c r="J355" i="11"/>
  <c r="K353" i="11"/>
  <c r="R25" i="11"/>
  <c r="R26" i="11"/>
  <c r="O48" i="11"/>
  <c r="C54" i="23" l="1"/>
  <c r="C55" i="23" s="1"/>
  <c r="D54" i="23"/>
  <c r="B33" i="9"/>
  <c r="D18" i="5"/>
  <c r="C23" i="21"/>
  <c r="C33" i="21"/>
  <c r="E21" i="21"/>
  <c r="E33" i="21" s="1"/>
  <c r="F18" i="21"/>
  <c r="W29" i="11"/>
  <c r="K30" i="21"/>
  <c r="T31" i="11"/>
  <c r="N42" i="18" s="1"/>
  <c r="X32" i="11"/>
  <c r="Y32" i="11" s="1"/>
  <c r="Z32" i="11" s="1"/>
  <c r="G21" i="22"/>
  <c r="H18" i="22"/>
  <c r="H21" i="22" s="1"/>
  <c r="I13" i="27"/>
  <c r="G21" i="27"/>
  <c r="G33" i="27" s="1"/>
  <c r="G16" i="27"/>
  <c r="H13" i="22"/>
  <c r="G13" i="22"/>
  <c r="W40" i="11"/>
  <c r="X40" i="11"/>
  <c r="Y40" i="11"/>
  <c r="Z40" i="11"/>
  <c r="T49" i="11"/>
  <c r="D18" i="21"/>
  <c r="D21" i="21" s="1"/>
  <c r="D33" i="21" s="1"/>
  <c r="C16" i="21"/>
  <c r="C24" i="21"/>
  <c r="E16" i="21"/>
  <c r="G16" i="21"/>
  <c r="W15" i="11"/>
  <c r="W14" i="11" s="1"/>
  <c r="D27" i="21"/>
  <c r="D31" i="21"/>
  <c r="D24" i="21"/>
  <c r="H18" i="21"/>
  <c r="G18" i="21"/>
  <c r="F33" i="27"/>
  <c r="I122" i="18"/>
  <c r="J123" i="18"/>
  <c r="K122" i="18"/>
  <c r="J122" i="18"/>
  <c r="K123" i="18"/>
  <c r="I71" i="18"/>
  <c r="I77" i="18"/>
  <c r="I76" i="18"/>
  <c r="Q47" i="18"/>
  <c r="U38" i="11"/>
  <c r="V38" i="11"/>
  <c r="W38" i="11"/>
  <c r="X38" i="11"/>
  <c r="U41" i="11"/>
  <c r="J52" i="18"/>
  <c r="K52" i="18"/>
  <c r="I52" i="18"/>
  <c r="C28" i="16"/>
  <c r="D28" i="16"/>
  <c r="E28" i="16"/>
  <c r="F28" i="16"/>
  <c r="G28" i="16"/>
  <c r="H28" i="16"/>
  <c r="B28" i="16"/>
  <c r="J127" i="18"/>
  <c r="K127" i="18" s="1"/>
  <c r="L127" i="18" s="1"/>
  <c r="M127" i="18" s="1"/>
  <c r="N127" i="18" s="1"/>
  <c r="O127" i="18" s="1"/>
  <c r="P127" i="18" s="1"/>
  <c r="Q127" i="18" s="1"/>
  <c r="J103" i="18"/>
  <c r="K103" i="18" s="1"/>
  <c r="L103" i="18" s="1"/>
  <c r="M103" i="18" s="1"/>
  <c r="N103" i="18" s="1"/>
  <c r="O103" i="18" s="1"/>
  <c r="P103" i="18" s="1"/>
  <c r="Q103" i="18" s="1"/>
  <c r="J79" i="18"/>
  <c r="K79" i="18" s="1"/>
  <c r="L79" i="18" s="1"/>
  <c r="M79" i="18" s="1"/>
  <c r="N79" i="18" s="1"/>
  <c r="O79" i="18" s="1"/>
  <c r="P79" i="18" s="1"/>
  <c r="Q79" i="18" s="1"/>
  <c r="J54" i="18"/>
  <c r="K54" i="18" s="1"/>
  <c r="L54" i="18" s="1"/>
  <c r="M54" i="18" s="1"/>
  <c r="N54" i="18" s="1"/>
  <c r="O54" i="18" s="1"/>
  <c r="P54" i="18" s="1"/>
  <c r="Q54" i="18" s="1"/>
  <c r="J32" i="18"/>
  <c r="K32" i="18" s="1"/>
  <c r="L32" i="18" s="1"/>
  <c r="M32" i="18" s="1"/>
  <c r="N32" i="18" s="1"/>
  <c r="O32" i="18" s="1"/>
  <c r="P32" i="18" s="1"/>
  <c r="Q32" i="18" s="1"/>
  <c r="J15" i="18"/>
  <c r="K15" i="18" s="1"/>
  <c r="L15" i="18" s="1"/>
  <c r="M15" i="18" s="1"/>
  <c r="N15" i="18" s="1"/>
  <c r="O15" i="18" s="1"/>
  <c r="P15" i="18" s="1"/>
  <c r="Q15" i="18" s="1"/>
  <c r="J49" i="18"/>
  <c r="K49" i="18" s="1"/>
  <c r="L49" i="18" s="1"/>
  <c r="M49" i="18" s="1"/>
  <c r="N49" i="18" s="1"/>
  <c r="O49" i="18" s="1"/>
  <c r="P49" i="18" s="1"/>
  <c r="Q49" i="18" s="1"/>
  <c r="J51" i="18"/>
  <c r="K51" i="18"/>
  <c r="I51" i="18"/>
  <c r="U34" i="11"/>
  <c r="V34" i="11" s="1"/>
  <c r="T34" i="11"/>
  <c r="T35" i="11" s="1"/>
  <c r="T33" i="11"/>
  <c r="S34" i="11"/>
  <c r="S36" i="11"/>
  <c r="O36" i="11"/>
  <c r="S35" i="11"/>
  <c r="R35" i="11"/>
  <c r="R33" i="11"/>
  <c r="R36" i="11"/>
  <c r="U33" i="11"/>
  <c r="V33" i="11" s="1"/>
  <c r="T23" i="11"/>
  <c r="U24" i="11"/>
  <c r="V24" i="11" s="1"/>
  <c r="P24" i="11"/>
  <c r="Q49" i="11"/>
  <c r="Q46" i="11"/>
  <c r="Q43" i="11"/>
  <c r="Q40" i="11"/>
  <c r="P40" i="11"/>
  <c r="Q35" i="11"/>
  <c r="Q32" i="11"/>
  <c r="Q29" i="11"/>
  <c r="Q26" i="11"/>
  <c r="L35" i="18"/>
  <c r="Q21" i="11"/>
  <c r="R21" i="11"/>
  <c r="S21" i="11"/>
  <c r="Q18" i="11"/>
  <c r="R18" i="11"/>
  <c r="S18" i="11"/>
  <c r="Q15" i="11"/>
  <c r="R15" i="11"/>
  <c r="T13" i="11"/>
  <c r="T16" i="11"/>
  <c r="U16" i="11" s="1"/>
  <c r="T18" i="11"/>
  <c r="N26" i="18" s="1"/>
  <c r="T19" i="11"/>
  <c r="T17" i="11" s="1"/>
  <c r="N25" i="18" s="1"/>
  <c r="T20" i="11"/>
  <c r="T21" i="11"/>
  <c r="T22" i="11"/>
  <c r="Q12" i="11"/>
  <c r="P49" i="11"/>
  <c r="P46" i="11"/>
  <c r="P43" i="11"/>
  <c r="P21" i="11"/>
  <c r="P18" i="11"/>
  <c r="P15" i="11"/>
  <c r="P12" i="11"/>
  <c r="P26" i="11"/>
  <c r="P32" i="11"/>
  <c r="P35" i="11"/>
  <c r="Q38" i="11"/>
  <c r="R38" i="11"/>
  <c r="S38" i="11"/>
  <c r="Q24" i="11"/>
  <c r="R24" i="11"/>
  <c r="S24" i="11"/>
  <c r="U22" i="11"/>
  <c r="V22" i="11" s="1"/>
  <c r="V20" i="11" s="1"/>
  <c r="U13" i="11"/>
  <c r="V13" i="11" s="1"/>
  <c r="T11" i="11"/>
  <c r="N17" i="18" s="1"/>
  <c r="M17" i="18"/>
  <c r="K44" i="18"/>
  <c r="M44" i="18"/>
  <c r="K40" i="18"/>
  <c r="M40" i="18"/>
  <c r="K36" i="18"/>
  <c r="M36" i="18"/>
  <c r="K35" i="18"/>
  <c r="M35" i="18"/>
  <c r="J34" i="18"/>
  <c r="K34" i="18"/>
  <c r="L34" i="18"/>
  <c r="M34" i="18"/>
  <c r="I44" i="18"/>
  <c r="I40" i="18"/>
  <c r="I36" i="18"/>
  <c r="I35" i="18"/>
  <c r="J27" i="18"/>
  <c r="K27" i="18"/>
  <c r="L27" i="18"/>
  <c r="M27" i="18"/>
  <c r="J26" i="18"/>
  <c r="K26" i="18"/>
  <c r="L26" i="18"/>
  <c r="M26" i="18"/>
  <c r="J23" i="18"/>
  <c r="K23" i="18"/>
  <c r="L23" i="18"/>
  <c r="M23" i="18"/>
  <c r="J19" i="18"/>
  <c r="K19" i="18"/>
  <c r="L19" i="18"/>
  <c r="M19" i="18"/>
  <c r="N19" i="18"/>
  <c r="O19" i="18"/>
  <c r="I27" i="18"/>
  <c r="I26" i="18"/>
  <c r="I23" i="18"/>
  <c r="J25" i="18"/>
  <c r="J92" i="18" s="1"/>
  <c r="K25" i="18"/>
  <c r="K92" i="18" s="1"/>
  <c r="L25" i="18"/>
  <c r="M25" i="18"/>
  <c r="J21" i="18"/>
  <c r="J87" i="18" s="1"/>
  <c r="K21" i="18"/>
  <c r="K87" i="18" s="1"/>
  <c r="L21" i="18"/>
  <c r="M21" i="18"/>
  <c r="I25" i="18"/>
  <c r="J17" i="18"/>
  <c r="J82" i="18" s="1"/>
  <c r="K17" i="18"/>
  <c r="K82" i="18" s="1"/>
  <c r="L17" i="18"/>
  <c r="I17" i="18"/>
  <c r="U9" i="11"/>
  <c r="V9" i="11" s="1"/>
  <c r="W9" i="11" s="1"/>
  <c r="X9" i="11" s="1"/>
  <c r="Y9" i="11" s="1"/>
  <c r="Z9" i="11" s="1"/>
  <c r="AA9" i="11" s="1"/>
  <c r="T9" i="11"/>
  <c r="U10" i="11"/>
  <c r="V10" i="11" s="1"/>
  <c r="T10" i="11"/>
  <c r="Q10" i="11"/>
  <c r="R10" i="11"/>
  <c r="S10" i="11"/>
  <c r="O10" i="11"/>
  <c r="P10" i="11"/>
  <c r="P48" i="11"/>
  <c r="Q48" i="11"/>
  <c r="P34" i="11"/>
  <c r="Q34" i="11"/>
  <c r="R34" i="11"/>
  <c r="O34" i="11"/>
  <c r="P20" i="11"/>
  <c r="Q20" i="11"/>
  <c r="R20" i="11"/>
  <c r="S20" i="11"/>
  <c r="S22" i="11" s="1"/>
  <c r="O20" i="11"/>
  <c r="P22" i="11"/>
  <c r="Q22" i="11"/>
  <c r="R22" i="11"/>
  <c r="O22" i="11"/>
  <c r="P36" i="11"/>
  <c r="Q36" i="11"/>
  <c r="O33" i="11"/>
  <c r="O30" i="11"/>
  <c r="O27" i="11"/>
  <c r="P50" i="11"/>
  <c r="Q50" i="11"/>
  <c r="O50" i="11"/>
  <c r="L44" i="18"/>
  <c r="S33" i="11"/>
  <c r="R30" i="11"/>
  <c r="S30" i="11"/>
  <c r="R27" i="11"/>
  <c r="P33" i="11"/>
  <c r="J44" i="18" s="1"/>
  <c r="Q33" i="11"/>
  <c r="P30" i="11"/>
  <c r="J40" i="18" s="1"/>
  <c r="Q30" i="11"/>
  <c r="P27" i="11"/>
  <c r="J36" i="18" s="1"/>
  <c r="Q27" i="11"/>
  <c r="Q47" i="11"/>
  <c r="P44" i="11"/>
  <c r="Q44" i="11"/>
  <c r="P41" i="11"/>
  <c r="Q41" i="11"/>
  <c r="O47" i="11"/>
  <c r="O44" i="11"/>
  <c r="O41" i="11"/>
  <c r="P45" i="11"/>
  <c r="Q45" i="11"/>
  <c r="P42" i="11"/>
  <c r="Q42" i="11"/>
  <c r="P39" i="11"/>
  <c r="Q39" i="11"/>
  <c r="P37" i="11"/>
  <c r="Q37" i="11"/>
  <c r="R37" i="11"/>
  <c r="S37" i="11"/>
  <c r="O45" i="11"/>
  <c r="O42" i="11"/>
  <c r="O39" i="11"/>
  <c r="O37" i="11"/>
  <c r="P31" i="11"/>
  <c r="Q31" i="11"/>
  <c r="P28" i="11"/>
  <c r="Q28" i="11"/>
  <c r="S28" i="11"/>
  <c r="P25" i="11"/>
  <c r="Q25" i="11"/>
  <c r="S25" i="11"/>
  <c r="O31" i="11"/>
  <c r="O25" i="11"/>
  <c r="P23" i="11"/>
  <c r="Q23" i="11"/>
  <c r="R23" i="11"/>
  <c r="S23" i="11"/>
  <c r="O23" i="11"/>
  <c r="R19" i="11"/>
  <c r="S19" i="11"/>
  <c r="P16" i="11"/>
  <c r="Q16" i="11"/>
  <c r="S13" i="11"/>
  <c r="P17" i="11"/>
  <c r="P19" i="11" s="1"/>
  <c r="Q17" i="11"/>
  <c r="R17" i="11"/>
  <c r="S17" i="11"/>
  <c r="P14" i="11"/>
  <c r="Q14" i="11"/>
  <c r="R14" i="11"/>
  <c r="R16" i="11" s="1"/>
  <c r="S14" i="11"/>
  <c r="S16" i="11" s="1"/>
  <c r="P11" i="11"/>
  <c r="P13" i="11" s="1"/>
  <c r="Q11" i="11"/>
  <c r="Q13" i="11" s="1"/>
  <c r="R11" i="11"/>
  <c r="R13" i="11" s="1"/>
  <c r="S11" i="11"/>
  <c r="O17" i="11"/>
  <c r="O14" i="11"/>
  <c r="O11" i="11"/>
  <c r="S9" i="11"/>
  <c r="R9" i="11"/>
  <c r="P9" i="11"/>
  <c r="Q9" i="11"/>
  <c r="Q19" i="11" s="1"/>
  <c r="O9" i="11"/>
  <c r="O19" i="11" s="1"/>
  <c r="L11" i="18"/>
  <c r="W15" i="18"/>
  <c r="W13" i="18" a="1"/>
  <c r="W13" i="18" s="1"/>
  <c r="W27" i="18"/>
  <c r="M33" i="26"/>
  <c r="M32" i="26"/>
  <c r="M23" i="26"/>
  <c r="M22" i="26"/>
  <c r="M11" i="26"/>
  <c r="G33" i="26"/>
  <c r="G32" i="26"/>
  <c r="G23" i="26"/>
  <c r="G22" i="26"/>
  <c r="W18" i="18" a="1"/>
  <c r="W18" i="18" s="1"/>
  <c r="W25" i="18" s="1"/>
  <c r="W11" i="18" a="1"/>
  <c r="W11" i="18" s="1"/>
  <c r="E54" i="23" l="1"/>
  <c r="D55" i="23"/>
  <c r="V25" i="11"/>
  <c r="X26" i="11"/>
  <c r="Y26" i="11" s="1"/>
  <c r="Z26" i="11" s="1"/>
  <c r="AA32" i="11"/>
  <c r="U31" i="11"/>
  <c r="AA40" i="11"/>
  <c r="U49" i="11"/>
  <c r="I72" i="18"/>
  <c r="I140" i="18"/>
  <c r="I141" i="18" s="1"/>
  <c r="X29" i="11"/>
  <c r="Y15" i="11"/>
  <c r="X15" i="11"/>
  <c r="X14" i="11" s="1"/>
  <c r="Y14" i="11" s="1"/>
  <c r="I82" i="18"/>
  <c r="I87" i="18"/>
  <c r="I109" i="18"/>
  <c r="I92" i="18"/>
  <c r="I113" i="18"/>
  <c r="W16" i="18"/>
  <c r="W29" i="18"/>
  <c r="U43" i="11"/>
  <c r="Y38" i="11"/>
  <c r="V41" i="11"/>
  <c r="L40" i="18"/>
  <c r="L36" i="18"/>
  <c r="W34" i="11"/>
  <c r="X34" i="11" s="1"/>
  <c r="U23" i="11"/>
  <c r="W33" i="11"/>
  <c r="W24" i="11"/>
  <c r="U11" i="11"/>
  <c r="O17" i="18" s="1"/>
  <c r="N21" i="18"/>
  <c r="H12" i="21" s="1"/>
  <c r="V16" i="11"/>
  <c r="W16" i="11" s="1"/>
  <c r="O21" i="18"/>
  <c r="I12" i="21" s="1"/>
  <c r="O23" i="18"/>
  <c r="U19" i="11"/>
  <c r="N23" i="18"/>
  <c r="N27" i="18"/>
  <c r="U18" i="11"/>
  <c r="O26" i="18" s="1"/>
  <c r="U20" i="11"/>
  <c r="O18" i="18"/>
  <c r="U21" i="11"/>
  <c r="S48" i="11"/>
  <c r="T48" i="11" s="1"/>
  <c r="T50" i="11" s="1"/>
  <c r="T47" i="11" s="1"/>
  <c r="T45" i="11" s="1"/>
  <c r="T46" i="11" s="1"/>
  <c r="J35" i="18"/>
  <c r="W22" i="11"/>
  <c r="P23" i="18"/>
  <c r="P19" i="18"/>
  <c r="V11" i="11"/>
  <c r="P17" i="18" s="1"/>
  <c r="W13" i="11"/>
  <c r="R50" i="11"/>
  <c r="W10" i="11"/>
  <c r="X10" i="11"/>
  <c r="Y10" i="11"/>
  <c r="Z10" i="11" s="1"/>
  <c r="O16" i="11"/>
  <c r="O13" i="11"/>
  <c r="W26" i="18"/>
  <c r="W14" i="18"/>
  <c r="W30" i="18" s="1"/>
  <c r="W32" i="18" s="1"/>
  <c r="F54" i="23" l="1"/>
  <c r="E55" i="23"/>
  <c r="AA26" i="11"/>
  <c r="V31" i="11"/>
  <c r="O42" i="18"/>
  <c r="W25" i="11"/>
  <c r="X25" i="11" s="1"/>
  <c r="Y25" i="11" s="1"/>
  <c r="Z25" i="11" s="1"/>
  <c r="I13" i="21"/>
  <c r="I13" i="22"/>
  <c r="U48" i="11"/>
  <c r="V49" i="11"/>
  <c r="Y29" i="11"/>
  <c r="Z29" i="11" s="1"/>
  <c r="AA29" i="11" s="1"/>
  <c r="I27" i="21"/>
  <c r="I31" i="21"/>
  <c r="H16" i="21"/>
  <c r="H27" i="21"/>
  <c r="Z15" i="11"/>
  <c r="AA15" i="11" s="1"/>
  <c r="I117" i="18"/>
  <c r="U42" i="11"/>
  <c r="U44" i="11" s="1"/>
  <c r="V43" i="11"/>
  <c r="V42" i="11" s="1"/>
  <c r="V44" i="11" s="1"/>
  <c r="Z38" i="11"/>
  <c r="AA38" i="11" s="1"/>
  <c r="W41" i="11"/>
  <c r="U30" i="11"/>
  <c r="Y34" i="11"/>
  <c r="V23" i="11"/>
  <c r="X33" i="11"/>
  <c r="Y33" i="11"/>
  <c r="X24" i="11"/>
  <c r="Y24" i="11" s="1"/>
  <c r="P21" i="18"/>
  <c r="J12" i="21" s="1"/>
  <c r="U17" i="11"/>
  <c r="O25" i="18" s="1"/>
  <c r="O27" i="18"/>
  <c r="V18" i="11"/>
  <c r="P26" i="18" s="1"/>
  <c r="X22" i="11"/>
  <c r="X20" i="11" s="1"/>
  <c r="W20" i="11"/>
  <c r="V19" i="11"/>
  <c r="V21" i="11"/>
  <c r="W21" i="11" s="1"/>
  <c r="X16" i="11"/>
  <c r="Q23" i="18"/>
  <c r="Q21" i="18"/>
  <c r="K12" i="21" s="1"/>
  <c r="W11" i="11"/>
  <c r="Q17" i="18" s="1"/>
  <c r="Q19" i="18"/>
  <c r="X13" i="11"/>
  <c r="X11" i="11" s="1"/>
  <c r="AA10" i="11"/>
  <c r="W31" i="18"/>
  <c r="W34" i="18" s="1"/>
  <c r="L10" i="18" s="1"/>
  <c r="G54" i="23" l="1"/>
  <c r="F55" i="23"/>
  <c r="AA25" i="11"/>
  <c r="I18" i="22"/>
  <c r="I21" i="22"/>
  <c r="W31" i="11"/>
  <c r="P42" i="18"/>
  <c r="J18" i="22" s="1"/>
  <c r="J21" i="22" s="1"/>
  <c r="P18" i="18"/>
  <c r="J13" i="22" s="1"/>
  <c r="J13" i="27"/>
  <c r="J13" i="21"/>
  <c r="V48" i="11"/>
  <c r="U50" i="11"/>
  <c r="U47" i="11" s="1"/>
  <c r="U45" i="11" s="1"/>
  <c r="U46" i="11" s="1"/>
  <c r="W49" i="11"/>
  <c r="Z14" i="11"/>
  <c r="AA14" i="11" s="1"/>
  <c r="V30" i="11"/>
  <c r="W30" i="11"/>
  <c r="K27" i="21"/>
  <c r="K31" i="21"/>
  <c r="J31" i="21"/>
  <c r="J27" i="21"/>
  <c r="L150" i="18"/>
  <c r="D5" i="22"/>
  <c r="K38" i="22" s="1"/>
  <c r="D5" i="27"/>
  <c r="K39" i="27" s="1"/>
  <c r="D5" i="21"/>
  <c r="W43" i="11"/>
  <c r="W42" i="11" s="1"/>
  <c r="W44" i="11" s="1"/>
  <c r="X41" i="11"/>
  <c r="X30" i="11"/>
  <c r="Y30" i="11" s="1"/>
  <c r="Z34" i="11"/>
  <c r="AA34" i="11" s="1"/>
  <c r="W23" i="11"/>
  <c r="Z33" i="11"/>
  <c r="AA33" i="11"/>
  <c r="Z24" i="11"/>
  <c r="AA24" i="11" s="1"/>
  <c r="Y22" i="11"/>
  <c r="Y20" i="11" s="1"/>
  <c r="W18" i="11"/>
  <c r="Q26" i="18" s="1"/>
  <c r="W19" i="11"/>
  <c r="V17" i="11"/>
  <c r="P25" i="18" s="1"/>
  <c r="P27" i="18"/>
  <c r="X19" i="11"/>
  <c r="X17" i="11" s="1"/>
  <c r="X18" i="11"/>
  <c r="Y18" i="11" s="1"/>
  <c r="Y19" i="11"/>
  <c r="Y17" i="11" s="1"/>
  <c r="W12" i="11"/>
  <c r="K13" i="27" s="1"/>
  <c r="X21" i="11"/>
  <c r="Y21" i="11"/>
  <c r="Z21" i="11" s="1"/>
  <c r="Z22" i="11"/>
  <c r="Y16" i="11"/>
  <c r="Z16" i="11"/>
  <c r="Y13" i="11"/>
  <c r="Z13" i="11"/>
  <c r="Z11" i="11" s="1"/>
  <c r="H54" i="23" l="1"/>
  <c r="G55" i="23"/>
  <c r="X31" i="11"/>
  <c r="Y31" i="11" s="1"/>
  <c r="Z31" i="11" s="1"/>
  <c r="AA31" i="11" s="1"/>
  <c r="K18" i="22"/>
  <c r="K21" i="22" s="1"/>
  <c r="X12" i="11"/>
  <c r="Y12" i="11" s="1"/>
  <c r="Q18" i="18"/>
  <c r="X49" i="11"/>
  <c r="W48" i="11"/>
  <c r="V50" i="11"/>
  <c r="V47" i="11" s="1"/>
  <c r="V45" i="11" s="1"/>
  <c r="V46" i="11" s="1"/>
  <c r="G34" i="27"/>
  <c r="F34" i="27"/>
  <c r="X43" i="11"/>
  <c r="X42" i="11" s="1"/>
  <c r="X44" i="11" s="1"/>
  <c r="Y41" i="11"/>
  <c r="Z30" i="11"/>
  <c r="AA30" i="11" s="1"/>
  <c r="X23" i="11"/>
  <c r="AA22" i="11"/>
  <c r="AA20" i="11" s="1"/>
  <c r="Z20" i="11"/>
  <c r="Z18" i="11"/>
  <c r="AA18" i="11" s="1"/>
  <c r="Z19" i="11"/>
  <c r="Z17" i="11" s="1"/>
  <c r="W17" i="11"/>
  <c r="Q25" i="18" s="1"/>
  <c r="Q27" i="18"/>
  <c r="AA21" i="11"/>
  <c r="AA16" i="11"/>
  <c r="Y11" i="11"/>
  <c r="AA13" i="11"/>
  <c r="AA11" i="11" s="1"/>
  <c r="I54" i="23" l="1"/>
  <c r="H55" i="23"/>
  <c r="Z12" i="11"/>
  <c r="AA12" i="11" s="1"/>
  <c r="K13" i="22"/>
  <c r="K13" i="21"/>
  <c r="X48" i="11"/>
  <c r="W50" i="11"/>
  <c r="W47" i="11" s="1"/>
  <c r="W45" i="11" s="1"/>
  <c r="W46" i="11" s="1"/>
  <c r="Z49" i="11"/>
  <c r="Y49" i="11"/>
  <c r="Y43" i="11"/>
  <c r="Y42" i="11" s="1"/>
  <c r="Y44" i="11" s="1"/>
  <c r="Z41" i="11"/>
  <c r="AA41" i="11" s="1"/>
  <c r="Y23" i="11"/>
  <c r="AA19" i="11"/>
  <c r="AA17" i="11" s="1"/>
  <c r="J54" i="23" l="1"/>
  <c r="I55" i="23"/>
  <c r="Y48" i="11"/>
  <c r="X50" i="11"/>
  <c r="X47" i="11" s="1"/>
  <c r="X45" i="11" s="1"/>
  <c r="X46" i="11" s="1"/>
  <c r="AA49" i="11"/>
  <c r="Z43" i="11"/>
  <c r="Z23" i="11"/>
  <c r="K54" i="23" l="1"/>
  <c r="K55" i="23" s="1"/>
  <c r="J55" i="23"/>
  <c r="Z48" i="11"/>
  <c r="Y50" i="11"/>
  <c r="Y47" i="11" s="1"/>
  <c r="Y45" i="11" s="1"/>
  <c r="Y46" i="11" s="1"/>
  <c r="AA43" i="11"/>
  <c r="Z42" i="11"/>
  <c r="Z44" i="11" s="1"/>
  <c r="AA23" i="11"/>
  <c r="B56" i="23" l="1"/>
  <c r="AA48" i="11"/>
  <c r="AA50" i="11" s="1"/>
  <c r="Z50" i="11"/>
  <c r="Z47" i="11" s="1"/>
  <c r="Z45" i="11" s="1"/>
  <c r="Z46" i="11" s="1"/>
  <c r="AA42" i="11"/>
  <c r="AA44" i="11" s="1"/>
  <c r="AA47" i="11" l="1"/>
  <c r="AA45" i="11" s="1"/>
  <c r="AA46" i="11"/>
  <c r="M153" i="18"/>
  <c r="L136" i="18"/>
  <c r="D127" i="18"/>
  <c r="E127" i="18" s="1"/>
  <c r="F127" i="18" s="1"/>
  <c r="G127" i="18" s="1"/>
  <c r="H127" i="18" s="1"/>
  <c r="H121" i="18"/>
  <c r="G121" i="18"/>
  <c r="F121" i="18"/>
  <c r="E121" i="18"/>
  <c r="D121" i="18"/>
  <c r="C121" i="18"/>
  <c r="D103" i="18"/>
  <c r="E103" i="18" s="1"/>
  <c r="F103" i="18" s="1"/>
  <c r="G103" i="18" s="1"/>
  <c r="H103" i="18" s="1"/>
  <c r="H100" i="18"/>
  <c r="G100" i="18"/>
  <c r="F100" i="18"/>
  <c r="E100" i="18"/>
  <c r="D100" i="18"/>
  <c r="C100" i="18"/>
  <c r="K98" i="18"/>
  <c r="K88" i="18" s="1"/>
  <c r="K86" i="18" s="1"/>
  <c r="K89" i="18" s="1"/>
  <c r="J98" i="18"/>
  <c r="J93" i="18" s="1"/>
  <c r="J91" i="18" s="1"/>
  <c r="J94" i="18" s="1"/>
  <c r="D79" i="18"/>
  <c r="E79" i="18" s="1"/>
  <c r="F79" i="18" s="1"/>
  <c r="G79" i="18" s="1"/>
  <c r="H79" i="18" s="1"/>
  <c r="K77" i="18"/>
  <c r="H75" i="18"/>
  <c r="G75" i="18"/>
  <c r="G77" i="18" s="1"/>
  <c r="F75" i="18"/>
  <c r="E75" i="18"/>
  <c r="D75" i="18"/>
  <c r="C75" i="18"/>
  <c r="K73" i="18"/>
  <c r="J73" i="18"/>
  <c r="I73" i="18"/>
  <c r="D54" i="18"/>
  <c r="E54" i="18" s="1"/>
  <c r="F54" i="18" s="1"/>
  <c r="G54" i="18" s="1"/>
  <c r="H54" i="18" s="1"/>
  <c r="H51" i="18"/>
  <c r="H52" i="18" s="1"/>
  <c r="G51" i="18"/>
  <c r="G52" i="18" s="1"/>
  <c r="F51" i="18"/>
  <c r="F52" i="18" s="1"/>
  <c r="E51" i="18"/>
  <c r="E52" i="18" s="1"/>
  <c r="D51" i="18"/>
  <c r="D52" i="18" s="1"/>
  <c r="C51" i="18"/>
  <c r="C52" i="18" s="1"/>
  <c r="H42" i="18"/>
  <c r="G42" i="18"/>
  <c r="F42" i="18"/>
  <c r="E42" i="18"/>
  <c r="D42" i="18"/>
  <c r="C42" i="18"/>
  <c r="H38" i="18"/>
  <c r="G38" i="18"/>
  <c r="F38" i="18"/>
  <c r="E38" i="18"/>
  <c r="D38" i="18"/>
  <c r="C38" i="18"/>
  <c r="H34" i="18"/>
  <c r="G34" i="18"/>
  <c r="F34" i="18"/>
  <c r="E34" i="18"/>
  <c r="D34" i="18"/>
  <c r="C34" i="18"/>
  <c r="H25" i="18"/>
  <c r="G25" i="18"/>
  <c r="F25" i="18"/>
  <c r="E25" i="18"/>
  <c r="D25" i="18"/>
  <c r="C25" i="18"/>
  <c r="C26" i="18" s="1"/>
  <c r="H21" i="18"/>
  <c r="G21" i="18"/>
  <c r="F21" i="18"/>
  <c r="E21" i="18"/>
  <c r="D21" i="18"/>
  <c r="C21" i="18"/>
  <c r="C22" i="18" s="1"/>
  <c r="H17" i="18"/>
  <c r="G17" i="18"/>
  <c r="F17" i="18"/>
  <c r="E17" i="18"/>
  <c r="D17" i="18"/>
  <c r="C17" i="18"/>
  <c r="D15" i="18"/>
  <c r="E15" i="18" s="1"/>
  <c r="F15" i="18" s="1"/>
  <c r="G15" i="18" s="1"/>
  <c r="H15" i="18" s="1"/>
  <c r="N153" i="18" l="1"/>
  <c r="O153" i="18" s="1"/>
  <c r="P153" i="18" s="1"/>
  <c r="Q153" i="18" s="1"/>
  <c r="K93" i="18"/>
  <c r="K91" i="18" s="1"/>
  <c r="K94" i="18" s="1"/>
  <c r="G46" i="18"/>
  <c r="G44" i="18" s="1"/>
  <c r="F77" i="18"/>
  <c r="K83" i="18"/>
  <c r="K81" i="18" s="1"/>
  <c r="J88" i="18"/>
  <c r="J86" i="18" s="1"/>
  <c r="J89" i="18" s="1"/>
  <c r="J83" i="18"/>
  <c r="J81" i="18" s="1"/>
  <c r="J96" i="18" s="1"/>
  <c r="J97" i="18" s="1"/>
  <c r="C18" i="18"/>
  <c r="C29" i="18"/>
  <c r="C27" i="18" s="1"/>
  <c r="C19" i="18"/>
  <c r="D35" i="18"/>
  <c r="D18" i="18"/>
  <c r="E29" i="18"/>
  <c r="E19" i="18" s="1"/>
  <c r="F18" i="18"/>
  <c r="G18" i="18"/>
  <c r="H18" i="18"/>
  <c r="D22" i="18"/>
  <c r="F22" i="18"/>
  <c r="G22" i="18"/>
  <c r="H22" i="18"/>
  <c r="D26" i="18"/>
  <c r="E26" i="18"/>
  <c r="H26" i="18"/>
  <c r="C39" i="18"/>
  <c r="D46" i="18"/>
  <c r="D36" i="18" s="1"/>
  <c r="E39" i="18"/>
  <c r="E43" i="18"/>
  <c r="F43" i="18"/>
  <c r="G43" i="18"/>
  <c r="J64" i="18"/>
  <c r="F23" i="21" s="1"/>
  <c r="F33" i="21" s="1"/>
  <c r="F34" i="21" s="1"/>
  <c r="I69" i="18"/>
  <c r="J69" i="18"/>
  <c r="Q130" i="18"/>
  <c r="M136" i="18"/>
  <c r="P136" i="18"/>
  <c r="K84" i="18"/>
  <c r="Q129" i="18"/>
  <c r="O129" i="18"/>
  <c r="C46" i="18"/>
  <c r="C44" i="18" s="1"/>
  <c r="N136" i="18"/>
  <c r="J59" i="18"/>
  <c r="D44" i="18"/>
  <c r="D43" i="18"/>
  <c r="O136" i="18"/>
  <c r="K59" i="18"/>
  <c r="C77" i="18"/>
  <c r="J77" i="18"/>
  <c r="F46" i="18"/>
  <c r="K64" i="18"/>
  <c r="D77" i="18"/>
  <c r="E18" i="18"/>
  <c r="D29" i="18"/>
  <c r="F39" i="18"/>
  <c r="L132" i="18"/>
  <c r="L153" i="18"/>
  <c r="E77" i="18"/>
  <c r="J101" i="18"/>
  <c r="E23" i="18"/>
  <c r="C35" i="18"/>
  <c r="G39" i="18"/>
  <c r="H43" i="18"/>
  <c r="C43" i="18"/>
  <c r="F26" i="18"/>
  <c r="F29" i="18"/>
  <c r="H35" i="18"/>
  <c r="H46" i="18"/>
  <c r="H44" i="18" s="1"/>
  <c r="H39" i="18"/>
  <c r="D39" i="18"/>
  <c r="H77" i="18"/>
  <c r="G26" i="18"/>
  <c r="G29" i="18"/>
  <c r="G101" i="18" s="1"/>
  <c r="F35" i="18"/>
  <c r="K76" i="18"/>
  <c r="H29" i="18"/>
  <c r="G35" i="18"/>
  <c r="E22" i="18"/>
  <c r="E46" i="18"/>
  <c r="E35" i="18"/>
  <c r="F24" i="21" l="1"/>
  <c r="G40" i="18"/>
  <c r="G36" i="18"/>
  <c r="K96" i="18"/>
  <c r="K97" i="18" s="1"/>
  <c r="J84" i="18"/>
  <c r="C23" i="18"/>
  <c r="D40" i="18"/>
  <c r="E101" i="18"/>
  <c r="E76" i="18"/>
  <c r="F123" i="18"/>
  <c r="G76" i="18"/>
  <c r="E27" i="18"/>
  <c r="C122" i="18"/>
  <c r="C101" i="18"/>
  <c r="C30" i="18"/>
  <c r="E122" i="18"/>
  <c r="E123" i="18"/>
  <c r="C76" i="18"/>
  <c r="E44" i="18"/>
  <c r="E40" i="18"/>
  <c r="G122" i="18"/>
  <c r="G47" i="18"/>
  <c r="G27" i="18"/>
  <c r="L59" i="18"/>
  <c r="M59" i="18" s="1"/>
  <c r="J71" i="18"/>
  <c r="O130" i="18"/>
  <c r="P130" i="18"/>
  <c r="P129" i="18"/>
  <c r="J47" i="18"/>
  <c r="D122" i="18"/>
  <c r="G123" i="18"/>
  <c r="I106" i="18"/>
  <c r="F47" i="18"/>
  <c r="F44" i="18"/>
  <c r="M129" i="18"/>
  <c r="M130" i="18"/>
  <c r="Q136" i="18"/>
  <c r="I101" i="18"/>
  <c r="H30" i="18"/>
  <c r="H19" i="18"/>
  <c r="H76" i="18"/>
  <c r="H122" i="18"/>
  <c r="H123" i="18"/>
  <c r="F27" i="18"/>
  <c r="D47" i="18"/>
  <c r="I47" i="18"/>
  <c r="H101" i="18"/>
  <c r="K107" i="18"/>
  <c r="K111" i="18"/>
  <c r="K109" i="18" s="1"/>
  <c r="K110" i="18" s="1"/>
  <c r="G30" i="18"/>
  <c r="G19" i="18"/>
  <c r="G23" i="18"/>
  <c r="K101" i="18"/>
  <c r="C40" i="18"/>
  <c r="C36" i="18"/>
  <c r="C47" i="18"/>
  <c r="L130" i="18"/>
  <c r="L47" i="18"/>
  <c r="F23" i="18"/>
  <c r="F30" i="18"/>
  <c r="F76" i="18"/>
  <c r="F19" i="18"/>
  <c r="F101" i="18"/>
  <c r="F40" i="18"/>
  <c r="D27" i="18"/>
  <c r="J115" i="18"/>
  <c r="J113" i="18" s="1"/>
  <c r="J114" i="18" s="1"/>
  <c r="F122" i="18"/>
  <c r="H27" i="18"/>
  <c r="E47" i="18"/>
  <c r="E36" i="18"/>
  <c r="J111" i="18"/>
  <c r="J109" i="18" s="1"/>
  <c r="J110" i="18" s="1"/>
  <c r="L135" i="18"/>
  <c r="L138" i="18" s="1"/>
  <c r="J76" i="18"/>
  <c r="K47" i="18"/>
  <c r="F36" i="18"/>
  <c r="N129" i="18"/>
  <c r="N130" i="18"/>
  <c r="D19" i="18"/>
  <c r="D101" i="18"/>
  <c r="D23" i="18"/>
  <c r="D30" i="18"/>
  <c r="I115" i="18"/>
  <c r="E30" i="18"/>
  <c r="I111" i="18"/>
  <c r="I110" i="18" s="1"/>
  <c r="H23" i="18"/>
  <c r="K115" i="18"/>
  <c r="K113" i="18" s="1"/>
  <c r="K114" i="18" s="1"/>
  <c r="M132" i="18"/>
  <c r="M47" i="18"/>
  <c r="M133" i="18" s="1"/>
  <c r="K69" i="18"/>
  <c r="L69" i="18" s="1"/>
  <c r="L66" i="18" s="1"/>
  <c r="K71" i="18"/>
  <c r="K72" i="18" s="1"/>
  <c r="D123" i="18"/>
  <c r="H40" i="18"/>
  <c r="H36" i="18"/>
  <c r="H47" i="18"/>
  <c r="J107" i="18"/>
  <c r="D76" i="18"/>
  <c r="M76" i="18" l="1"/>
  <c r="M75" i="18" s="1"/>
  <c r="L141" i="18"/>
  <c r="J72" i="18"/>
  <c r="J140" i="18"/>
  <c r="J141" i="18" s="1"/>
  <c r="K105" i="18"/>
  <c r="J105" i="18"/>
  <c r="J117" i="18" s="1"/>
  <c r="J119" i="18" s="1"/>
  <c r="L122" i="18"/>
  <c r="L101" i="18"/>
  <c r="L100" i="18" s="1"/>
  <c r="N59" i="18"/>
  <c r="N56" i="18" s="1"/>
  <c r="M56" i="18"/>
  <c r="L110" i="18"/>
  <c r="M110" i="18" s="1"/>
  <c r="K106" i="18"/>
  <c r="K117" i="18"/>
  <c r="M135" i="18"/>
  <c r="M138" i="18" s="1"/>
  <c r="L56" i="18"/>
  <c r="M69" i="18"/>
  <c r="N141" i="18" l="1"/>
  <c r="K118" i="18"/>
  <c r="K119" i="18"/>
  <c r="O59" i="18"/>
  <c r="O56" i="18" s="1"/>
  <c r="M140" i="18"/>
  <c r="M101" i="18"/>
  <c r="M144" i="18" s="1"/>
  <c r="M122" i="18"/>
  <c r="J106" i="18"/>
  <c r="L106" i="18" s="1"/>
  <c r="M106" i="18" s="1"/>
  <c r="L144" i="18"/>
  <c r="M100" i="18"/>
  <c r="M143" i="18" s="1"/>
  <c r="L143" i="18"/>
  <c r="L77" i="18"/>
  <c r="L109" i="18"/>
  <c r="L117" i="18" s="1"/>
  <c r="L118" i="18" s="1"/>
  <c r="N110" i="18"/>
  <c r="O110" i="18" s="1"/>
  <c r="O109" i="18" s="1"/>
  <c r="N101" i="18"/>
  <c r="O101" i="18" s="1"/>
  <c r="M109" i="18"/>
  <c r="M66" i="18"/>
  <c r="M61" i="18"/>
  <c r="G23" i="21" s="1"/>
  <c r="G24" i="21" s="1"/>
  <c r="L71" i="18"/>
  <c r="L72" i="18" s="1"/>
  <c r="N69" i="18"/>
  <c r="O69" i="18" s="1"/>
  <c r="O66" i="18" s="1"/>
  <c r="G33" i="21" l="1"/>
  <c r="G34" i="21" s="1"/>
  <c r="P59" i="18"/>
  <c r="P56" i="18" s="1"/>
  <c r="M141" i="18"/>
  <c r="O141" i="18"/>
  <c r="N75" i="18"/>
  <c r="N140" i="18" s="1"/>
  <c r="N122" i="18"/>
  <c r="O122" i="18" s="1"/>
  <c r="N100" i="18"/>
  <c r="O100" i="18" s="1"/>
  <c r="O143" i="18" s="1"/>
  <c r="L105" i="18"/>
  <c r="N61" i="18"/>
  <c r="H23" i="21" s="1"/>
  <c r="O61" i="18"/>
  <c r="P61" i="18"/>
  <c r="J23" i="21" s="1"/>
  <c r="M71" i="18"/>
  <c r="M72" i="18" s="1"/>
  <c r="N144" i="18"/>
  <c r="N106" i="18"/>
  <c r="M105" i="18"/>
  <c r="Q59" i="18"/>
  <c r="Q56" i="18" s="1"/>
  <c r="P110" i="18"/>
  <c r="P109" i="18" s="1"/>
  <c r="N109" i="18"/>
  <c r="O144" i="18"/>
  <c r="N66" i="18"/>
  <c r="P101" i="18"/>
  <c r="Q101" i="18" s="1"/>
  <c r="P69" i="18"/>
  <c r="P66" i="18" s="1"/>
  <c r="J24" i="21" l="1"/>
  <c r="O71" i="18"/>
  <c r="O72" i="18" s="1"/>
  <c r="I23" i="21"/>
  <c r="H33" i="21"/>
  <c r="H34" i="21" s="1"/>
  <c r="H24" i="21"/>
  <c r="O75" i="18"/>
  <c r="O140" i="18" s="1"/>
  <c r="Q61" i="18"/>
  <c r="K23" i="21" s="1"/>
  <c r="N143" i="18"/>
  <c r="P122" i="18"/>
  <c r="Q122" i="18" s="1"/>
  <c r="P100" i="18"/>
  <c r="Q100" i="18" s="1"/>
  <c r="N71" i="18"/>
  <c r="N72" i="18" s="1"/>
  <c r="P71" i="18"/>
  <c r="P72" i="18" s="1"/>
  <c r="Q143" i="18"/>
  <c r="Q144" i="18"/>
  <c r="Q69" i="18"/>
  <c r="Q66" i="18" s="1"/>
  <c r="Q110" i="18"/>
  <c r="Q109" i="18" s="1"/>
  <c r="P141" i="18"/>
  <c r="P75" i="18"/>
  <c r="P140" i="18" s="1"/>
  <c r="P144" i="18"/>
  <c r="P143" i="18"/>
  <c r="N105" i="18"/>
  <c r="O106" i="18"/>
  <c r="K24" i="21" l="1"/>
  <c r="Q71" i="18"/>
  <c r="Q72" i="18" s="1"/>
  <c r="I24" i="21"/>
  <c r="Q141" i="18"/>
  <c r="Q75" i="18"/>
  <c r="Q140" i="18" s="1"/>
  <c r="Q149" i="18" s="1"/>
  <c r="Q155" i="18" s="1"/>
  <c r="Q156" i="18" s="1"/>
  <c r="O105" i="18"/>
  <c r="P106" i="18"/>
  <c r="P105" i="18" l="1"/>
  <c r="Q106" i="18"/>
  <c r="Q105" i="18" s="1"/>
  <c r="U35" i="11" l="1"/>
  <c r="Y35" i="11"/>
  <c r="W35" i="11"/>
  <c r="AA35" i="11"/>
  <c r="V35" i="11"/>
  <c r="Z35" i="11"/>
  <c r="X35" i="11"/>
  <c r="T37" i="11"/>
  <c r="U37" i="11"/>
  <c r="V37" i="11"/>
  <c r="W37" i="11"/>
  <c r="X37" i="11"/>
  <c r="Y37" i="11"/>
  <c r="Z37" i="11"/>
  <c r="AA37" i="11" s="1"/>
  <c r="U27" i="11" l="1"/>
  <c r="N34" i="18"/>
  <c r="H15" i="27" s="1"/>
  <c r="H16" i="27" l="1"/>
  <c r="H18" i="27"/>
  <c r="H21" i="27" s="1"/>
  <c r="H33" i="27" s="1"/>
  <c r="H34" i="27" s="1"/>
  <c r="N35" i="18"/>
  <c r="O35" i="18" s="1"/>
  <c r="V27" i="11"/>
  <c r="W27" i="11"/>
  <c r="X27" i="11" l="1"/>
  <c r="N47" i="18"/>
  <c r="N133" i="18" s="1"/>
  <c r="N44" i="18"/>
  <c r="N40" i="18"/>
  <c r="N132" i="18"/>
  <c r="N36" i="18"/>
  <c r="O34" i="18"/>
  <c r="I15" i="27" s="1"/>
  <c r="P35" i="18"/>
  <c r="I16" i="27" l="1"/>
  <c r="I18" i="27"/>
  <c r="I21" i="27" s="1"/>
  <c r="I33" i="27" s="1"/>
  <c r="I34" i="27" s="1"/>
  <c r="Y27" i="11"/>
  <c r="P34" i="18"/>
  <c r="J15" i="27" s="1"/>
  <c r="Q35" i="18"/>
  <c r="Q34" i="18" s="1"/>
  <c r="K15" i="27" s="1"/>
  <c r="N135" i="18"/>
  <c r="N138" i="18" s="1"/>
  <c r="K18" i="27" l="1"/>
  <c r="K21" i="27" s="1"/>
  <c r="K33" i="27" s="1"/>
  <c r="K16" i="27"/>
  <c r="J16" i="27"/>
  <c r="J18" i="27"/>
  <c r="J21" i="27" s="1"/>
  <c r="J33" i="27" s="1"/>
  <c r="J34" i="27" s="1"/>
  <c r="Z27" i="11"/>
  <c r="O47" i="18"/>
  <c r="O133" i="18" s="1"/>
  <c r="O44" i="18"/>
  <c r="O132" i="18"/>
  <c r="O36" i="18"/>
  <c r="K40" i="27" l="1"/>
  <c r="K34" i="27"/>
  <c r="AA27" i="11"/>
  <c r="P47" i="18"/>
  <c r="P133" i="18" s="1"/>
  <c r="P44" i="18"/>
  <c r="P132" i="18"/>
  <c r="P36" i="18"/>
  <c r="Q133" i="18"/>
  <c r="Q44" i="18"/>
  <c r="K16" i="22" s="1"/>
  <c r="Q132" i="18"/>
  <c r="Q36" i="18"/>
  <c r="O135" i="18"/>
  <c r="O138" i="18" s="1"/>
  <c r="K42" i="27" l="1"/>
  <c r="K43" i="27" s="1"/>
  <c r="Q135" i="18"/>
  <c r="Q138" i="18"/>
  <c r="P135" i="18"/>
  <c r="P138" i="18" s="1"/>
  <c r="B27" i="23" l="1"/>
  <c r="D27" i="23" s="1"/>
  <c r="O31" i="23"/>
  <c r="O35" i="23" s="1"/>
  <c r="O36" i="23" s="1"/>
  <c r="I98" i="18"/>
  <c r="I83" i="18" s="1"/>
  <c r="I81" i="18" s="1"/>
  <c r="F27" i="23" l="1"/>
  <c r="B31" i="23"/>
  <c r="K44" i="27"/>
  <c r="O32" i="23" s="1"/>
  <c r="I84" i="18"/>
  <c r="L84" i="18" s="1"/>
  <c r="I88" i="18"/>
  <c r="I86" i="18" s="1"/>
  <c r="I93" i="18"/>
  <c r="I91" i="18" s="1"/>
  <c r="D31" i="23" l="1"/>
  <c r="F31" i="23"/>
  <c r="I94" i="18"/>
  <c r="L94" i="18" s="1"/>
  <c r="C26" i="22"/>
  <c r="I96" i="18"/>
  <c r="L91" i="18"/>
  <c r="F26" i="22" s="1"/>
  <c r="F32" i="22" s="1"/>
  <c r="F33" i="22" s="1"/>
  <c r="M94" i="18"/>
  <c r="I89" i="18"/>
  <c r="L89" i="18" s="1"/>
  <c r="M84" i="18"/>
  <c r="L81" i="18"/>
  <c r="I97" i="18" l="1"/>
  <c r="I143" i="18"/>
  <c r="M81" i="18"/>
  <c r="N84" i="18"/>
  <c r="M89" i="18"/>
  <c r="L86" i="18"/>
  <c r="L96" i="18" s="1"/>
  <c r="L97" i="18" s="1"/>
  <c r="M91" i="18"/>
  <c r="G26" i="22" s="1"/>
  <c r="G32" i="22" s="1"/>
  <c r="G33" i="22" s="1"/>
  <c r="N94" i="18"/>
  <c r="O94" i="18"/>
  <c r="O91" i="18" s="1"/>
  <c r="I26" i="22" s="1"/>
  <c r="I32" i="22" s="1"/>
  <c r="I33" i="22" s="1"/>
  <c r="I149" i="18" l="1"/>
  <c r="I144" i="18"/>
  <c r="N91" i="18"/>
  <c r="H26" i="22" s="1"/>
  <c r="H32" i="22" s="1"/>
  <c r="H33" i="22" s="1"/>
  <c r="P94" i="18"/>
  <c r="M86" i="18"/>
  <c r="N89" i="18"/>
  <c r="N81" i="18"/>
  <c r="O84" i="18"/>
  <c r="P84" i="18" s="1"/>
  <c r="P81" i="18" s="1"/>
  <c r="M96" i="18"/>
  <c r="M97" i="18" s="1"/>
  <c r="O81" i="18" l="1"/>
  <c r="Q84" i="18"/>
  <c r="Q81" i="18" s="1"/>
  <c r="N86" i="18"/>
  <c r="N96" i="18" s="1"/>
  <c r="N97" i="18" s="1"/>
  <c r="O89" i="18"/>
  <c r="P89" i="18" s="1"/>
  <c r="P86" i="18" s="1"/>
  <c r="P91" i="18"/>
  <c r="J26" i="22" s="1"/>
  <c r="J32" i="22" s="1"/>
  <c r="J33" i="22" s="1"/>
  <c r="Q94" i="18"/>
  <c r="Q91" i="18" s="1"/>
  <c r="K26" i="22" s="1"/>
  <c r="K32" i="22" s="1"/>
  <c r="K33" i="22" l="1"/>
  <c r="K39" i="22"/>
  <c r="K41" i="22" s="1"/>
  <c r="K42" i="22" s="1"/>
  <c r="Q31" i="23" s="1"/>
  <c r="Q35" i="23" s="1"/>
  <c r="Q36" i="23" s="1"/>
  <c r="P96" i="18"/>
  <c r="P97" i="18" s="1"/>
  <c r="O86" i="18"/>
  <c r="O96" i="18" s="1"/>
  <c r="O97" i="18" s="1"/>
  <c r="Q89" i="18"/>
  <c r="Q86" i="18" s="1"/>
  <c r="Q96" i="18" s="1"/>
  <c r="Q97" i="18" s="1"/>
  <c r="R37" i="23" l="1"/>
  <c r="R38" i="23" s="1"/>
  <c r="B33" i="23"/>
  <c r="K43" i="22"/>
  <c r="Q32" i="23" s="1"/>
  <c r="B29" i="23"/>
  <c r="F33" i="23" l="1"/>
  <c r="J31" i="23" s="1"/>
  <c r="J32" i="23" s="1"/>
  <c r="L32" i="23" s="1"/>
  <c r="D33" i="23"/>
  <c r="D29" i="23"/>
  <c r="F29" i="23"/>
  <c r="J26" i="23" s="1"/>
  <c r="J27" i="23" s="1"/>
  <c r="L27" i="23" s="1"/>
  <c r="L147" i="18" l="1"/>
  <c r="L146" i="18" l="1"/>
  <c r="M121" i="18"/>
  <c r="L123" i="18"/>
  <c r="N147" i="18"/>
  <c r="M147" i="18"/>
  <c r="N121" i="18" l="1"/>
  <c r="M123" i="18"/>
  <c r="M146" i="18"/>
  <c r="M149" i="18" s="1"/>
  <c r="M150" i="18" s="1"/>
  <c r="O147" i="18"/>
  <c r="N123" i="18" l="1"/>
  <c r="O121" i="18"/>
  <c r="N146" i="18"/>
  <c r="N149" i="18" s="1"/>
  <c r="N150" i="18" s="1"/>
  <c r="P147" i="18"/>
  <c r="P121" i="18" l="1"/>
  <c r="O123" i="18"/>
  <c r="O146" i="18"/>
  <c r="O149" i="18" s="1"/>
  <c r="O150" i="18" s="1"/>
  <c r="Q147" i="18"/>
  <c r="P123" i="18" l="1"/>
  <c r="Q121" i="18"/>
  <c r="P146" i="18"/>
  <c r="P149" i="18" s="1"/>
  <c r="P150" i="18" s="1"/>
  <c r="Q123" i="18" l="1"/>
  <c r="Q146" i="18"/>
  <c r="Q150" i="18" l="1"/>
  <c r="Q158" i="18" s="1"/>
  <c r="Q161" i="18" l="1"/>
  <c r="Q164" i="18" s="1"/>
  <c r="I114" i="18"/>
  <c r="L114" i="18" s="1"/>
  <c r="J118" i="18" l="1"/>
  <c r="J146" i="18" s="1"/>
  <c r="I119" i="18"/>
  <c r="M114" i="18"/>
  <c r="N114" i="18" s="1"/>
  <c r="L113" i="18"/>
  <c r="J149" i="18" l="1"/>
  <c r="J147" i="18"/>
  <c r="N113" i="18"/>
  <c r="N117" i="18" s="1"/>
  <c r="O114" i="18"/>
  <c r="O113" i="18" s="1"/>
  <c r="O117" i="18" s="1"/>
  <c r="M113" i="18"/>
  <c r="M117" i="18" s="1"/>
  <c r="N119" i="18" l="1"/>
  <c r="N118" i="18"/>
  <c r="L119" i="18"/>
  <c r="M119" i="18"/>
  <c r="M118" i="18"/>
  <c r="O119" i="18"/>
  <c r="O118" i="18"/>
  <c r="P114" i="18"/>
  <c r="P113" i="18" s="1"/>
  <c r="P117" i="18" s="1"/>
  <c r="Q114" i="18" l="1"/>
  <c r="Q113" i="18" s="1"/>
  <c r="Q117" i="18" s="1"/>
  <c r="Q118" i="18" s="1"/>
  <c r="P119" i="18"/>
  <c r="P118" i="18"/>
  <c r="Q119" i="18" l="1"/>
  <c r="U28" i="11"/>
  <c r="U39" i="11"/>
  <c r="V39" i="11" s="1"/>
  <c r="W39" i="11" s="1"/>
  <c r="X39" i="11" s="1"/>
  <c r="Y39" i="11" s="1"/>
  <c r="Z39" i="11" s="1"/>
  <c r="AA39" i="11" s="1"/>
  <c r="O40" i="18" l="1"/>
  <c r="V28" i="11"/>
  <c r="W28" i="11" l="1"/>
  <c r="I18" i="21"/>
  <c r="I33" i="21" s="1"/>
  <c r="I34" i="21" s="1"/>
  <c r="I16" i="21"/>
  <c r="P40" i="18" l="1"/>
  <c r="X28" i="11"/>
  <c r="Y28" i="11" s="1"/>
  <c r="Z28" i="11" s="1"/>
  <c r="AA28" i="11" s="1"/>
  <c r="Q40" i="18" l="1"/>
  <c r="J18" i="21"/>
  <c r="J21" i="21" s="1"/>
  <c r="J33" i="21" s="1"/>
  <c r="J34" i="21" s="1"/>
  <c r="J16" i="21"/>
  <c r="K18" i="21" l="1"/>
  <c r="K21" i="21"/>
  <c r="K33" i="21" s="1"/>
  <c r="K39" i="21" s="1"/>
  <c r="K16" i="21"/>
  <c r="K40" i="21" l="1"/>
  <c r="K34" i="21"/>
  <c r="K42" i="21" l="1"/>
  <c r="B28" i="23" l="1"/>
  <c r="F28" i="23" s="1"/>
  <c r="H26" i="23" s="1"/>
  <c r="H27" i="23" s="1"/>
  <c r="K43" i="21"/>
  <c r="P31" i="23" s="1"/>
  <c r="P35" i="23" l="1"/>
  <c r="P36" i="23" s="1"/>
  <c r="R36" i="23" s="1"/>
  <c r="D28" i="23"/>
  <c r="B32" i="23"/>
  <c r="K44" i="21"/>
  <c r="P32" i="23" s="1"/>
  <c r="D32" i="23" l="1"/>
  <c r="F32" i="23"/>
  <c r="H31" i="23" s="1"/>
  <c r="H32" i="2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2"/>
        </ext>
      </extLst>
    </bk>
    <bk>
      <extLst>
        <ext uri="{3e2802c4-a4d2-4d8b-9148-e3be6c30e623}">
          <xlrd:rvb i="5"/>
        </ext>
      </extLst>
    </bk>
  </futureMetadata>
  <cellMetadata count="1">
    <bk>
      <rc t="1" v="0"/>
    </bk>
  </cellMetadata>
  <valueMetadata count="2">
    <bk>
      <rc t="2" v="0"/>
    </bk>
    <bk>
      <rc t="2" v="1"/>
    </bk>
  </valueMetadata>
</metadata>
</file>

<file path=xl/sharedStrings.xml><?xml version="1.0" encoding="utf-8"?>
<sst xmlns="http://schemas.openxmlformats.org/spreadsheetml/2006/main" count="3387" uniqueCount="1160">
  <si>
    <t>Netflix Inc (NFLX US) - BBG GAAP</t>
  </si>
  <si>
    <t>In Millions of USD except Per Share</t>
  </si>
  <si>
    <t>FY 2018</t>
  </si>
  <si>
    <t>FY 2019</t>
  </si>
  <si>
    <t>FY 2020</t>
  </si>
  <si>
    <t>FY 2021</t>
  </si>
  <si>
    <t>FY 2022</t>
  </si>
  <si>
    <t>FY 2023</t>
  </si>
  <si>
    <t>FY 2024</t>
  </si>
  <si>
    <t>Last 12M</t>
  </si>
  <si>
    <t>FY 2025 Est</t>
  </si>
  <si>
    <t>FY 2026 Est</t>
  </si>
  <si>
    <t>12 Months Ending</t>
  </si>
  <si>
    <t>12/31/2018</t>
  </si>
  <si>
    <t>12/31/2019</t>
  </si>
  <si>
    <t>12/31/2020</t>
  </si>
  <si>
    <t>12/31/2021</t>
  </si>
  <si>
    <t>12/31/2022</t>
  </si>
  <si>
    <t>12/31/2023</t>
  </si>
  <si>
    <t>12/31/2024</t>
  </si>
  <si>
    <t>09/30/2025</t>
  </si>
  <si>
    <t>12/31/2025</t>
  </si>
  <si>
    <t>12/31/2026</t>
  </si>
  <si>
    <t>Revenue</t>
  </si>
  <si>
    <t>SALES_REV_TURN</t>
  </si>
  <si>
    <t xml:space="preserve">    + Sales &amp; Services Revenue</t>
  </si>
  <si>
    <t>IS_SALES_AND_SERVICES_REVENUES</t>
  </si>
  <si>
    <t xml:space="preserve">  - Cost of Revenue</t>
  </si>
  <si>
    <t>IS_COGS_TO_FE_AND_PP_AND_G</t>
  </si>
  <si>
    <t xml:space="preserve">    + Cost of Goods &amp; Services</t>
  </si>
  <si>
    <t>IS_COG_AND_SERVICES_SOLD</t>
  </si>
  <si>
    <t>Gross Profit</t>
  </si>
  <si>
    <t>GROSS_PROFIT</t>
  </si>
  <si>
    <t xml:space="preserve">  + Other Operating Income</t>
  </si>
  <si>
    <t>IS_OTHER_OPER_INC</t>
  </si>
  <si>
    <t xml:space="preserve">  - Operating Expenses</t>
  </si>
  <si>
    <t>IS_OPERATING_EXPN</t>
  </si>
  <si>
    <t xml:space="preserve">    + Selling, General &amp; Admin</t>
  </si>
  <si>
    <t>IS_SGA_EXPENSE</t>
  </si>
  <si>
    <t xml:space="preserve">    + Selling &amp; Marketing</t>
  </si>
  <si>
    <t>IS_SELLING_EXPENSES</t>
  </si>
  <si>
    <t xml:space="preserve">    + General &amp; Administrative</t>
  </si>
  <si>
    <t>IS_GENERAL_AND_ADMINISTRATIVE</t>
  </si>
  <si>
    <t xml:space="preserve">    + Research &amp; Development</t>
  </si>
  <si>
    <t>IS_OPER_EXPENSES_RD_GAAP</t>
  </si>
  <si>
    <t xml:space="preserve">    + Other Operating Expense</t>
  </si>
  <si>
    <t>OTHER_OPERATING_EXPENSES_RATIO</t>
  </si>
  <si>
    <t>Operating Income (Loss)</t>
  </si>
  <si>
    <t>IS_OPER_INC</t>
  </si>
  <si>
    <t xml:space="preserve">  - Non-Operating (Income) Loss</t>
  </si>
  <si>
    <t>NONOP_INCOME_LOSS</t>
  </si>
  <si>
    <t xml:space="preserve">    + Interest Expense, Net</t>
  </si>
  <si>
    <t>IS_NET_INTEREST_EXPENSE</t>
  </si>
  <si>
    <t xml:space="preserve">    + Interest Expense</t>
  </si>
  <si>
    <t>IS_INT_EXPENSE</t>
  </si>
  <si>
    <t xml:space="preserve">    - Interest Income</t>
  </si>
  <si>
    <t>IS_INT_INC</t>
  </si>
  <si>
    <t xml:space="preserve">    + Foreign Exch (Gain) Loss</t>
  </si>
  <si>
    <t>IS_FOREIGN_EXCH_LOSS</t>
  </si>
  <si>
    <t xml:space="preserve">    + (Income) Loss from Affiliates</t>
  </si>
  <si>
    <t>INCOME_LOSS_FROM_AFFILIATES</t>
  </si>
  <si>
    <t>—</t>
  </si>
  <si>
    <t xml:space="preserve">    + Other Non-Op (Income) Loss</t>
  </si>
  <si>
    <t>OTHER_NONOP_INCOME_LOSS</t>
  </si>
  <si>
    <t>Pretax Income</t>
  </si>
  <si>
    <t>PRETAX_INC</t>
  </si>
  <si>
    <t xml:space="preserve">  - Income Tax Expense (Benefit)</t>
  </si>
  <si>
    <t>IS_INC_TAX_EXP</t>
  </si>
  <si>
    <t xml:space="preserve">    + Current Income Tax</t>
  </si>
  <si>
    <t>IS_CURRENT_INCOME_TAX_BENEFIT</t>
  </si>
  <si>
    <t xml:space="preserve">    + Deferred Income Tax</t>
  </si>
  <si>
    <t>IS_DEFERRED_INCOME_TAX_BENEFIT</t>
  </si>
  <si>
    <t xml:space="preserve">    + Tax Allowance/Credit</t>
  </si>
  <si>
    <t>IS_TAX_VALN_ALLOWNCE_CREDITS</t>
  </si>
  <si>
    <t>Income (Loss) from Cont Ops</t>
  </si>
  <si>
    <t>IS_INC_BEF_XO_ITEM</t>
  </si>
  <si>
    <t xml:space="preserve">  - Net Extraordinary Losses (Gains)</t>
  </si>
  <si>
    <t>XO_GL_NET_OF_TAX</t>
  </si>
  <si>
    <t xml:space="preserve">    + Discontinued Operations</t>
  </si>
  <si>
    <t>IS_DISCONTINUED_OPERATIONS</t>
  </si>
  <si>
    <t xml:space="preserve">    + XO &amp; Accounting Changes</t>
  </si>
  <si>
    <t>EXTRAORD_ITEMS_ACCOUNTING_CHANGS</t>
  </si>
  <si>
    <t>Income (Loss) Incl. MI</t>
  </si>
  <si>
    <t>NI_INCLUDING_MINORITY_INT_RATIO</t>
  </si>
  <si>
    <t xml:space="preserve">  - Minority Interest</t>
  </si>
  <si>
    <t>MIN_NONCONTROL_INTEREST_CREDITS</t>
  </si>
  <si>
    <t>Net Income, GAAP</t>
  </si>
  <si>
    <t>NET_INCOME</t>
  </si>
  <si>
    <t xml:space="preserve">  - Preferred Dividends</t>
  </si>
  <si>
    <t>IS_TOT_CASH_PFD_DVD</t>
  </si>
  <si>
    <t xml:space="preserve">  - Other Adjustments</t>
  </si>
  <si>
    <t>OTHER_ADJUSTMENTS</t>
  </si>
  <si>
    <t>Net Income Avail to Common, GAAP</t>
  </si>
  <si>
    <t>EARN_FOR_COMMON</t>
  </si>
  <si>
    <t>Net Income Avail to Common, Adj</t>
  </si>
  <si>
    <t xml:space="preserve">  Net Abnormal Losses (Gains)</t>
  </si>
  <si>
    <t>IS_NET_ABNORMAL_ITEMS</t>
  </si>
  <si>
    <t xml:space="preserve">  Net Extraordinary Losses (Gains)</t>
  </si>
  <si>
    <t>Basic Weighted Avg Shares</t>
  </si>
  <si>
    <t>IS_AVG_NUM_SH_FOR_EPS</t>
  </si>
  <si>
    <t>Basic EPS, GAAP</t>
  </si>
  <si>
    <t>IS_EPS</t>
  </si>
  <si>
    <t>Basic EPS from Cont Ops, GAAP</t>
  </si>
  <si>
    <t>IS_EARN_BEF_XO_ITEMS_PER_SH</t>
  </si>
  <si>
    <t>Basic EPS from Cont Ops, Adjusted</t>
  </si>
  <si>
    <t>IS_BASIC_EPS_CONT_OPS</t>
  </si>
  <si>
    <t>Diluted Weighted Avg Shares</t>
  </si>
  <si>
    <t>IS_SH_FOR_DILUTED_EPS</t>
  </si>
  <si>
    <t>Diluted EPS, GAAP</t>
  </si>
  <si>
    <t>IS_DILUTED_EPS</t>
  </si>
  <si>
    <t>Diluted EPS from Cont Ops, GAAP</t>
  </si>
  <si>
    <t>IS_DIL_EPS_BEF_XO</t>
  </si>
  <si>
    <t>Diluted EPS from Cont Ops, Adjusted</t>
  </si>
  <si>
    <t>IS_DIL_EPS_CONT_OPS</t>
  </si>
  <si>
    <t>Reference Items</t>
  </si>
  <si>
    <t>Accounting Standard</t>
  </si>
  <si>
    <t>ACCOUNTING_STANDARD</t>
  </si>
  <si>
    <t>US GAAP</t>
  </si>
  <si>
    <t>EBITDA</t>
  </si>
  <si>
    <t>EBITDA Margin (T12M)</t>
  </si>
  <si>
    <t>EBITDA_MARGIN</t>
  </si>
  <si>
    <t>EBITA</t>
  </si>
  <si>
    <t>EBIT</t>
  </si>
  <si>
    <t>Gross Margin</t>
  </si>
  <si>
    <t>GROSS_MARGIN</t>
  </si>
  <si>
    <t>Operating Margin</t>
  </si>
  <si>
    <t>OPER_MARGIN</t>
  </si>
  <si>
    <t>Profit Margin</t>
  </si>
  <si>
    <t>PROF_MARGIN</t>
  </si>
  <si>
    <t>Sales per Employee</t>
  </si>
  <si>
    <t>ACTUAL_SALES_PER_EMPL</t>
  </si>
  <si>
    <t>Dividends per Share</t>
  </si>
  <si>
    <t>EQY_DPS</t>
  </si>
  <si>
    <t>Total Cash Common Dividends</t>
  </si>
  <si>
    <t>IS_TOT_CASH_COM_DVD</t>
  </si>
  <si>
    <t>Depreciation Expense</t>
  </si>
  <si>
    <t>IS_DEPR_EXP</t>
  </si>
  <si>
    <t>Rental Expense</t>
  </si>
  <si>
    <t>BS_CURR_RENTAL_EXPENSE</t>
  </si>
  <si>
    <t>Source: Bloomberg</t>
  </si>
  <si>
    <t>Right click to show data transparency (not supported for all values)</t>
  </si>
  <si>
    <t>Netflix Inc (NFLX US) - Standardized</t>
  </si>
  <si>
    <t>FY 2015</t>
  </si>
  <si>
    <t>FY 2016</t>
  </si>
  <si>
    <t>FY 2017</t>
  </si>
  <si>
    <t>12/31/2015</t>
  </si>
  <si>
    <t>12/31/2016</t>
  </si>
  <si>
    <t>12/31/2017</t>
  </si>
  <si>
    <t>Total Assets</t>
  </si>
  <si>
    <t xml:space="preserve">  + Cash, Cash Equivalents &amp; STI</t>
  </si>
  <si>
    <t>CASH_CASH_EQTY_STI_DETAILED</t>
  </si>
  <si>
    <t xml:space="preserve">    + Cash &amp; Cash Equivalents</t>
  </si>
  <si>
    <t>BS_CASH_NEAR_CASH_ITEM</t>
  </si>
  <si>
    <t xml:space="preserve">    + ST Investments</t>
  </si>
  <si>
    <t>BS_MKT_SEC_OTHER_ST_INVEST</t>
  </si>
  <si>
    <t xml:space="preserve">  + Accounts &amp; Notes Receiv</t>
  </si>
  <si>
    <t>BS_ACCT_NOTE_RCV</t>
  </si>
  <si>
    <t xml:space="preserve">    + Accounts Receivable, Net</t>
  </si>
  <si>
    <t>BS_ACCTS_REC_EXCL_NOTES_REC</t>
  </si>
  <si>
    <t xml:space="preserve">    + Notes Receivable, Net</t>
  </si>
  <si>
    <t>NOTES_RECEIVABLE</t>
  </si>
  <si>
    <t xml:space="preserve">  + Inventories</t>
  </si>
  <si>
    <t>BS_INVENTORIES</t>
  </si>
  <si>
    <t xml:space="preserve">    + Raw Materials</t>
  </si>
  <si>
    <t>INVTRY_RAW_MATERIALS</t>
  </si>
  <si>
    <t xml:space="preserve">    + Work In Process</t>
  </si>
  <si>
    <t>INVTRY_IN_PROGRESS</t>
  </si>
  <si>
    <t xml:space="preserve">    + Finished Goods</t>
  </si>
  <si>
    <t>INVTRY_FINISHED_GOODS</t>
  </si>
  <si>
    <t xml:space="preserve">    + Other Inventory</t>
  </si>
  <si>
    <t>BS_OTHER_INV</t>
  </si>
  <si>
    <t xml:space="preserve">  + Other ST Assets</t>
  </si>
  <si>
    <t>OTHER_CURRENT_ASSETS_DETAILED</t>
  </si>
  <si>
    <t xml:space="preserve">    + Prepaid Expenses</t>
  </si>
  <si>
    <t>BS_PREPAY</t>
  </si>
  <si>
    <t xml:space="preserve">    + Derivative &amp; Hedging Assets</t>
  </si>
  <si>
    <t>BS_DERIV_HEDGING_ASST_ST</t>
  </si>
  <si>
    <t xml:space="preserve">    + Deferred Tax Assets</t>
  </si>
  <si>
    <t>BS_DEFERRED_TAX_ASSETS_ST</t>
  </si>
  <si>
    <t xml:space="preserve">    + Misc ST Assets</t>
  </si>
  <si>
    <t>BS_OTHER_CUR_ASSET_LESS_PREPAY</t>
  </si>
  <si>
    <t>Total Current Assets</t>
  </si>
  <si>
    <t>BS_CUR_ASSET_REPORT</t>
  </si>
  <si>
    <t xml:space="preserve">  + Property, Plant &amp; Equip, Net</t>
  </si>
  <si>
    <t>BS_NET_FIX_ASSET</t>
  </si>
  <si>
    <t xml:space="preserve">    + Property, Plant &amp; Equip</t>
  </si>
  <si>
    <t>BS_GROSS_FIX_ASSET</t>
  </si>
  <si>
    <t xml:space="preserve">    - Accumulated Depreciation</t>
  </si>
  <si>
    <t>BS_ACCUM_DEPR</t>
  </si>
  <si>
    <t xml:space="preserve">  + LT Investments &amp; Receivables</t>
  </si>
  <si>
    <t>BS_LT_INVEST</t>
  </si>
  <si>
    <t xml:space="preserve">  + Other LT Assets</t>
  </si>
  <si>
    <t>BS_OTHER_ASSETS_DEF_CHRG_OTHER</t>
  </si>
  <si>
    <t xml:space="preserve">    + Total Intangible Assets</t>
  </si>
  <si>
    <t>BS_DISCLOSED_INTANGIBLES</t>
  </si>
  <si>
    <t xml:space="preserve">    + Goodwill</t>
  </si>
  <si>
    <t>BS_GOODWILL</t>
  </si>
  <si>
    <t xml:space="preserve">    + Other Intangible Assets</t>
  </si>
  <si>
    <t>OTHER_INTANGIBLE_ASSETS_DETAILED</t>
  </si>
  <si>
    <t>BS_DEFERRED_TAX_ASSETS_LT</t>
  </si>
  <si>
    <t>BS_DERIV_HEDGING_ASST_LT</t>
  </si>
  <si>
    <t xml:space="preserve">    + Misc LT Assets</t>
  </si>
  <si>
    <t>OTHER_NONCURRENT_ASSETS_DETAILED</t>
  </si>
  <si>
    <t>Total Noncurrent Assets</t>
  </si>
  <si>
    <t>BS_TOT_NON_CUR_ASSET</t>
  </si>
  <si>
    <t>BS_TOT_ASSET</t>
  </si>
  <si>
    <t>Liabilities &amp; Shareholders' Equity</t>
  </si>
  <si>
    <t xml:space="preserve">  + Payables &amp; Accruals</t>
  </si>
  <si>
    <t>ACCT_PAYABLE_ACCRUALS_DETAILED</t>
  </si>
  <si>
    <t xml:space="preserve">    + Accounts Payable</t>
  </si>
  <si>
    <t>BS_ACCT_PAYABLE</t>
  </si>
  <si>
    <t xml:space="preserve">    + Accrued Taxes</t>
  </si>
  <si>
    <t>BS_TAXES_PAYABLE</t>
  </si>
  <si>
    <t xml:space="preserve">    + Interest &amp; Dividends Payable</t>
  </si>
  <si>
    <t>INTEREST_DIVIDENDS_PAYABLE</t>
  </si>
  <si>
    <t xml:space="preserve">    + Other Payables &amp; Accruals</t>
  </si>
  <si>
    <t>BS_ACCRUAL</t>
  </si>
  <si>
    <t xml:space="preserve">  + ST Debt</t>
  </si>
  <si>
    <t>BS_ST_BORROW</t>
  </si>
  <si>
    <t xml:space="preserve">    + ST Borrowings</t>
  </si>
  <si>
    <t>SHORT_TERM_DEBT_DETAILED</t>
  </si>
  <si>
    <t xml:space="preserve">    + ST Lease Liabilities</t>
  </si>
  <si>
    <t>ST_CAPITALIZED_LEASE_LIABILITIES</t>
  </si>
  <si>
    <t xml:space="preserve">      + ST Finance Leases</t>
  </si>
  <si>
    <t>ST_CAPITAL_LEASE_OBLIGATIONS</t>
  </si>
  <si>
    <t xml:space="preserve">      + ST Operating Leases</t>
  </si>
  <si>
    <t>BS_ST_OPERATING_LEASE_LIABS</t>
  </si>
  <si>
    <t xml:space="preserve">  + Other ST Liabilities</t>
  </si>
  <si>
    <t>OTHER_CURRENT_LIABS_SUB_DETAILED</t>
  </si>
  <si>
    <t xml:space="preserve">    + Deferred Revenue</t>
  </si>
  <si>
    <t>ST_DEFERRED_REVENUE</t>
  </si>
  <si>
    <t xml:space="preserve">    + Derivatives &amp; Hedging</t>
  </si>
  <si>
    <t>BS_DERIV_HEDGING_LIAB_ST</t>
  </si>
  <si>
    <t xml:space="preserve">    + Misc ST Liabilities</t>
  </si>
  <si>
    <t>OTHER_CURRENT_LIABS_DETAILED</t>
  </si>
  <si>
    <t>Total Current Liabilities</t>
  </si>
  <si>
    <t>BS_CUR_LIAB</t>
  </si>
  <si>
    <t xml:space="preserve">  + LT Debt</t>
  </si>
  <si>
    <t>BS_LT_BORROW</t>
  </si>
  <si>
    <t xml:space="preserve">    + LT Borrowings</t>
  </si>
  <si>
    <t>LONG_TERM_BORROWINGS_DETAILED</t>
  </si>
  <si>
    <t xml:space="preserve">    + LT Lease Liabilities</t>
  </si>
  <si>
    <t>LT_CAPITALIZED_LEASE_LIABILITIES</t>
  </si>
  <si>
    <t xml:space="preserve">      + LT Finance Leases</t>
  </si>
  <si>
    <t>LT_CAPITAL_LEASE_OBLIGATIONS</t>
  </si>
  <si>
    <t xml:space="preserve">      + LT Operating Leases</t>
  </si>
  <si>
    <t>BS_LT_OPERATING_LEASE_LIABS</t>
  </si>
  <si>
    <t xml:space="preserve">  + Other LT Liabilities</t>
  </si>
  <si>
    <t>OTHER_NONCUR_LIABS_SUB_DETAILED</t>
  </si>
  <si>
    <t xml:space="preserve">    + Accrued Liabilities</t>
  </si>
  <si>
    <t>BS_ACCRUED_LIABILITIES</t>
  </si>
  <si>
    <t xml:space="preserve">    + Pension Liabilities</t>
  </si>
  <si>
    <t>PENSION_LIABILITIES</t>
  </si>
  <si>
    <t xml:space="preserve">    + Pensions</t>
  </si>
  <si>
    <t>BS_PENSIONS_LT_LIABS</t>
  </si>
  <si>
    <t xml:space="preserve">    + Other Post-Ret Benefits</t>
  </si>
  <si>
    <t>BS_OPRB_LT_LIABS</t>
  </si>
  <si>
    <t>LT_DEFERRED_REVENUE</t>
  </si>
  <si>
    <t>BS_DERIV_HEDGING_LIAB_LT</t>
  </si>
  <si>
    <t xml:space="preserve">    + Misc LT Liabilities</t>
  </si>
  <si>
    <t>OTHER_NONCURRENT_LIABS_DETAILED</t>
  </si>
  <si>
    <t>Total Noncurrent Liabilities</t>
  </si>
  <si>
    <t>NON_CUR_LIAB</t>
  </si>
  <si>
    <t>Total Liabilities</t>
  </si>
  <si>
    <t>BS_TOT_LIAB2</t>
  </si>
  <si>
    <t xml:space="preserve">  + Preferred Equity and Hybrid Capital</t>
  </si>
  <si>
    <t>PFD_EQTY_HYBRID_CAPITAL</t>
  </si>
  <si>
    <t xml:space="preserve">  + Share Capital &amp; APIC</t>
  </si>
  <si>
    <t>BS_SH_CAP_AND_APIC</t>
  </si>
  <si>
    <t xml:space="preserve">    + Common Stock</t>
  </si>
  <si>
    <t>BS_COMMON_STOCK</t>
  </si>
  <si>
    <t xml:space="preserve">    + Additional Paid in Capital</t>
  </si>
  <si>
    <t>BS_ADD_PAID_IN_CAP</t>
  </si>
  <si>
    <t xml:space="preserve">  - Treasury Stock</t>
  </si>
  <si>
    <t>BS_AMT_OF_TSY_STOCK</t>
  </si>
  <si>
    <t xml:space="preserve">  + Retained Earnings</t>
  </si>
  <si>
    <t>BS_PURE_RETAINED_EARNINGS</t>
  </si>
  <si>
    <t xml:space="preserve">  + Other Equity</t>
  </si>
  <si>
    <t>OTHER_EQUITY_RATIO</t>
  </si>
  <si>
    <t>Equity Before Minority Interest</t>
  </si>
  <si>
    <t>EQTY_BEF_MINORITY_INT_DETAILED</t>
  </si>
  <si>
    <t xml:space="preserve">  + Minority/Non Controlling Interest</t>
  </si>
  <si>
    <t>MINORITY_NONCONTROLLING_INTEREST</t>
  </si>
  <si>
    <t>Total Equity</t>
  </si>
  <si>
    <t>TOTAL_EQUITY</t>
  </si>
  <si>
    <t>Total Liabilities &amp; Equity</t>
  </si>
  <si>
    <t>TOT_LIAB_AND_EQY</t>
  </si>
  <si>
    <t>Shares Outstanding</t>
  </si>
  <si>
    <t>BS_SH_OUT</t>
  </si>
  <si>
    <t>Number of Treasury Shares</t>
  </si>
  <si>
    <t>BS_NUM_OF_TSY_SH</t>
  </si>
  <si>
    <t>Pension Obligations</t>
  </si>
  <si>
    <t>BS_PENSION_RSRV</t>
  </si>
  <si>
    <t>Future Minimum Operating Lease Obligations</t>
  </si>
  <si>
    <t>BS_FUTURE_MIN_OPER_LEASE_OBLIG</t>
  </si>
  <si>
    <t>Capital Leases - Total</t>
  </si>
  <si>
    <t>BS_TOTAL_CAPITAL_LEASES</t>
  </si>
  <si>
    <t>Options Granted During Period</t>
  </si>
  <si>
    <t>BS_OPTIONS_GRANTED</t>
  </si>
  <si>
    <t>Options Outstanding at Period End</t>
  </si>
  <si>
    <t>BS_OPTIONS_OUTSTANDING</t>
  </si>
  <si>
    <t>Net Debt</t>
  </si>
  <si>
    <t>NET_DEBT</t>
  </si>
  <si>
    <t>Net Debt to Equity</t>
  </si>
  <si>
    <t>NET_DEBT_TO_SHRHLDR_EQTY</t>
  </si>
  <si>
    <t>Tangible Common Equity Ratio</t>
  </si>
  <si>
    <t>TCE_RATIO</t>
  </si>
  <si>
    <t>Current Ratio</t>
  </si>
  <si>
    <t>CUR_RATIO</t>
  </si>
  <si>
    <t>Cash Held Overseas</t>
  </si>
  <si>
    <t>BS_CASH_HELD_OVERSEAS</t>
  </si>
  <si>
    <t>Number of Employees</t>
  </si>
  <si>
    <t>NUM_OF_EMPLOYEES</t>
  </si>
  <si>
    <t>Cash from Operating Activities</t>
  </si>
  <si>
    <t xml:space="preserve">  + Net Income</t>
  </si>
  <si>
    <t>CF_NET_INC</t>
  </si>
  <si>
    <t xml:space="preserve">  + Depreciation &amp; Amortization</t>
  </si>
  <si>
    <t>CF_DEPR_AMORT</t>
  </si>
  <si>
    <t xml:space="preserve">  + Non-Cash Items</t>
  </si>
  <si>
    <t>NON_CASH_ITEMS_DETAILED</t>
  </si>
  <si>
    <t xml:space="preserve">    + Stock-Based Compensation</t>
  </si>
  <si>
    <t>CF_STOCK_BASED_COMPENSATION</t>
  </si>
  <si>
    <t xml:space="preserve">    + Deferred Income Taxes</t>
  </si>
  <si>
    <t>CF_DEF_INC_TAX</t>
  </si>
  <si>
    <t xml:space="preserve">    + Other Non-Cash Adj</t>
  </si>
  <si>
    <t>OTHER_NON_CASH_ADJ_LESS_DETAILED</t>
  </si>
  <si>
    <t xml:space="preserve">  + Chg in Non-Cash Work Cap</t>
  </si>
  <si>
    <t>CF_CHNG_NON_CASH_WORK_CAP</t>
  </si>
  <si>
    <t xml:space="preserve">    + (Inc) Dec in Accts Receiv</t>
  </si>
  <si>
    <t>CF_ACCT_RCV_UNBILLED_REV</t>
  </si>
  <si>
    <t xml:space="preserve">    + (Inc) Dec in Inventories</t>
  </si>
  <si>
    <t>CF_CHANGE_IN_INVENTORIES</t>
  </si>
  <si>
    <t xml:space="preserve">    + Inc (Dec) in Accts Payable</t>
  </si>
  <si>
    <t>CF_CHANGE_IN_ACCOUNTS_PAYABLE</t>
  </si>
  <si>
    <t xml:space="preserve">    + Inc (Dec) in Other</t>
  </si>
  <si>
    <t>INC_DEC_IN_OT_OP_AST_LIAB_DETAIL</t>
  </si>
  <si>
    <t xml:space="preserve">  + Net Cash From Disc Ops</t>
  </si>
  <si>
    <t>CF_NET_CASH_DISCONT_OPS_OPER</t>
  </si>
  <si>
    <t>CF_CASH_FROM_OPER</t>
  </si>
  <si>
    <t>Cash from Investing Activities</t>
  </si>
  <si>
    <t xml:space="preserve">  + Change in Fixed &amp; Intang</t>
  </si>
  <si>
    <t>FIXED_INTANG_ASST_CHANGE</t>
  </si>
  <si>
    <t xml:space="preserve">    + Disp in Fixed &amp; Intang</t>
  </si>
  <si>
    <t>DISPOSAL_OF_FIXED_INTANG</t>
  </si>
  <si>
    <t xml:space="preserve">    + Disp of Fixed Prod Assets</t>
  </si>
  <si>
    <t>CF_DISPOSAL_OF_FIXED_PROD_ASSETS</t>
  </si>
  <si>
    <t xml:space="preserve">    + Disp of Intangible Assets</t>
  </si>
  <si>
    <t>CF_DISPOSAL_OF_INTANGIBLE_ASSETS</t>
  </si>
  <si>
    <t xml:space="preserve">    + Acq of Fixed &amp; Intang</t>
  </si>
  <si>
    <t>ACQUIS_OF_FIXED_INTANG</t>
  </si>
  <si>
    <t xml:space="preserve">    + Acq of Fixed Prod Assets</t>
  </si>
  <si>
    <t>CF_PURCHASE_OF_FIXED_PROD_ASSETS</t>
  </si>
  <si>
    <t xml:space="preserve">    + Acq of Intangible Assets</t>
  </si>
  <si>
    <t>CF_ACQUISITION_OF_INTANG_ASSETS</t>
  </si>
  <si>
    <t xml:space="preserve">  + Net Change in LT Investment</t>
  </si>
  <si>
    <t>NET_CHG_IN_LT_INVEST_DETAILED</t>
  </si>
  <si>
    <t xml:space="preserve">    + Dec in LT Investment</t>
  </si>
  <si>
    <t>CF_DECR_INVEST</t>
  </si>
  <si>
    <t xml:space="preserve">    + Inc in LT Investment</t>
  </si>
  <si>
    <t>CF_INCR_INVEST</t>
  </si>
  <si>
    <t xml:space="preserve">  + Net Cash From Acq &amp; Div</t>
  </si>
  <si>
    <t>CF_NT_CSH_RCVD_PD_FOR_ACQUIS_DIV</t>
  </si>
  <si>
    <t xml:space="preserve">    + Cash from Divestitures</t>
  </si>
  <si>
    <t>CF_CASH_FOR_DIVESTITURES</t>
  </si>
  <si>
    <t xml:space="preserve">    + Cash for Acq of Subs</t>
  </si>
  <si>
    <t>CF_CASH_FOR_ACQUIS_SUBSIDIARIES</t>
  </si>
  <si>
    <t xml:space="preserve">    + Cash for JVs</t>
  </si>
  <si>
    <t>CF_CASH_FOR_JOINT_VENTURES_ASSOC</t>
  </si>
  <si>
    <t xml:space="preserve">  + Other Investing Activities</t>
  </si>
  <si>
    <t>OTHER_INVESTING_ACT_DETAILED</t>
  </si>
  <si>
    <t>CF_NET_CASH_DISCONTINUED_OPS_INV</t>
  </si>
  <si>
    <t>CF_CASH_FROM_INV_ACT</t>
  </si>
  <si>
    <t>Cash from Financing Activities</t>
  </si>
  <si>
    <t xml:space="preserve">  + Dividends Paid</t>
  </si>
  <si>
    <t>CF_DVD_PAID</t>
  </si>
  <si>
    <t xml:space="preserve">  + Cash From (Repayment) Debt</t>
  </si>
  <si>
    <t>PROC_FR_REPAYMNTS_BOR_DETAILED</t>
  </si>
  <si>
    <t xml:space="preserve">    + Cash From (Repay) ST Debt</t>
  </si>
  <si>
    <t>CF_NET_CHG_ST_DEBT_CPTL_LEAS</t>
  </si>
  <si>
    <t xml:space="preserve">    + Cash From LT Debt</t>
  </si>
  <si>
    <t>CF_LT_DEBT_CAP_LEAS_PROCEEDS</t>
  </si>
  <si>
    <t xml:space="preserve">    + Repayments of LT Debt</t>
  </si>
  <si>
    <t>CF_LT_DEBT_CAP_LEAS_PAYMENT</t>
  </si>
  <si>
    <t xml:space="preserve">  + Cash (Repurchase) of Equity</t>
  </si>
  <si>
    <t>PROC_FR_REPURCH_EQTY_DETAILED</t>
  </si>
  <si>
    <t xml:space="preserve">    + Increase in Capital Stock</t>
  </si>
  <si>
    <t>CF_INCR_CAP_STOCK</t>
  </si>
  <si>
    <t xml:space="preserve">    + Decrease in Capital Stock</t>
  </si>
  <si>
    <t>CF_DECR_CAP_STOCK</t>
  </si>
  <si>
    <t xml:space="preserve">  + Other Financing Activities</t>
  </si>
  <si>
    <t>OTHER_FIN_AND_DEC_CAP</t>
  </si>
  <si>
    <t>CF_NET_CASH_DISCONTINUED_OPS_FIN</t>
  </si>
  <si>
    <t>CFF_ACTIVITIES_DETAILED</t>
  </si>
  <si>
    <t xml:space="preserve">  Effect of Foreign Exchange Rates</t>
  </si>
  <si>
    <t>CF_EFFECT_FOREIGN_EXCHANGES</t>
  </si>
  <si>
    <t>Net Changes in Cash</t>
  </si>
  <si>
    <t>CF_NET_CHNG_CASH</t>
  </si>
  <si>
    <t>Cash Paid for Taxes</t>
  </si>
  <si>
    <t>CF_CASH_PAID_FOR_TAX</t>
  </si>
  <si>
    <t>Cash Paid for Interest</t>
  </si>
  <si>
    <t>CF_ACT_CASH_PAID_FOR_INT_DEBT</t>
  </si>
  <si>
    <t>Trailing 12M EBITDA Margin</t>
  </si>
  <si>
    <t>Net Cash Paid for Acquisitions</t>
  </si>
  <si>
    <t>CF_NET_CASH_PAID_FOR_AQUIS</t>
  </si>
  <si>
    <t>Tax Benefit from Stock Options</t>
  </si>
  <si>
    <t>CF_TAX_BENEFIT_FRM_STOCK_OPTIONS</t>
  </si>
  <si>
    <t>Free Cash Flow</t>
  </si>
  <si>
    <t>CF_FREE_CASH_FLOW</t>
  </si>
  <si>
    <t>Free Cash Flow to Firm</t>
  </si>
  <si>
    <t>CF_FREE_CASH_FLOW_FIRM</t>
  </si>
  <si>
    <t>Free Cash Flow to Equity</t>
  </si>
  <si>
    <t>FREE_CASH_FLOW_EQUITY</t>
  </si>
  <si>
    <t>Free Cash Flow per Basic Share</t>
  </si>
  <si>
    <t>FREE_CASH_FLOW_PER_SH</t>
  </si>
  <si>
    <t>Price to Free Cash Flow</t>
  </si>
  <si>
    <t>PX_TO_FREE_CASH_FLOW</t>
  </si>
  <si>
    <t>Cash Flow to Net Income</t>
  </si>
  <si>
    <t>CASH_FLOW_TO_NET_INC</t>
  </si>
  <si>
    <t>Security Id</t>
  </si>
  <si>
    <t>FIGI</t>
  </si>
  <si>
    <t>Maturity Type</t>
  </si>
  <si>
    <t>Security Description</t>
  </si>
  <si>
    <t>Maturity</t>
  </si>
  <si>
    <t>Principal Due</t>
  </si>
  <si>
    <t>Amount Outstanding</t>
  </si>
  <si>
    <t>Interest</t>
  </si>
  <si>
    <t>Coupon</t>
  </si>
  <si>
    <t>Currency</t>
  </si>
  <si>
    <t>Normalized Payment Rank</t>
  </si>
  <si>
    <t>Ask Price</t>
  </si>
  <si>
    <t>Yield to Maturity (Mid)</t>
  </si>
  <si>
    <t>QZ981474 Corp</t>
  </si>
  <si>
    <t>BBG00F2Y0L02</t>
  </si>
  <si>
    <t>AT MATURITY</t>
  </si>
  <si>
    <t>NFLX 4 3/8 11/15/26</t>
  </si>
  <si>
    <t>11/15/2026</t>
  </si>
  <si>
    <t>USD</t>
  </si>
  <si>
    <t>Sr Unsecured</t>
  </si>
  <si>
    <t>AN303464 Corp</t>
  </si>
  <si>
    <t>BBG00GH97FL2</t>
  </si>
  <si>
    <t>NFLX 3 5/8 05/15/27</t>
  </si>
  <si>
    <t>5/15/2027</t>
  </si>
  <si>
    <t>EUR</t>
  </si>
  <si>
    <t>AP697039 Corp</t>
  </si>
  <si>
    <t>BBG00J200JG6</t>
  </si>
  <si>
    <t>NFLX 4 7/8 04/15/28</t>
  </si>
  <si>
    <t>4/15/2028</t>
  </si>
  <si>
    <t>AS350093 Corp</t>
  </si>
  <si>
    <t>BBG00KR6JFD4</t>
  </si>
  <si>
    <t>NFLX 5 7/8 11/15/28</t>
  </si>
  <si>
    <t>11/15/2028</t>
  </si>
  <si>
    <t>AV183514 Corp</t>
  </si>
  <si>
    <t>BBG00MC44D79</t>
  </si>
  <si>
    <t>NFLX 6 3/8 05/15/29</t>
  </si>
  <si>
    <t>5/15/2029</t>
  </si>
  <si>
    <t>AV183443 Corp</t>
  </si>
  <si>
    <t>BBG00MC43VH9</t>
  </si>
  <si>
    <t>NFLX 4 5/8 05/15/29</t>
  </si>
  <si>
    <t>ZS293068 Corp</t>
  </si>
  <si>
    <t>BBG00NZKTXY5</t>
  </si>
  <si>
    <t>NFLX 5 3/8 11/15/29</t>
  </si>
  <si>
    <t>11/15/2029</t>
  </si>
  <si>
    <t>ZS293842 Corp</t>
  </si>
  <si>
    <t>BBG00NZKW073</t>
  </si>
  <si>
    <t>NFLX 3 7/8 11/15/29</t>
  </si>
  <si>
    <t>ZQ225580 Corp</t>
  </si>
  <si>
    <t>BBG00QN4ND86</t>
  </si>
  <si>
    <t>CALLABLE</t>
  </si>
  <si>
    <t>NFLX 4 7/8 06/15/30</t>
  </si>
  <si>
    <t>6/15/2030</t>
  </si>
  <si>
    <t>ZQ233908 Corp</t>
  </si>
  <si>
    <t>BBG00QN8NCJ7</t>
  </si>
  <si>
    <t>NFLX 3 5/8 06/15/30</t>
  </si>
  <si>
    <t>YW769976 Corp</t>
  </si>
  <si>
    <t>BBG01P177GC0</t>
  </si>
  <si>
    <t>NFLX 4.9 08/15/34</t>
  </si>
  <si>
    <t>8/15/2034</t>
  </si>
  <si>
    <t>YW769977 Corp</t>
  </si>
  <si>
    <t>BBG01P177GH5</t>
  </si>
  <si>
    <t>NFLX 5.4 08/15/54</t>
  </si>
  <si>
    <t>8/15/2054</t>
  </si>
  <si>
    <t>Total Debt</t>
  </si>
  <si>
    <t>Debt Outstanding</t>
  </si>
  <si>
    <t>CoD</t>
  </si>
  <si>
    <t>Paramount Skydance Corp (PSKY US) - BBG GAAP</t>
  </si>
  <si>
    <t xml:space="preserve">    + Other Revenue</t>
  </si>
  <si>
    <t>IS_OTHER_REVENUE</t>
  </si>
  <si>
    <t xml:space="preserve">    + Depreciation &amp; Amortization</t>
  </si>
  <si>
    <t>IS_DEPRECIATION_AND_AMORTIZATION</t>
  </si>
  <si>
    <t xml:space="preserve">  - (Income) Loss from Affiliates</t>
  </si>
  <si>
    <t>IS_SH_PRO_EQY_MT_INV_NET_OF_TAX</t>
  </si>
  <si>
    <t>Paramount Skydance Corp (PSKY US) - Standardized</t>
  </si>
  <si>
    <t>BS_ASSETS_OF_DISCONTINUED_OPS_ST</t>
  </si>
  <si>
    <t xml:space="preserve">    + LT Investments</t>
  </si>
  <si>
    <t>BS_LONG_TERM_INVESTMENTS</t>
  </si>
  <si>
    <t>BS_ASSETS_OF_DISCONTINUED_OPS_LT</t>
  </si>
  <si>
    <t xml:space="preserve">    + Current Portion of LT Debt</t>
  </si>
  <si>
    <t>BS_CURR_PORTION_LT_DEBT</t>
  </si>
  <si>
    <t xml:space="preserve">    + Deferred Tax Liabilities</t>
  </si>
  <si>
    <t>BS_DEFERRED_TAX_LIABILITIES_LT</t>
  </si>
  <si>
    <t>BS_LIABS_OF_DISCONTINUED_OPS_LT</t>
  </si>
  <si>
    <t>Cash Conversion Cycle</t>
  </si>
  <si>
    <t>CASH_CONVERSION_CYCLE</t>
  </si>
  <si>
    <t>AF209530 Corp</t>
  </si>
  <si>
    <t>BBG009KBRDY8</t>
  </si>
  <si>
    <t>PARA 4 01/15/26</t>
  </si>
  <si>
    <t>1/15/2026</t>
  </si>
  <si>
    <t>QZ739372 Corp</t>
  </si>
  <si>
    <t>BBG00DY2TDD5</t>
  </si>
  <si>
    <t>PARA 3.45 10/04/26</t>
  </si>
  <si>
    <t>10/4/2026</t>
  </si>
  <si>
    <t>LW785817 Corp</t>
  </si>
  <si>
    <t>BBG00D8Y5Q41</t>
  </si>
  <si>
    <t>PARA 2.9 01/15/27</t>
  </si>
  <si>
    <t>1/15/2027</t>
  </si>
  <si>
    <t>AO125940 Corp</t>
  </si>
  <si>
    <t>BBG00H1J1TV0</t>
  </si>
  <si>
    <t>PARA 3 3/8 02/15/28</t>
  </si>
  <si>
    <t>2/15/2028</t>
  </si>
  <si>
    <t>AQ010221 Corp</t>
  </si>
  <si>
    <t>BBG00J7940J6</t>
  </si>
  <si>
    <t>PARA 3.7 06/01/28</t>
  </si>
  <si>
    <t>6/1/2028</t>
  </si>
  <si>
    <t>AV620013 Corp</t>
  </si>
  <si>
    <t>BBG00MJH2WG3</t>
  </si>
  <si>
    <t>AX333946 Corp</t>
  </si>
  <si>
    <t>BBG00NDXY371</t>
  </si>
  <si>
    <t>PARA 4.2 06/01/29</t>
  </si>
  <si>
    <t>6/1/2029</t>
  </si>
  <si>
    <t>EC278276 Corp</t>
  </si>
  <si>
    <t>BBG00000WL60</t>
  </si>
  <si>
    <t>PARA 7 7/8 07/30/30</t>
  </si>
  <si>
    <t>7/30/2030</t>
  </si>
  <si>
    <t>BH428437 Corp</t>
  </si>
  <si>
    <t>BBG00SW8BQR6</t>
  </si>
  <si>
    <t>PARA 4.95 01/15/31</t>
  </si>
  <si>
    <t>1/15/2031</t>
  </si>
  <si>
    <t>BJ450828 Corp</t>
  </si>
  <si>
    <t>BBG00TSW2BF2</t>
  </si>
  <si>
    <t>PARA 4.2 05/19/32</t>
  </si>
  <si>
    <t>5/19/2032</t>
  </si>
  <si>
    <t>EC972767 Corp</t>
  </si>
  <si>
    <t>BBG00007SFJ9</t>
  </si>
  <si>
    <t>PARA 5 1/2 05/15/33</t>
  </si>
  <si>
    <t>5/15/2033</t>
  </si>
  <si>
    <t>EK641114 Corp</t>
  </si>
  <si>
    <t>BBG007NS0QC6</t>
  </si>
  <si>
    <t>PARA 4.85 12/15/34</t>
  </si>
  <si>
    <t>12/15/2034</t>
  </si>
  <si>
    <t>EF721953 Corp</t>
  </si>
  <si>
    <t>BBG0000BBRF6</t>
  </si>
  <si>
    <t>PARA 6 7/8 04/30/36</t>
  </si>
  <si>
    <t>4/30/2036</t>
  </si>
  <si>
    <t>EG894240 Corp</t>
  </si>
  <si>
    <t>BBG00000PJB7</t>
  </si>
  <si>
    <t>PARA 6 3/4 10/05/37</t>
  </si>
  <si>
    <t>10/5/2037</t>
  </si>
  <si>
    <t>EI425926 Corp</t>
  </si>
  <si>
    <t>BBG00171TW32</t>
  </si>
  <si>
    <t>PARA 5.9 10/15/40</t>
  </si>
  <si>
    <t>10/15/2040</t>
  </si>
  <si>
    <t>EJ041884 Corp</t>
  </si>
  <si>
    <t>BBG002PQS4W6</t>
  </si>
  <si>
    <t>PARA 4 1/2 02/27/42</t>
  </si>
  <si>
    <t>2/27/2042</t>
  </si>
  <si>
    <t>EJ235049 Corp</t>
  </si>
  <si>
    <t>BBG0033KCB98</t>
  </si>
  <si>
    <t>PARA 4.85 07/01/42</t>
  </si>
  <si>
    <t>7/1/2042</t>
  </si>
  <si>
    <t>EJ729042 Corp</t>
  </si>
  <si>
    <t>BBG004QCVDX7</t>
  </si>
  <si>
    <t>PARA 4 3/8 03/15/43</t>
  </si>
  <si>
    <t>3/15/2043</t>
  </si>
  <si>
    <t>EJ588730 Corp</t>
  </si>
  <si>
    <t>BBG0047BQLG7</t>
  </si>
  <si>
    <t>PARA 4 7/8 06/15/43</t>
  </si>
  <si>
    <t>6/15/2043</t>
  </si>
  <si>
    <t>EJ789334 Corp</t>
  </si>
  <si>
    <t>BBG0050N18L5</t>
  </si>
  <si>
    <t>PARA 5.85 09/01/43</t>
  </si>
  <si>
    <t>9/1/2043</t>
  </si>
  <si>
    <t>EK108802 Corp</t>
  </si>
  <si>
    <t>BBG0063HNBF9</t>
  </si>
  <si>
    <t>PARA 5 1/4 04/01/44</t>
  </si>
  <si>
    <t>4/1/2044</t>
  </si>
  <si>
    <t>EK433738 Corp</t>
  </si>
  <si>
    <t>BBG006YPMJ34</t>
  </si>
  <si>
    <t>PARA 4.9 08/15/44</t>
  </si>
  <si>
    <t>8/15/2044</t>
  </si>
  <si>
    <t>EK686917 Corp</t>
  </si>
  <si>
    <t>BBG007VHWCG3</t>
  </si>
  <si>
    <t>PARA 4.6 01/15/45</t>
  </si>
  <si>
    <t>1/15/2045</t>
  </si>
  <si>
    <t>BJ450829 Corp</t>
  </si>
  <si>
    <t>BBG00TSW2BM4</t>
  </si>
  <si>
    <t>PARA 4.95 05/19/50</t>
  </si>
  <si>
    <t>5/19/2050</t>
  </si>
  <si>
    <t>AM638571 Corp</t>
  </si>
  <si>
    <t>BBG00G38H326</t>
  </si>
  <si>
    <t>PARA 6 1/4 02/28/57</t>
  </si>
  <si>
    <t>2/28/2057</t>
  </si>
  <si>
    <t>Jr Subordinated Unsecured</t>
  </si>
  <si>
    <t>BV521066 Corp</t>
  </si>
  <si>
    <t>BBG016C3H9C4</t>
  </si>
  <si>
    <t>PARA 6 3/8 03/30/62</t>
  </si>
  <si>
    <t>3/30/2062</t>
  </si>
  <si>
    <t>Total Cost of Debt</t>
  </si>
  <si>
    <t>Warner Bros Discovery Inc (WBD US) - BBG GAAP</t>
  </si>
  <si>
    <t>Warner Bros Discovery Inc (WBD US) - Standardized</t>
  </si>
  <si>
    <t>Yield to Maturity (Ask)</t>
  </si>
  <si>
    <t>Bid Price</t>
  </si>
  <si>
    <t>Yield to Maturity (Bid)</t>
  </si>
  <si>
    <t>Mid Price</t>
  </si>
  <si>
    <t>QJ825220 Corp</t>
  </si>
  <si>
    <t>BBG00BGQW6K9</t>
  </si>
  <si>
    <t>TWX 3 7/8 01/15/26</t>
  </si>
  <si>
    <t>DD104551 Corp</t>
  </si>
  <si>
    <t>BBG00002SM78</t>
  </si>
  <si>
    <t>PUTABLE</t>
  </si>
  <si>
    <t>TWX 6.85 01/15/26</t>
  </si>
  <si>
    <t>JK392862 Corp</t>
  </si>
  <si>
    <t>BBG00CF29B44</t>
  </si>
  <si>
    <t>WBD 4.9 03/11/26</t>
  </si>
  <si>
    <t>3/11/2026</t>
  </si>
  <si>
    <t>LW043714 Corp</t>
  </si>
  <si>
    <t>BBG00CVR51H3</t>
  </si>
  <si>
    <t>TWX 2.95 07/15/26</t>
  </si>
  <si>
    <t>7/15/2026</t>
  </si>
  <si>
    <t>AL482791 Corp</t>
  </si>
  <si>
    <t>BBG00FFJXSB8</t>
  </si>
  <si>
    <t>TWX 3.8 02/15/27</t>
  </si>
  <si>
    <t>2/15/2027</t>
  </si>
  <si>
    <t>ZK031353 Corp</t>
  </si>
  <si>
    <t>BBG01G4GFLH2</t>
  </si>
  <si>
    <t>WBD 3.755 03/15/27</t>
  </si>
  <si>
    <t>3/15/2027</t>
  </si>
  <si>
    <t>BV124586 Corp</t>
  </si>
  <si>
    <t>BBG015XRXZP0</t>
  </si>
  <si>
    <t>YN708866 Corp</t>
  </si>
  <si>
    <t>BBG01VRP6H74</t>
  </si>
  <si>
    <t>YN704713 Corp</t>
  </si>
  <si>
    <t>BBG01VRNHS64</t>
  </si>
  <si>
    <t>EK800869 Corp</t>
  </si>
  <si>
    <t>BBG0088LF1M4</t>
  </si>
  <si>
    <t>WBD 1.9 03/19/27</t>
  </si>
  <si>
    <t>3/19/2027</t>
  </si>
  <si>
    <t>CP502886 Corp</t>
  </si>
  <si>
    <t>BBG00005S8Q1</t>
  </si>
  <si>
    <t>TWX 6.95 01/15/28</t>
  </si>
  <si>
    <t>1/15/2028</t>
  </si>
  <si>
    <t>YN746464 Corp</t>
  </si>
  <si>
    <t>BBG01VS2MRF5</t>
  </si>
  <si>
    <t>WBD 3.95 03/20/28</t>
  </si>
  <si>
    <t>3/20/2028</t>
  </si>
  <si>
    <t>AP073507 Corp</t>
  </si>
  <si>
    <t>BBG00HNJFY13</t>
  </si>
  <si>
    <t>YN715516 Corp</t>
  </si>
  <si>
    <t>BBG01VRRC944</t>
  </si>
  <si>
    <t>WBD 4.054 03/15/29</t>
  </si>
  <si>
    <t>3/15/2029</t>
  </si>
  <si>
    <t>ZK031439 Corp</t>
  </si>
  <si>
    <t>BBG01G4GFWX0</t>
  </si>
  <si>
    <t>BV124611 Corp</t>
  </si>
  <si>
    <t>BBG015XRY1Y4</t>
  </si>
  <si>
    <t>YN714749 Corp</t>
  </si>
  <si>
    <t>BBG01VRQWQN5</t>
  </si>
  <si>
    <t>EC070000 Corp</t>
  </si>
  <si>
    <t>BBG00000VQL3</t>
  </si>
  <si>
    <t>TWX 6 5/8 05/15/29</t>
  </si>
  <si>
    <t>YN746989 Corp</t>
  </si>
  <si>
    <t>BBG01VS2TLL4</t>
  </si>
  <si>
    <t>WBD 4 1/8 05/15/29</t>
  </si>
  <si>
    <t>ZS706214 Corp</t>
  </si>
  <si>
    <t>BBG00P5CG941</t>
  </si>
  <si>
    <t>YN745938 Corp</t>
  </si>
  <si>
    <t>BBG01VS2DCW9</t>
  </si>
  <si>
    <t>WBD 4.302 01/17/30</t>
  </si>
  <si>
    <t>1/17/2030</t>
  </si>
  <si>
    <t>YX013967 Corp</t>
  </si>
  <si>
    <t>BBG01MSYW232</t>
  </si>
  <si>
    <t>YN747086 Corp</t>
  </si>
  <si>
    <t>BBG01VS2VQK1</t>
  </si>
  <si>
    <t>WBD 3 5/8 05/15/30</t>
  </si>
  <si>
    <t>5/15/2030</t>
  </si>
  <si>
    <t>BJ369765 Corp</t>
  </si>
  <si>
    <t>BBG00TQH5HV3</t>
  </si>
  <si>
    <t>EC376056 Corp</t>
  </si>
  <si>
    <t>BBG00006LF08</t>
  </si>
  <si>
    <t>TWX 7 5/8 04/15/31</t>
  </si>
  <si>
    <t>4/15/2031</t>
  </si>
  <si>
    <t>YN754260 Corp</t>
  </si>
  <si>
    <t>BBG01VS4W1C0</t>
  </si>
  <si>
    <t>WBD 4.279 03/15/32</t>
  </si>
  <si>
    <t>3/15/2032</t>
  </si>
  <si>
    <t>BV124617 Corp</t>
  </si>
  <si>
    <t>BBG015XRY6D6</t>
  </si>
  <si>
    <t>YN751857 Corp</t>
  </si>
  <si>
    <t>BBG01VS4MPZ3</t>
  </si>
  <si>
    <t>ZK031571 Corp</t>
  </si>
  <si>
    <t>BBG01G4GG513</t>
  </si>
  <si>
    <t>EC548233 Corp</t>
  </si>
  <si>
    <t>BBG0000377L6</t>
  </si>
  <si>
    <t>TWX 7.7 05/01/32</t>
  </si>
  <si>
    <t>5/1/2032</t>
  </si>
  <si>
    <t>YN760382 Corp</t>
  </si>
  <si>
    <t>BBG01VS60TV8</t>
  </si>
  <si>
    <t>WBD 4.693 05/17/33</t>
  </si>
  <si>
    <t>5/17/2033</t>
  </si>
  <si>
    <t>YX013973 Corp</t>
  </si>
  <si>
    <t>BBG01MSYW2K3</t>
  </si>
  <si>
    <t>DD104753 Corp</t>
  </si>
  <si>
    <t>BBG00002SP35</t>
  </si>
  <si>
    <t>TWX 8.3 01/15/36</t>
  </si>
  <si>
    <t>1/15/2036</t>
  </si>
  <si>
    <t>EF837163 Corp</t>
  </si>
  <si>
    <t>BBG00001D7J6</t>
  </si>
  <si>
    <t>TWX 6 1/2 11/15/36</t>
  </si>
  <si>
    <t>11/15/2036</t>
  </si>
  <si>
    <t>AP073694 Corp</t>
  </si>
  <si>
    <t>BBG00HNJGR99</t>
  </si>
  <si>
    <t>WBD 5 09/20/37</t>
  </si>
  <si>
    <t>9/20/2037</t>
  </si>
  <si>
    <t>YN751032 Corp</t>
  </si>
  <si>
    <t>BBG01VS4G012</t>
  </si>
  <si>
    <t>EI176015 Corp</t>
  </si>
  <si>
    <t>BBG0000MTJW2</t>
  </si>
  <si>
    <t>TWX 6.2 03/15/40</t>
  </si>
  <si>
    <t>3/15/2040</t>
  </si>
  <si>
    <t>YN753929 Corp</t>
  </si>
  <si>
    <t>BBG01VS4TM10</t>
  </si>
  <si>
    <t>WBD 6.35 06/01/40</t>
  </si>
  <si>
    <t>6/1/2040</t>
  </si>
  <si>
    <t>EI265222 Corp</t>
  </si>
  <si>
    <t>BBG0000WQN72</t>
  </si>
  <si>
    <t>EI318057 Corp</t>
  </si>
  <si>
    <t>BBG0000FRLK7</t>
  </si>
  <si>
    <t>TWX 6.1 07/15/40</t>
  </si>
  <si>
    <t>7/15/2040</t>
  </si>
  <si>
    <t>EI626974 Corp</t>
  </si>
  <si>
    <t>BBG001LV40V6</t>
  </si>
  <si>
    <t>TWX 6 1/4 03/29/41</t>
  </si>
  <si>
    <t>3/29/2041</t>
  </si>
  <si>
    <t>EI841940 Corp</t>
  </si>
  <si>
    <t>BBG0025DWB01</t>
  </si>
  <si>
    <t>TWX 5 3/8 10/15/41</t>
  </si>
  <si>
    <t>10/15/2041</t>
  </si>
  <si>
    <t>YN752155 Corp</t>
  </si>
  <si>
    <t>BBG01VS4NVS7</t>
  </si>
  <si>
    <t>WBD 5.05 03/15/42</t>
  </si>
  <si>
    <t>3/15/2042</t>
  </si>
  <si>
    <t>YN716252 Corp</t>
  </si>
  <si>
    <t>BBG01VRRLNC4</t>
  </si>
  <si>
    <t>ZK031673 Corp</t>
  </si>
  <si>
    <t>BBG01G4GGFN7</t>
  </si>
  <si>
    <t>YN754833 Corp</t>
  </si>
  <si>
    <t>BBG01VS4YG80</t>
  </si>
  <si>
    <t>WBD 4.95 05/15/42</t>
  </si>
  <si>
    <t>5/15/2042</t>
  </si>
  <si>
    <t>EJ193395 Corp</t>
  </si>
  <si>
    <t>BBG002Z5KHT4</t>
  </si>
  <si>
    <t>EJ233319 Corp</t>
  </si>
  <si>
    <t>BBG0033B2GC4</t>
  </si>
  <si>
    <t>TWX 4.9 06/15/42</t>
  </si>
  <si>
    <t>6/15/2042</t>
  </si>
  <si>
    <t>YN755744 Corp</t>
  </si>
  <si>
    <t>BBG01VS51VQ0</t>
  </si>
  <si>
    <t>WBD 4 7/8 04/01/43</t>
  </si>
  <si>
    <t>4/1/2043</t>
  </si>
  <si>
    <t>EJ590881 Corp</t>
  </si>
  <si>
    <t>BBG0047DS941</t>
  </si>
  <si>
    <t>EJ986358 Corp</t>
  </si>
  <si>
    <t>BBG005PFJS23</t>
  </si>
  <si>
    <t>TWX 5.35 12/15/43</t>
  </si>
  <si>
    <t>12/15/2043</t>
  </si>
  <si>
    <t>EK288817 Corp</t>
  </si>
  <si>
    <t>BBG006JN4PW0</t>
  </si>
  <si>
    <t>TWX 4.65 06/01/44</t>
  </si>
  <si>
    <t>6/1/2044</t>
  </si>
  <si>
    <t>EK944401 Corp</t>
  </si>
  <si>
    <t>BBG009BDBNJ6</t>
  </si>
  <si>
    <t>TWX 4.85 07/15/45</t>
  </si>
  <si>
    <t>7/15/2045</t>
  </si>
  <si>
    <t>AP074011 Corp</t>
  </si>
  <si>
    <t>BBG00HNJHW24</t>
  </si>
  <si>
    <t>WBD 5.2 09/20/47</t>
  </si>
  <si>
    <t>9/20/2047</t>
  </si>
  <si>
    <t>YN747423 Corp</t>
  </si>
  <si>
    <t>BBG01VS304Z6</t>
  </si>
  <si>
    <t>ZS706216 Corp</t>
  </si>
  <si>
    <t>BBG00P5CG9M1</t>
  </si>
  <si>
    <t>WBD 5.3 05/15/49</t>
  </si>
  <si>
    <t>5/15/2049</t>
  </si>
  <si>
    <t>YN748267 Corp</t>
  </si>
  <si>
    <t>BBG01VS34Z74</t>
  </si>
  <si>
    <t>BJ369766 Corp</t>
  </si>
  <si>
    <t>BBG00TQH5J03</t>
  </si>
  <si>
    <t>WBD 4.65 05/15/50</t>
  </si>
  <si>
    <t>5/15/2050</t>
  </si>
  <si>
    <t>ZK031314 Corp</t>
  </si>
  <si>
    <t>BBG01G4GDR72</t>
  </si>
  <si>
    <t>WBD 5.141 03/15/52</t>
  </si>
  <si>
    <t>3/15/2052</t>
  </si>
  <si>
    <t>YN747275 Corp</t>
  </si>
  <si>
    <t>BBG01VS2YQ91</t>
  </si>
  <si>
    <t>YN752910 Corp</t>
  </si>
  <si>
    <t>BBG01VS4Q985</t>
  </si>
  <si>
    <t>ZO529332 Corp</t>
  </si>
  <si>
    <t>BBG00XGCB1K6</t>
  </si>
  <si>
    <t>WBD 4 09/15/55</t>
  </si>
  <si>
    <t>9/15/2055</t>
  </si>
  <si>
    <t>BP517883 Corp</t>
  </si>
  <si>
    <t>BBG011120FM2</t>
  </si>
  <si>
    <t>BV124644 Corp</t>
  </si>
  <si>
    <t>BBG015XRYFL7</t>
  </si>
  <si>
    <t>WBD 5.391 03/15/62</t>
  </si>
  <si>
    <t>3/15/2062</t>
  </si>
  <si>
    <t>ZK031332 Corp</t>
  </si>
  <si>
    <t>BBG01G4GF7V7</t>
  </si>
  <si>
    <t>Conversion Rate</t>
  </si>
  <si>
    <t>Warner Bros Discovery Inc (WBD US) - BBG Adj Highlights</t>
  </si>
  <si>
    <t>In Millions of USD</t>
  </si>
  <si>
    <t>Current/LTM</t>
  </si>
  <si>
    <t>Market Capitalization</t>
  </si>
  <si>
    <t>- Cash &amp; Equivalents</t>
  </si>
  <si>
    <t>+ Preferred &amp; Other</t>
  </si>
  <si>
    <t>+ Total Debt</t>
  </si>
  <si>
    <t>Enterprise Value</t>
  </si>
  <si>
    <t>Revenue, Adj</t>
  </si>
  <si>
    <t xml:space="preserve">  Growth %, YoY</t>
  </si>
  <si>
    <t>Gross Profit, Adj</t>
  </si>
  <si>
    <t xml:space="preserve">  Margin %</t>
  </si>
  <si>
    <t>EBITDA, Adj</t>
  </si>
  <si>
    <t>Net Income, Adj</t>
  </si>
  <si>
    <t>EPS, Adj</t>
  </si>
  <si>
    <t>Cash from Operations</t>
  </si>
  <si>
    <t>Capital Expenditures</t>
  </si>
  <si>
    <t>Warner Bros Discovery Inc (WBD US) - Benchmark</t>
  </si>
  <si>
    <t>CY 2015</t>
  </si>
  <si>
    <t>CY 2016</t>
  </si>
  <si>
    <t>CY 2017</t>
  </si>
  <si>
    <t>CY 2018</t>
  </si>
  <si>
    <t>CY 2019</t>
  </si>
  <si>
    <t>CY 2020</t>
  </si>
  <si>
    <t>CY 2021</t>
  </si>
  <si>
    <t>CY 2022</t>
  </si>
  <si>
    <t>CY 2023</t>
  </si>
  <si>
    <t>CY 2024</t>
  </si>
  <si>
    <t>Return on Common Equity</t>
  </si>
  <si>
    <t xml:space="preserve">  S&amp;P 500 Communication Services Sector GICS Level 1 Index</t>
  </si>
  <si>
    <t>Return on Capital</t>
  </si>
  <si>
    <t>Price/EPS</t>
  </si>
  <si>
    <t>Price/Book</t>
  </si>
  <si>
    <t>Periodic EV to Trailing 12M EBITDA</t>
  </si>
  <si>
    <t>Net Debt/EBITDA</t>
  </si>
  <si>
    <t>Warner Bros Discovery Inc (WBD US) - Profitability</t>
  </si>
  <si>
    <t>Returns</t>
  </si>
  <si>
    <t>Return on Assets</t>
  </si>
  <si>
    <t>Return on Invested Capital</t>
  </si>
  <si>
    <t>Margins</t>
  </si>
  <si>
    <t>EBITDA Margin</t>
  </si>
  <si>
    <t>Incremental Operating Margin</t>
  </si>
  <si>
    <t>Pretax Margin</t>
  </si>
  <si>
    <t>Income before XO Margin</t>
  </si>
  <si>
    <t>Net Income Margin</t>
  </si>
  <si>
    <t>Net Income to Common Margin</t>
  </si>
  <si>
    <t>Additional</t>
  </si>
  <si>
    <t>Effective Tax Rate</t>
  </si>
  <si>
    <t>Dvd Payout Ratio</t>
  </si>
  <si>
    <t>Sustainable Growth Rate</t>
  </si>
  <si>
    <t>WBD US Equity- Company Financial (Multiple Periods)</t>
  </si>
  <si>
    <t>WBD US Equity    Periodicity:A    Currency:USD    Estimate Source:BST    Actual Source:Bloomberg</t>
  </si>
  <si>
    <t>2017 A (Rep)</t>
  </si>
  <si>
    <t>2018 A (Rep)</t>
  </si>
  <si>
    <t>2019 A (Rep)</t>
  </si>
  <si>
    <t>2020 A (Rep)</t>
  </si>
  <si>
    <t>2021 A (Rep)</t>
  </si>
  <si>
    <t>2022 A (Rep)</t>
  </si>
  <si>
    <t>2023 A (Rep)</t>
  </si>
  <si>
    <t>2024 A (Rep)</t>
  </si>
  <si>
    <t>2025 A (Fwd)</t>
  </si>
  <si>
    <t>2026 A (Fwd)</t>
  </si>
  <si>
    <t xml:space="preserve">  Revenue</t>
  </si>
  <si>
    <t xml:space="preserve">    Studios</t>
  </si>
  <si>
    <t>Revenue  Segments ($M)</t>
  </si>
  <si>
    <t xml:space="preserve">      % of Total</t>
  </si>
  <si>
    <t>Historical</t>
  </si>
  <si>
    <t>Estimated</t>
  </si>
  <si>
    <t>Projected</t>
  </si>
  <si>
    <t xml:space="preserve">      Advertising</t>
  </si>
  <si>
    <t>Year</t>
  </si>
  <si>
    <t>2022A</t>
  </si>
  <si>
    <t>2023A</t>
  </si>
  <si>
    <t>2024A</t>
  </si>
  <si>
    <t>2025E</t>
  </si>
  <si>
    <t>2026E</t>
  </si>
  <si>
    <t>2027P</t>
  </si>
  <si>
    <t>2028P</t>
  </si>
  <si>
    <t>2029P</t>
  </si>
  <si>
    <t>2030P</t>
  </si>
  <si>
    <t>2031P</t>
  </si>
  <si>
    <t>2032P</t>
  </si>
  <si>
    <t>2033P</t>
  </si>
  <si>
    <t>2034P</t>
  </si>
  <si>
    <t xml:space="preserve">        % of Total</t>
  </si>
  <si>
    <t xml:space="preserve">Revenue   </t>
  </si>
  <si>
    <t xml:space="preserve">      Distribution</t>
  </si>
  <si>
    <t xml:space="preserve">   Revenue Growth</t>
  </si>
  <si>
    <t>Studios</t>
  </si>
  <si>
    <t xml:space="preserve">      Content</t>
  </si>
  <si>
    <t xml:space="preserve">    Growth Rate</t>
  </si>
  <si>
    <t>---</t>
  </si>
  <si>
    <t xml:space="preserve">    % of Total</t>
  </si>
  <si>
    <t xml:space="preserve">      Other</t>
  </si>
  <si>
    <t>Networks</t>
  </si>
  <si>
    <t xml:space="preserve">    Networks</t>
  </si>
  <si>
    <t>Streaming</t>
  </si>
  <si>
    <t>Corporate &amp; Other</t>
  </si>
  <si>
    <t>Operating Income or Loss</t>
  </si>
  <si>
    <t xml:space="preserve">   EBIT Growth</t>
  </si>
  <si>
    <t xml:space="preserve">    Streaming</t>
  </si>
  <si>
    <t xml:space="preserve">    Corporate and Inter-Segment Eliminations</t>
  </si>
  <si>
    <t xml:space="preserve">    Other</t>
  </si>
  <si>
    <t xml:space="preserve">   EBITDA Growth</t>
  </si>
  <si>
    <t xml:space="preserve">    Adjustment</t>
  </si>
  <si>
    <t xml:space="preserve">    Inactive Segments</t>
  </si>
  <si>
    <t xml:space="preserve">      Commerce, Education and Other</t>
  </si>
  <si>
    <t xml:space="preserve">      International Networks</t>
  </si>
  <si>
    <t xml:space="preserve">      Other - U.S. Networks</t>
  </si>
  <si>
    <t xml:space="preserve">      U.S. Networks</t>
  </si>
  <si>
    <t xml:space="preserve">      U.S. Networks - Advertising</t>
  </si>
  <si>
    <t xml:space="preserve">      Other (Commerce and Education &amp; Other)</t>
  </si>
  <si>
    <t xml:space="preserve">      Distribution - International Networks</t>
  </si>
  <si>
    <t xml:space="preserve">      International Networks - Advertising</t>
  </si>
  <si>
    <t xml:space="preserve">      Distribution - U.S. Network</t>
  </si>
  <si>
    <t xml:space="preserve">      International Networks - Other</t>
  </si>
  <si>
    <t xml:space="preserve">      Advertising (Commerce and Education &amp; Other)</t>
  </si>
  <si>
    <t xml:space="preserve">  </t>
  </si>
  <si>
    <t xml:space="preserve">  Revenue Including Intersegment Revenue</t>
  </si>
  <si>
    <t xml:space="preserve">  1 Yr Revenue Growth: Constant Currency</t>
  </si>
  <si>
    <t xml:space="preserve">  Number of Subscribers End of Period</t>
  </si>
  <si>
    <t xml:space="preserve">    U.S. Networks</t>
  </si>
  <si>
    <t xml:space="preserve">      Discovery Channel</t>
  </si>
  <si>
    <t xml:space="preserve">      TLC</t>
  </si>
  <si>
    <t xml:space="preserve">      Animal Planet</t>
  </si>
  <si>
    <t xml:space="preserve">      Science Channel</t>
  </si>
  <si>
    <t xml:space="preserve">      Investigation Discovery</t>
  </si>
  <si>
    <t xml:space="preserve">      OWN</t>
  </si>
  <si>
    <t xml:space="preserve">      Velocity/Motortrend</t>
  </si>
  <si>
    <t xml:space="preserve">      Destination America</t>
  </si>
  <si>
    <t xml:space="preserve">      Discovery Family Channel</t>
  </si>
  <si>
    <t xml:space="preserve">      AHC</t>
  </si>
  <si>
    <t xml:space="preserve">      Discovery Life</t>
  </si>
  <si>
    <t xml:space="preserve">      Cooking Channel</t>
  </si>
  <si>
    <t xml:space="preserve">      DIY Network</t>
  </si>
  <si>
    <t xml:space="preserve">      Great American</t>
  </si>
  <si>
    <t xml:space="preserve">      HGTV domestic</t>
  </si>
  <si>
    <t xml:space="preserve">      Food Network</t>
  </si>
  <si>
    <t xml:space="preserve">      Travel Channel </t>
  </si>
  <si>
    <t xml:space="preserve">    International Networks</t>
  </si>
  <si>
    <t xml:space="preserve">      Quest</t>
  </si>
  <si>
    <t xml:space="preserve">      Travel Channel</t>
  </si>
  <si>
    <t xml:space="preserve">      Dsport</t>
  </si>
  <si>
    <t xml:space="preserve">      Quest Red</t>
  </si>
  <si>
    <t xml:space="preserve">      Giallo</t>
  </si>
  <si>
    <t xml:space="preserve">      Frisbee</t>
  </si>
  <si>
    <t xml:space="preserve">      K2</t>
  </si>
  <si>
    <t xml:space="preserve">      Nove</t>
  </si>
  <si>
    <t xml:space="preserve">      Discovery World</t>
  </si>
  <si>
    <t xml:space="preserve">      DKISS</t>
  </si>
  <si>
    <t xml:space="preserve">      Asian Food Channel</t>
  </si>
  <si>
    <t xml:space="preserve">      Discovery HD Theater</t>
  </si>
  <si>
    <t xml:space="preserve">      Fine Living Network</t>
  </si>
  <si>
    <t xml:space="preserve">      Shed</t>
  </si>
  <si>
    <t xml:space="preserve">      HGTV </t>
  </si>
  <si>
    <t xml:space="preserve">      Discovery History</t>
  </si>
  <si>
    <t xml:space="preserve">      Discovery Civilization</t>
  </si>
  <si>
    <t xml:space="preserve">      Discovery Historia</t>
  </si>
  <si>
    <t xml:space="preserve">      Discovery en Español</t>
  </si>
  <si>
    <t xml:space="preserve">      Discovery Familia</t>
  </si>
  <si>
    <t xml:space="preserve">      Discovery Channel </t>
  </si>
  <si>
    <t xml:space="preserve">      TLC </t>
  </si>
  <si>
    <t xml:space="preserve">      Eurosport</t>
  </si>
  <si>
    <t xml:space="preserve">      Eurosport 2</t>
  </si>
  <si>
    <t xml:space="preserve">      DMAX</t>
  </si>
  <si>
    <t xml:space="preserve">      Discovery Kids (International Networks)</t>
  </si>
  <si>
    <t xml:space="preserve">      TVN</t>
  </si>
  <si>
    <t xml:space="preserve">      Nordic Broadcast Networks</t>
  </si>
  <si>
    <t xml:space="preserve">      SBS Nordic</t>
  </si>
  <si>
    <t xml:space="preserve">      HD Theater</t>
  </si>
  <si>
    <t xml:space="preserve">      FitTV</t>
  </si>
  <si>
    <t xml:space="preserve">      Discovery HD World</t>
  </si>
  <si>
    <t xml:space="preserve">      HD Showcase</t>
  </si>
  <si>
    <t xml:space="preserve">      Military Channel</t>
  </si>
  <si>
    <t xml:space="preserve">      HD Networks</t>
  </si>
  <si>
    <t xml:space="preserve">      Fatafeat</t>
  </si>
  <si>
    <t xml:space="preserve">      Discovery Kids</t>
  </si>
  <si>
    <t xml:space="preserve">      Discovery Fit &amp; Health</t>
  </si>
  <si>
    <t xml:space="preserve">      GXT</t>
  </si>
  <si>
    <t xml:space="preserve">      Liv</t>
  </si>
  <si>
    <t xml:space="preserve">      HD Services</t>
  </si>
  <si>
    <t xml:space="preserve">      3net</t>
  </si>
  <si>
    <t xml:space="preserve">      Discovery Home &amp; Health</t>
  </si>
  <si>
    <t xml:space="preserve">      The Hub</t>
  </si>
  <si>
    <t xml:space="preserve">      Discovery Health</t>
  </si>
  <si>
    <t xml:space="preserve">      Discovery Turbo</t>
  </si>
  <si>
    <t xml:space="preserve">      Planet Green</t>
  </si>
  <si>
    <t xml:space="preserve">      Discovery Science</t>
  </si>
  <si>
    <t xml:space="preserve">      DeeJay TV</t>
  </si>
  <si>
    <t xml:space="preserve">      Discovery Travel &amp; Living</t>
  </si>
  <si>
    <t xml:space="preserve">      Turbo</t>
  </si>
  <si>
    <t xml:space="preserve">      Discovery Lifestyle Networks</t>
  </si>
  <si>
    <t xml:space="preserve">      Focus</t>
  </si>
  <si>
    <t xml:space="preserve">  Operating Income or Losses</t>
  </si>
  <si>
    <t xml:space="preserve">  Operating Profit Including Intersegment</t>
  </si>
  <si>
    <t xml:space="preserve">  Cost of Revenue</t>
  </si>
  <si>
    <t xml:space="preserve">  Selling General and Administrative CB</t>
  </si>
  <si>
    <t xml:space="preserve">  SGA Excluding SBC Including Intersegment</t>
  </si>
  <si>
    <t xml:space="preserve">  Expense For Stock-Based Compensation</t>
  </si>
  <si>
    <t xml:space="preserve">  Restructuring Expenses</t>
  </si>
  <si>
    <t xml:space="preserve">  Impairment of Goodwill</t>
  </si>
  <si>
    <t xml:space="preserve">  Depreciation &amp; Amortization</t>
  </si>
  <si>
    <t xml:space="preserve">  Other Amortization</t>
  </si>
  <si>
    <t xml:space="preserve">  Intracompany Intersegment Revenues</t>
  </si>
  <si>
    <t xml:space="preserve">  Capital Expenditures As Reported</t>
  </si>
  <si>
    <t xml:space="preserve">  Adjusted EBIT/Operating Income - As Reported</t>
  </si>
  <si>
    <t xml:space="preserve">  Adjusted EBITDA - As Reported</t>
  </si>
  <si>
    <t xml:space="preserve">  Adjusted EBITDA Margin Company Basis</t>
  </si>
  <si>
    <t xml:space="preserve">  Goodwill</t>
  </si>
  <si>
    <t xml:space="preserve">  Total Assets</t>
  </si>
  <si>
    <t>x</t>
  </si>
  <si>
    <t>Ticker</t>
  </si>
  <si>
    <t>Date</t>
  </si>
  <si>
    <t>End of Year</t>
  </si>
  <si>
    <t>Assumptions</t>
  </si>
  <si>
    <t>Company</t>
  </si>
  <si>
    <t>Treasury</t>
  </si>
  <si>
    <t>WACC</t>
  </si>
  <si>
    <t>TGR</t>
  </si>
  <si>
    <t>Price</t>
  </si>
  <si>
    <t>Financials</t>
  </si>
  <si>
    <t>Beta</t>
  </si>
  <si>
    <t>Market Cap</t>
  </si>
  <si>
    <t>Stuidos</t>
  </si>
  <si>
    <t>% growth</t>
  </si>
  <si>
    <t>10Y Yield</t>
  </si>
  <si>
    <t>% of total sales</t>
  </si>
  <si>
    <t>Tax Rate</t>
  </si>
  <si>
    <t>Terminal Growth Rate</t>
  </si>
  <si>
    <t>EV/EBITDA</t>
  </si>
  <si>
    <t>EV/EBIT</t>
  </si>
  <si>
    <t>Rm</t>
  </si>
  <si>
    <t>Rf</t>
  </si>
  <si>
    <t>CoE (CAPM)</t>
  </si>
  <si>
    <t>Total</t>
  </si>
  <si>
    <t>WoD</t>
  </si>
  <si>
    <t>WoE</t>
  </si>
  <si>
    <t>% of sales</t>
  </si>
  <si>
    <t>Taxes</t>
  </si>
  <si>
    <t>% tax rate</t>
  </si>
  <si>
    <t>D&amp;A</t>
  </si>
  <si>
    <t>Studios (Partial)</t>
  </si>
  <si>
    <t>% of total D&amp;A</t>
  </si>
  <si>
    <t>% of Studio Revenues</t>
  </si>
  <si>
    <t>Networks (Partial)</t>
  </si>
  <si>
    <t>% of Networks Revenues</t>
  </si>
  <si>
    <t>Streaming (Partial)</t>
  </si>
  <si>
    <t>% of Streamings</t>
  </si>
  <si>
    <t>Total D&amp;A</t>
  </si>
  <si>
    <t>Total D&amp;A (Partial)</t>
  </si>
  <si>
    <t>D&amp;A (for reference)</t>
  </si>
  <si>
    <t>% of CapEx</t>
  </si>
  <si>
    <t>CapEx</t>
  </si>
  <si>
    <t>% of total CapEx</t>
  </si>
  <si>
    <t>% of Studios sales</t>
  </si>
  <si>
    <t>% of Networks sales</t>
  </si>
  <si>
    <t>% of Streaming sales</t>
  </si>
  <si>
    <t>Total CapEx</t>
  </si>
  <si>
    <t>Total CapEx (Partial)</t>
  </si>
  <si>
    <t>CapEx (for reference)</t>
  </si>
  <si>
    <t>Net Working Capital</t>
  </si>
  <si>
    <t>% of Studios sales of total sales</t>
  </si>
  <si>
    <t>% of Networks sales of total sales</t>
  </si>
  <si>
    <t>% of Streaming sales of total sales</t>
  </si>
  <si>
    <t>Total NWC</t>
  </si>
  <si>
    <t>Change in NWC</t>
  </si>
  <si>
    <t>% of change in sales</t>
  </si>
  <si>
    <t>--</t>
  </si>
  <si>
    <t>DCF</t>
  </si>
  <si>
    <t>12/31 FYE</t>
  </si>
  <si>
    <t>EBIAT</t>
  </si>
  <si>
    <t>Unlevered FCF</t>
  </si>
  <si>
    <t>PV of UFCF</t>
  </si>
  <si>
    <t>Stub</t>
  </si>
  <si>
    <t>Discount Period</t>
  </si>
  <si>
    <t>Terminal Value</t>
  </si>
  <si>
    <t>PV of Terminal Value</t>
  </si>
  <si>
    <t>(+) Cash</t>
  </si>
  <si>
    <t>(-) Debt</t>
  </si>
  <si>
    <t>Equity Value</t>
  </si>
  <si>
    <t>FDSO</t>
  </si>
  <si>
    <t>Implied Share Price</t>
  </si>
  <si>
    <t>Studios DCF</t>
  </si>
  <si>
    <t>WBD Studios DCF</t>
  </si>
  <si>
    <t>NWC</t>
  </si>
  <si>
    <t>Price Per Share</t>
  </si>
  <si>
    <t>Networks DCF</t>
  </si>
  <si>
    <t>North America DCF</t>
  </si>
  <si>
    <t>Streaming DCF</t>
  </si>
  <si>
    <t>*** Must account for Goodwill in the acquisition -- more than the DCF valuation</t>
  </si>
  <si>
    <t>NFLX</t>
  </si>
  <si>
    <t>NFLX CoD</t>
  </si>
  <si>
    <t>NFLX Total Debt ($M)</t>
  </si>
  <si>
    <t>PSKY</t>
  </si>
  <si>
    <t>PSKY CoD</t>
  </si>
  <si>
    <t>PSKY Total Debt</t>
  </si>
  <si>
    <t>WBD ($M)</t>
  </si>
  <si>
    <t>Full Company Bid Enterprise Value (2030):</t>
  </si>
  <si>
    <t>Studios &amp; Streaming Bid (2030):</t>
  </si>
  <si>
    <t>Netflix Actual Bid:</t>
  </si>
  <si>
    <t>Our Ceiling:</t>
  </si>
  <si>
    <t>Segment</t>
  </si>
  <si>
    <t>Goodwill</t>
  </si>
  <si>
    <t>Enterprise Value + Goodwill</t>
  </si>
  <si>
    <t>M&amp;A Premium</t>
  </si>
  <si>
    <t>Enterprise Value + M&amp;A Premium</t>
  </si>
  <si>
    <t>$72 bn</t>
  </si>
  <si>
    <t>Studios Valuation</t>
  </si>
  <si>
    <t>27.75/share</t>
  </si>
  <si>
    <t>Networks Valuation</t>
  </si>
  <si>
    <t>Streaming Valutation</t>
  </si>
  <si>
    <t>Segments</t>
  </si>
  <si>
    <t>Equity Value + Goodwill</t>
  </si>
  <si>
    <t>Equity Value + M&amp;A Premium</t>
  </si>
  <si>
    <t>Full Company Bid Equity Value (2030):</t>
  </si>
  <si>
    <t>DTC (Streaming)</t>
  </si>
  <si>
    <t>Price per Share</t>
  </si>
  <si>
    <t>Including Premium</t>
  </si>
  <si>
    <t>M&amp;A</t>
  </si>
  <si>
    <t>WBD Value of Intaginle Assets (IP)</t>
  </si>
  <si>
    <t>IP</t>
  </si>
  <si>
    <t>Licensing Deal</t>
  </si>
  <si>
    <t>Term Length (Years)</t>
  </si>
  <si>
    <t>Royalty Rate (Premium Library)</t>
  </si>
  <si>
    <t>NFLX FY24 Revenue ($M)</t>
  </si>
  <si>
    <t>Revenue Growth Rate</t>
  </si>
  <si>
    <t>Potential IP % of Revenue</t>
  </si>
  <si>
    <t>Accelerator</t>
  </si>
  <si>
    <t xml:space="preserve">Discount </t>
  </si>
  <si>
    <t>Period</t>
  </si>
  <si>
    <t>Payments</t>
  </si>
  <si>
    <t>PV of Payments</t>
  </si>
  <si>
    <t>Total Cost of NFLX License for IP</t>
  </si>
  <si>
    <t>Total:</t>
  </si>
  <si>
    <t>Including IP</t>
  </si>
  <si>
    <t>($M USD)</t>
  </si>
  <si>
    <t>DTC (Streaming) DCF</t>
  </si>
  <si>
    <t>Segment Enterprise &amp; Equity Valuations</t>
  </si>
  <si>
    <t>Segment Price Per Share</t>
  </si>
  <si>
    <t>NFLX Licensing Deal w/ PSKY</t>
  </si>
  <si>
    <t>NFLX &amp; PSKY CoD &amp; Total Debt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</si>
</sst>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4" formatCode="_(&quot;$&quot;* #,##0.00_);_(&quot;$&quot;* \(#,##0.00\);_(&quot;$&quot;* &quot;-&quot;??_);_(@_)"/>
    <numFmt numFmtId="43" formatCode="_(* #,##0.00_);_(* \(#,##0.00\);_(* &quot;-&quot;??_);_(@_)"/>
    <numFmt numFmtId="164" formatCode="#,##0.0"/>
    <numFmt numFmtId="165" formatCode="_([$$-409]* #,##0.00_);_([$$-409]* \(#,##0.00\);_([$$-409]* &quot;-&quot;??_);_(@_)"/>
    <numFmt numFmtId="166" formatCode="&quot;$&quot;#,##0"/>
    <numFmt numFmtId="167" formatCode="0.0%"/>
    <numFmt numFmtId="168" formatCode="0&quot;A&quot;"/>
    <numFmt numFmtId="169" formatCode="0&quot;E&quot;"/>
    <numFmt numFmtId="170" formatCode="0%_);\(0%\);@_)"/>
    <numFmt numFmtId="171" formatCode="0.00%_);\(0.00%\);@_)"/>
    <numFmt numFmtId="172" formatCode="0.0"/>
    <numFmt numFmtId="173" formatCode="_(&quot;$&quot;* #,##0_);_(&quot;$&quot;* \(#,##0\);_(&quot;$&quot;* &quot;-&quot;??_);_(@_)"/>
    <numFmt numFmtId="174" formatCode="0_);\(0\)"/>
    <numFmt numFmtId="175" formatCode="0.000%"/>
    <numFmt numFmtId="176" formatCode="&quot;$&quot;#,##0.00"/>
  </numFmts>
  <fonts count="62" x14ac:knownFonts="1">
    <font>
      <sz val="11"/>
      <color theme="1"/>
      <name val="Calibri"/>
      <family val="2"/>
      <scheme val="minor"/>
    </font>
    <font>
      <sz val="12"/>
      <color theme="1"/>
      <name val="Calibri"/>
      <family val="2"/>
      <scheme val="minor"/>
    </font>
    <font>
      <sz val="10"/>
      <color indexed="8"/>
      <name val="Arial"/>
      <family val="2"/>
    </font>
    <font>
      <b/>
      <sz val="11"/>
      <color indexed="9"/>
      <name val="Calibri"/>
      <family val="2"/>
    </font>
    <font>
      <sz val="10"/>
      <color indexed="63"/>
      <name val="Arial"/>
      <family val="2"/>
    </font>
    <font>
      <i/>
      <sz val="10"/>
      <color indexed="63"/>
      <name val="Arial"/>
      <family val="2"/>
    </font>
    <font>
      <b/>
      <sz val="16"/>
      <color indexed="9"/>
      <name val="Arial"/>
      <family val="2"/>
    </font>
    <font>
      <sz val="10"/>
      <name val="Calibri"/>
      <family val="2"/>
    </font>
    <font>
      <b/>
      <sz val="10"/>
      <color indexed="9"/>
      <name val="Arial"/>
      <family val="2"/>
    </font>
    <font>
      <b/>
      <sz val="10"/>
      <color indexed="8"/>
      <name val="Arial"/>
      <family val="2"/>
    </font>
    <font>
      <sz val="10"/>
      <color indexed="63"/>
      <name val="Arial"/>
      <family val="2"/>
    </font>
    <font>
      <i/>
      <sz val="10"/>
      <color indexed="63"/>
      <name val="Arial"/>
      <family val="2"/>
    </font>
    <font>
      <i/>
      <sz val="10"/>
      <color indexed="8"/>
      <name val="Arial"/>
      <family val="2"/>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1"/>
      <name val="Calibri"/>
      <family val="2"/>
    </font>
    <font>
      <b/>
      <sz val="13"/>
      <color indexed="9"/>
      <name val="Garamond"/>
      <family val="1"/>
    </font>
    <font>
      <sz val="13"/>
      <color theme="1"/>
      <name val="Garamond"/>
      <family val="1"/>
    </font>
    <font>
      <sz val="13"/>
      <name val="Garamond"/>
      <family val="1"/>
    </font>
    <font>
      <b/>
      <sz val="13"/>
      <color indexed="8"/>
      <name val="Garamond"/>
      <family val="1"/>
    </font>
    <font>
      <sz val="13"/>
      <color indexed="63"/>
      <name val="Garamond"/>
      <family val="1"/>
    </font>
    <font>
      <sz val="13"/>
      <color indexed="8"/>
      <name val="Garamond"/>
      <family val="1"/>
    </font>
    <font>
      <i/>
      <sz val="13"/>
      <color indexed="63"/>
      <name val="Garamond"/>
      <family val="1"/>
    </font>
    <font>
      <i/>
      <sz val="13"/>
      <color indexed="8"/>
      <name val="Garamond"/>
      <family val="1"/>
    </font>
    <font>
      <b/>
      <sz val="13"/>
      <color rgb="FFFFFFFF"/>
      <name val="Garamond"/>
      <family val="1"/>
    </font>
    <font>
      <i/>
      <sz val="13"/>
      <color rgb="FF333333"/>
      <name val="Garamond"/>
      <family val="1"/>
    </font>
    <font>
      <sz val="13"/>
      <color rgb="FF000000"/>
      <name val="Garamond"/>
      <family val="1"/>
    </font>
    <font>
      <sz val="13"/>
      <color rgb="FF333333"/>
      <name val="Garamond"/>
      <family val="1"/>
    </font>
    <font>
      <i/>
      <sz val="13"/>
      <color rgb="FF000000"/>
      <name val="Garamond"/>
      <family val="1"/>
    </font>
    <font>
      <b/>
      <sz val="13"/>
      <color rgb="FF000000"/>
      <name val="Garamond"/>
      <family val="1"/>
    </font>
    <font>
      <sz val="10"/>
      <name val="Arial"/>
      <family val="2"/>
    </font>
    <font>
      <sz val="13"/>
      <color rgb="FF0000FF"/>
      <name val="Garamond"/>
      <family val="1"/>
    </font>
    <font>
      <sz val="11"/>
      <color rgb="FF0000FF"/>
      <name val="Calibri"/>
      <family val="2"/>
    </font>
    <font>
      <i/>
      <sz val="13"/>
      <name val="Garamond"/>
      <family val="1"/>
    </font>
    <font>
      <b/>
      <sz val="13"/>
      <color theme="1"/>
      <name val="Garamond"/>
      <family val="1"/>
    </font>
    <font>
      <b/>
      <sz val="13"/>
      <color theme="0"/>
      <name val="Garamond"/>
      <family val="1"/>
    </font>
    <font>
      <sz val="13"/>
      <color theme="9" tint="-0.249977111117893"/>
      <name val="Garamond"/>
      <family val="1"/>
    </font>
    <font>
      <i/>
      <sz val="13"/>
      <color theme="1"/>
      <name val="Garamond"/>
      <family val="1"/>
    </font>
    <font>
      <b/>
      <i/>
      <sz val="13"/>
      <color theme="1"/>
      <name val="Garamond"/>
      <family val="1"/>
    </font>
    <font>
      <b/>
      <i/>
      <sz val="13"/>
      <name val="Garamond"/>
      <family val="1"/>
    </font>
    <font>
      <b/>
      <sz val="13"/>
      <color theme="9" tint="-0.249977111117893"/>
      <name val="Garamond"/>
      <family val="1"/>
    </font>
    <font>
      <sz val="13"/>
      <color rgb="FF7030A0"/>
      <name val="Garamond"/>
      <family val="1"/>
    </font>
    <font>
      <i/>
      <sz val="13"/>
      <color rgb="FF7030A0"/>
      <name val="Garamond"/>
      <family val="1"/>
    </font>
    <font>
      <i/>
      <sz val="13"/>
      <color theme="9" tint="-0.249977111117893"/>
      <name val="Garamond"/>
      <family val="1"/>
    </font>
    <font>
      <sz val="13"/>
      <color rgb="FF548235"/>
      <name val="Garamond"/>
      <family val="1"/>
    </font>
    <font>
      <i/>
      <sz val="13"/>
      <color rgb="FF548235"/>
      <name val="Garamond"/>
      <family val="1"/>
    </font>
    <font>
      <sz val="13"/>
      <color theme="0"/>
      <name val="Garamond"/>
      <family val="1"/>
    </font>
  </fonts>
  <fills count="6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4F81BD"/>
        <bgColor indexed="64"/>
      </patternFill>
    </fill>
    <fill>
      <patternFill patternType="solid">
        <fgColor rgb="FFFFFFFF"/>
        <bgColor indexed="64"/>
      </patternFill>
    </fill>
    <fill>
      <patternFill patternType="solid">
        <fgColor rgb="FFD8D8D8"/>
        <bgColor indexed="64"/>
      </patternFill>
    </fill>
    <fill>
      <patternFill patternType="solid">
        <fgColor rgb="FFF2F2F2"/>
        <bgColor indexed="64"/>
      </patternFill>
    </fill>
    <fill>
      <patternFill patternType="solid">
        <fgColor rgb="FF4F81BD"/>
        <bgColor rgb="FF000000"/>
      </patternFill>
    </fill>
    <fill>
      <patternFill patternType="solid">
        <fgColor rgb="FFFFFFFF"/>
        <bgColor rgb="FF000000"/>
      </patternFill>
    </fill>
    <fill>
      <patternFill patternType="solid">
        <fgColor rgb="FFF2F2F2"/>
        <bgColor rgb="FF000000"/>
      </patternFill>
    </fill>
    <fill>
      <patternFill patternType="solid">
        <fgColor rgb="FFD8D8D8"/>
        <bgColor rgb="FF000000"/>
      </patternFill>
    </fill>
    <fill>
      <patternFill patternType="solid">
        <fgColor theme="3"/>
        <bgColor indexed="64"/>
      </patternFill>
    </fill>
    <fill>
      <patternFill patternType="solid">
        <fgColor rgb="FFFFFF99"/>
        <bgColor rgb="FF000000"/>
      </patternFill>
    </fill>
    <fill>
      <patternFill patternType="solid">
        <fgColor rgb="FFC8C8C8"/>
        <bgColor rgb="FF000000"/>
      </patternFill>
    </fill>
    <fill>
      <patternFill patternType="solid">
        <fgColor rgb="FFFFFF00"/>
        <bgColor rgb="FF000000"/>
      </patternFill>
    </fill>
    <fill>
      <patternFill patternType="solid">
        <fgColor theme="7" tint="0.79998168889431442"/>
        <bgColor indexed="64"/>
      </patternFill>
    </fill>
    <fill>
      <patternFill patternType="solid">
        <fgColor theme="4"/>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rgb="FFFFFF00"/>
        <bgColor indexed="64"/>
      </patternFill>
    </fill>
    <fill>
      <patternFill patternType="solid">
        <fgColor rgb="FF44546A"/>
        <bgColor rgb="FF000000"/>
      </patternFill>
    </fill>
    <fill>
      <patternFill patternType="solid">
        <fgColor rgb="FFFFF2CC"/>
        <bgColor rgb="FF000000"/>
      </patternFill>
    </fill>
    <fill>
      <patternFill patternType="solid">
        <fgColor rgb="FF4472C4"/>
        <bgColor rgb="FF000000"/>
      </patternFill>
    </fill>
    <fill>
      <patternFill patternType="solid">
        <fgColor rgb="FF92D050"/>
        <bgColor rgb="FF000000"/>
      </patternFill>
    </fill>
    <fill>
      <patternFill patternType="solid">
        <fgColor theme="5" tint="0.59999389629810485"/>
        <bgColor indexed="64"/>
      </patternFill>
    </fill>
    <fill>
      <patternFill patternType="solid">
        <fgColor theme="3" tint="0.59999389629810485"/>
        <bgColor indexed="64"/>
      </patternFill>
    </fill>
    <fill>
      <patternFill patternType="solid">
        <fgColor theme="0"/>
        <bgColor indexed="64"/>
      </patternFill>
    </fill>
    <fill>
      <patternFill patternType="solid">
        <fgColor theme="5" tint="0.39997558519241921"/>
        <bgColor indexed="64"/>
      </patternFill>
    </fill>
    <fill>
      <patternFill patternType="solid">
        <fgColor rgb="FFFFC000"/>
        <bgColor indexed="64"/>
      </patternFill>
    </fill>
    <fill>
      <patternFill patternType="solid">
        <fgColor theme="8" tint="0.39997558519241921"/>
        <bgColor indexed="64"/>
      </patternFill>
    </fill>
    <fill>
      <patternFill patternType="solid">
        <fgColor theme="0" tint="-0.14999847407452621"/>
        <bgColor indexed="64"/>
      </patternFill>
    </fill>
    <fill>
      <patternFill patternType="solid">
        <fgColor theme="3" tint="0.79998168889431442"/>
        <bgColor indexed="64"/>
      </patternFill>
    </fill>
    <fill>
      <patternFill patternType="solid">
        <fgColor theme="5" tint="0.79998168889431442"/>
        <bgColor indexed="64"/>
      </patternFill>
    </fill>
    <fill>
      <patternFill patternType="solid">
        <fgColor theme="9" tint="0.79998168889431442"/>
        <bgColor indexed="64"/>
      </patternFill>
    </fill>
  </fills>
  <borders count="104">
    <border>
      <left/>
      <right/>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theme="1"/>
      </left>
      <right/>
      <top/>
      <bottom/>
      <diagonal/>
    </border>
    <border>
      <left/>
      <right style="thin">
        <color theme="1"/>
      </right>
      <top/>
      <bottom/>
      <diagonal/>
    </border>
    <border>
      <left style="thin">
        <color indexed="64"/>
      </left>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thin">
        <color theme="1"/>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style="thin">
        <color theme="1"/>
      </right>
      <top/>
      <bottom style="thin">
        <color theme="1"/>
      </bottom>
      <diagonal/>
    </border>
    <border>
      <left/>
      <right/>
      <top style="thin">
        <color theme="1"/>
      </top>
      <bottom/>
      <diagonal/>
    </border>
    <border>
      <left/>
      <right/>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right style="thin">
        <color rgb="FF000000"/>
      </right>
      <top/>
      <bottom/>
      <diagonal/>
    </border>
    <border>
      <left style="thin">
        <color rgb="FF000000"/>
      </left>
      <right/>
      <top/>
      <bottom/>
      <diagonal/>
    </border>
    <border>
      <left style="thin">
        <color theme="1"/>
      </left>
      <right/>
      <top style="thin">
        <color indexed="64"/>
      </top>
      <bottom/>
      <diagonal/>
    </border>
    <border>
      <left style="thin">
        <color theme="1"/>
      </left>
      <right/>
      <top/>
      <bottom style="thin">
        <color indexed="64"/>
      </bottom>
      <diagonal/>
    </border>
    <border>
      <left style="thin">
        <color theme="1"/>
      </left>
      <right/>
      <top style="thin">
        <color auto="1"/>
      </top>
      <bottom style="thin">
        <color auto="1"/>
      </bottom>
      <diagonal/>
    </border>
    <border>
      <left/>
      <right style="thin">
        <color rgb="FF000000"/>
      </right>
      <top/>
      <bottom style="thin">
        <color theme="1"/>
      </bottom>
      <diagonal/>
    </border>
    <border>
      <left/>
      <right style="thin">
        <color rgb="FF000000"/>
      </right>
      <top/>
      <bottom style="thin">
        <color rgb="FF000000"/>
      </bottom>
      <diagonal/>
    </border>
    <border>
      <left style="hair">
        <color indexed="64"/>
      </left>
      <right style="hair">
        <color indexed="64"/>
      </right>
      <top/>
      <bottom style="hair">
        <color indexed="64"/>
      </bottom>
      <diagonal/>
    </border>
    <border>
      <left style="medium">
        <color theme="1"/>
      </left>
      <right/>
      <top style="medium">
        <color theme="1"/>
      </top>
      <bottom/>
      <diagonal/>
    </border>
    <border>
      <left style="thin">
        <color indexed="64"/>
      </left>
      <right style="thin">
        <color indexed="64"/>
      </right>
      <top style="medium">
        <color theme="1"/>
      </top>
      <bottom/>
      <diagonal/>
    </border>
    <border>
      <left style="thin">
        <color indexed="64"/>
      </left>
      <right style="medium">
        <color theme="1"/>
      </right>
      <top style="medium">
        <color theme="1"/>
      </top>
      <bottom/>
      <diagonal/>
    </border>
    <border>
      <left style="medium">
        <color theme="1"/>
      </left>
      <right/>
      <top/>
      <bottom/>
      <diagonal/>
    </border>
    <border>
      <left style="thin">
        <color indexed="64"/>
      </left>
      <right style="medium">
        <color theme="1"/>
      </right>
      <top/>
      <bottom/>
      <diagonal/>
    </border>
    <border>
      <left style="medium">
        <color theme="1"/>
      </left>
      <right/>
      <top/>
      <bottom style="medium">
        <color theme="1"/>
      </bottom>
      <diagonal/>
    </border>
    <border>
      <left style="thin">
        <color indexed="64"/>
      </left>
      <right style="thin">
        <color indexed="64"/>
      </right>
      <top/>
      <bottom style="medium">
        <color theme="1"/>
      </bottom>
      <diagonal/>
    </border>
    <border>
      <left style="thin">
        <color indexed="64"/>
      </left>
      <right style="medium">
        <color theme="1"/>
      </right>
      <top/>
      <bottom style="medium">
        <color theme="1"/>
      </bottom>
      <diagonal/>
    </border>
    <border>
      <left/>
      <right style="medium">
        <color theme="1"/>
      </right>
      <top style="medium">
        <color theme="1"/>
      </top>
      <bottom/>
      <diagonal/>
    </border>
    <border>
      <left/>
      <right style="medium">
        <color theme="1"/>
      </right>
      <top/>
      <bottom/>
      <diagonal/>
    </border>
    <border>
      <left/>
      <right style="medium">
        <color theme="1"/>
      </right>
      <top/>
      <bottom style="medium">
        <color theme="1"/>
      </bottom>
      <diagonal/>
    </border>
    <border>
      <left/>
      <right/>
      <top style="medium">
        <color theme="1"/>
      </top>
      <bottom/>
      <diagonal/>
    </border>
    <border>
      <left/>
      <right/>
      <top/>
      <bottom style="medium">
        <color theme="1"/>
      </bottom>
      <diagonal/>
    </border>
    <border>
      <left style="medium">
        <color theme="1"/>
      </left>
      <right style="thin">
        <color auto="1"/>
      </right>
      <top style="medium">
        <color theme="1"/>
      </top>
      <bottom style="medium">
        <color theme="1"/>
      </bottom>
      <diagonal/>
    </border>
    <border>
      <left style="thin">
        <color auto="1"/>
      </left>
      <right style="thin">
        <color auto="1"/>
      </right>
      <top style="medium">
        <color theme="1"/>
      </top>
      <bottom style="medium">
        <color theme="1"/>
      </bottom>
      <diagonal/>
    </border>
    <border>
      <left style="thin">
        <color auto="1"/>
      </left>
      <right style="medium">
        <color theme="1"/>
      </right>
      <top style="medium">
        <color theme="1"/>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style="medium">
        <color theme="1"/>
      </bottom>
      <diagonal/>
    </border>
    <border>
      <left style="medium">
        <color theme="1"/>
      </left>
      <right style="medium">
        <color theme="1"/>
      </right>
      <top/>
      <bottom/>
      <diagonal/>
    </border>
    <border>
      <left style="thin">
        <color auto="1"/>
      </left>
      <right style="thin">
        <color auto="1"/>
      </right>
      <top style="medium">
        <color theme="1"/>
      </top>
      <bottom style="thin">
        <color auto="1"/>
      </bottom>
      <diagonal/>
    </border>
    <border>
      <left style="thin">
        <color auto="1"/>
      </left>
      <right style="medium">
        <color theme="1"/>
      </right>
      <top style="medium">
        <color theme="1"/>
      </top>
      <bottom style="thin">
        <color auto="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right style="medium">
        <color indexed="64"/>
      </right>
      <top style="thin">
        <color theme="1"/>
      </top>
      <bottom style="thin">
        <color theme="1"/>
      </bottom>
      <diagonal/>
    </border>
    <border>
      <left/>
      <right style="medium">
        <color indexed="64"/>
      </right>
      <top style="thin">
        <color theme="1"/>
      </top>
      <bottom/>
      <diagonal/>
    </border>
    <border>
      <left/>
      <right style="medium">
        <color indexed="64"/>
      </right>
      <top/>
      <bottom style="thin">
        <color theme="1"/>
      </bottom>
      <diagonal/>
    </border>
    <border>
      <left style="medium">
        <color indexed="64"/>
      </left>
      <right/>
      <top style="thin">
        <color theme="1"/>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84">
    <xf numFmtId="0" fontId="0" fillId="0" borderId="0"/>
    <xf numFmtId="0" fontId="13" fillId="10" borderId="0" applyNumberFormat="0" applyBorder="0" applyAlignment="0" applyProtection="0"/>
    <xf numFmtId="0" fontId="13" fillId="14" borderId="0" applyNumberFormat="0" applyBorder="0" applyAlignment="0" applyProtection="0"/>
    <xf numFmtId="0" fontId="13" fillId="18" borderId="0" applyNumberFormat="0" applyBorder="0" applyAlignment="0" applyProtection="0"/>
    <xf numFmtId="0" fontId="13" fillId="22" borderId="0" applyNumberFormat="0" applyBorder="0" applyAlignment="0" applyProtection="0"/>
    <xf numFmtId="0" fontId="13" fillId="26" borderId="0" applyNumberFormat="0" applyBorder="0" applyAlignment="0" applyProtection="0"/>
    <xf numFmtId="0" fontId="13" fillId="30" borderId="0" applyNumberFormat="0" applyBorder="0" applyAlignment="0" applyProtection="0"/>
    <xf numFmtId="0" fontId="13" fillId="11" borderId="0" applyNumberFormat="0" applyBorder="0" applyAlignment="0" applyProtection="0"/>
    <xf numFmtId="0" fontId="13" fillId="15" borderId="0" applyNumberFormat="0" applyBorder="0" applyAlignment="0" applyProtection="0"/>
    <xf numFmtId="0" fontId="13" fillId="19" borderId="0" applyNumberFormat="0" applyBorder="0" applyAlignment="0" applyProtection="0"/>
    <xf numFmtId="0" fontId="13" fillId="23" borderId="0" applyNumberFormat="0" applyBorder="0" applyAlignment="0" applyProtection="0"/>
    <xf numFmtId="0" fontId="13" fillId="27" borderId="0" applyNumberFormat="0" applyBorder="0" applyAlignment="0" applyProtection="0"/>
    <xf numFmtId="0" fontId="13" fillId="31" borderId="0" applyNumberFormat="0" applyBorder="0" applyAlignment="0" applyProtection="0"/>
    <xf numFmtId="0" fontId="29" fillId="12" borderId="0" applyNumberFormat="0" applyBorder="0" applyAlignment="0" applyProtection="0"/>
    <xf numFmtId="0" fontId="29" fillId="16" borderId="0" applyNumberFormat="0" applyBorder="0" applyAlignment="0" applyProtection="0"/>
    <xf numFmtId="0" fontId="29" fillId="20" borderId="0" applyNumberFormat="0" applyBorder="0" applyAlignment="0" applyProtection="0"/>
    <xf numFmtId="0" fontId="29" fillId="24" borderId="0" applyNumberFormat="0" applyBorder="0" applyAlignment="0" applyProtection="0"/>
    <xf numFmtId="0" fontId="29" fillId="28" borderId="0" applyNumberFormat="0" applyBorder="0" applyAlignment="0" applyProtection="0"/>
    <xf numFmtId="0" fontId="29" fillId="32" borderId="0" applyNumberFormat="0" applyBorder="0" applyAlignment="0" applyProtection="0"/>
    <xf numFmtId="0" fontId="29" fillId="9" borderId="0" applyNumberFormat="0" applyBorder="0" applyAlignment="0" applyProtection="0"/>
    <xf numFmtId="0" fontId="29" fillId="13" borderId="0" applyNumberFormat="0" applyBorder="0" applyAlignment="0" applyProtection="0"/>
    <xf numFmtId="0" fontId="29" fillId="17" borderId="0" applyNumberFormat="0" applyBorder="0" applyAlignment="0" applyProtection="0"/>
    <xf numFmtId="0" fontId="29" fillId="21" borderId="0" applyNumberFormat="0" applyBorder="0" applyAlignment="0" applyProtection="0"/>
    <xf numFmtId="0" fontId="29" fillId="25" borderId="0" applyNumberFormat="0" applyBorder="0" applyAlignment="0" applyProtection="0"/>
    <xf numFmtId="0" fontId="29" fillId="29" borderId="0" applyNumberFormat="0" applyBorder="0" applyAlignment="0" applyProtection="0"/>
    <xf numFmtId="0" fontId="19" fillId="3" borderId="0" applyNumberFormat="0" applyBorder="0" applyAlignment="0" applyProtection="0"/>
    <xf numFmtId="0" fontId="3" fillId="33" borderId="0"/>
    <xf numFmtId="0" fontId="23" fillId="6" borderId="9" applyNumberFormat="0" applyAlignment="0" applyProtection="0"/>
    <xf numFmtId="0" fontId="25" fillId="7" borderId="12" applyNumberFormat="0" applyAlignment="0" applyProtection="0"/>
    <xf numFmtId="0" fontId="27" fillId="0" borderId="0" applyNumberFormat="0" applyFill="0" applyBorder="0" applyAlignment="0" applyProtection="0"/>
    <xf numFmtId="0" fontId="8" fillId="33" borderId="1">
      <alignment horizontal="right"/>
    </xf>
    <xf numFmtId="0" fontId="7" fillId="34" borderId="0" applyNumberFormat="0" applyBorder="0" applyProtection="0">
      <alignment horizontal="center"/>
    </xf>
    <xf numFmtId="0" fontId="8" fillId="33" borderId="3">
      <alignment horizontal="right"/>
    </xf>
    <xf numFmtId="0" fontId="8" fillId="33" borderId="3">
      <alignment horizontal="left"/>
    </xf>
    <xf numFmtId="0" fontId="12" fillId="36" borderId="4" applyNumberFormat="0" applyAlignment="0" applyProtection="0"/>
    <xf numFmtId="0" fontId="9" fillId="34" borderId="5"/>
    <xf numFmtId="0" fontId="11" fillId="34" borderId="5"/>
    <xf numFmtId="0" fontId="10" fillId="34" borderId="5"/>
    <xf numFmtId="0" fontId="18" fillId="2" borderId="0" applyNumberFormat="0" applyBorder="0" applyAlignment="0" applyProtection="0"/>
    <xf numFmtId="0" fontId="15" fillId="0" borderId="6" applyNumberFormat="0" applyFill="0" applyAlignment="0" applyProtection="0"/>
    <xf numFmtId="0" fontId="16" fillId="0" borderId="7"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21" fillId="5" borderId="9" applyNumberFormat="0" applyAlignment="0" applyProtection="0"/>
    <xf numFmtId="0" fontId="24" fillId="0" borderId="11" applyNumberFormat="0" applyFill="0" applyAlignment="0" applyProtection="0"/>
    <xf numFmtId="0" fontId="20" fillId="4" borderId="0" applyNumberFormat="0" applyBorder="0" applyAlignment="0" applyProtection="0"/>
    <xf numFmtId="0" fontId="13" fillId="8" borderId="13" applyNumberFormat="0" applyFont="0" applyAlignment="0" applyProtection="0"/>
    <xf numFmtId="0" fontId="22" fillId="6" borderId="10" applyNumberFormat="0" applyAlignment="0" applyProtection="0"/>
    <xf numFmtId="0" fontId="14" fillId="0" borderId="0" applyNumberFormat="0" applyFill="0" applyBorder="0" applyAlignment="0" applyProtection="0"/>
    <xf numFmtId="0" fontId="28" fillId="0" borderId="14" applyNumberFormat="0" applyFill="0" applyAlignment="0" applyProtection="0"/>
    <xf numFmtId="0" fontId="26" fillId="0" borderId="0" applyNumberFormat="0" applyFill="0" applyBorder="0" applyAlignment="0" applyProtection="0"/>
    <xf numFmtId="0" fontId="6" fillId="33" borderId="15" applyNumberFormat="0" applyProtection="0">
      <alignment horizontal="left" vertical="center" readingOrder="1"/>
    </xf>
    <xf numFmtId="0" fontId="8" fillId="33" borderId="1">
      <alignment horizontal="left"/>
    </xf>
    <xf numFmtId="3" fontId="2" fillId="34" borderId="2">
      <alignment horizontal="right"/>
    </xf>
    <xf numFmtId="164" fontId="2" fillId="34" borderId="2">
      <alignment horizontal="right"/>
    </xf>
    <xf numFmtId="4" fontId="2" fillId="34" borderId="2">
      <alignment horizontal="right"/>
    </xf>
    <xf numFmtId="3" fontId="2" fillId="35" borderId="2">
      <alignment horizontal="right"/>
    </xf>
    <xf numFmtId="164" fontId="2" fillId="35" borderId="2">
      <alignment horizontal="right"/>
    </xf>
    <xf numFmtId="4" fontId="2" fillId="35" borderId="2">
      <alignment horizontal="right"/>
    </xf>
    <xf numFmtId="3" fontId="9" fillId="34" borderId="2">
      <alignment horizontal="right"/>
    </xf>
    <xf numFmtId="164" fontId="9" fillId="34" borderId="2">
      <alignment horizontal="right"/>
    </xf>
    <xf numFmtId="4" fontId="9" fillId="34" borderId="2">
      <alignment horizontal="right"/>
    </xf>
    <xf numFmtId="3" fontId="9" fillId="35" borderId="2">
      <alignment horizontal="right"/>
    </xf>
    <xf numFmtId="164" fontId="9" fillId="35" borderId="2">
      <alignment horizontal="right"/>
    </xf>
    <xf numFmtId="4" fontId="9" fillId="35" borderId="2">
      <alignment horizontal="right"/>
    </xf>
    <xf numFmtId="164" fontId="12" fillId="34" borderId="2">
      <alignment horizontal="right"/>
    </xf>
    <xf numFmtId="164" fontId="12" fillId="35" borderId="2">
      <alignment horizontal="right"/>
    </xf>
    <xf numFmtId="0" fontId="8" fillId="33" borderId="16">
      <alignment horizontal="left"/>
    </xf>
    <xf numFmtId="0" fontId="8" fillId="33" borderId="16">
      <alignment horizontal="right"/>
    </xf>
    <xf numFmtId="0" fontId="8" fillId="33" borderId="17">
      <alignment horizontal="left"/>
    </xf>
    <xf numFmtId="0" fontId="8" fillId="33" borderId="17">
      <alignment horizontal="right"/>
    </xf>
    <xf numFmtId="0" fontId="5" fillId="34" borderId="18"/>
    <xf numFmtId="0" fontId="9" fillId="34" borderId="18"/>
    <xf numFmtId="0" fontId="4" fillId="34" borderId="18"/>
    <xf numFmtId="43" fontId="13" fillId="0" borderId="0" applyFont="0" applyFill="0" applyBorder="0" applyAlignment="0" applyProtection="0"/>
    <xf numFmtId="44" fontId="13" fillId="0" borderId="0" applyFont="0" applyFill="0" applyBorder="0" applyAlignment="0" applyProtection="0"/>
    <xf numFmtId="9" fontId="13" fillId="0" borderId="0" applyFont="0" applyFill="0" applyBorder="0" applyAlignment="0" applyProtection="0"/>
    <xf numFmtId="0" fontId="45" fillId="0" borderId="0"/>
    <xf numFmtId="0" fontId="13" fillId="0" borderId="0"/>
    <xf numFmtId="0" fontId="30" fillId="0" borderId="0"/>
    <xf numFmtId="0" fontId="47" fillId="42" borderId="13" applyNumberFormat="0" applyAlignment="0" applyProtection="0"/>
    <xf numFmtId="9" fontId="1" fillId="0" borderId="0" applyFont="0" applyFill="0" applyBorder="0" applyAlignment="0" applyProtection="0"/>
    <xf numFmtId="43" fontId="1" fillId="0" borderId="0" applyFont="0" applyFill="0" applyBorder="0" applyAlignment="0" applyProtection="0"/>
    <xf numFmtId="9" fontId="13" fillId="0" borderId="0" applyFont="0" applyFill="0" applyBorder="0" applyAlignment="0" applyProtection="0"/>
  </cellStyleXfs>
  <cellXfs count="651">
    <xf numFmtId="0" fontId="0" fillId="0" borderId="0" xfId="0"/>
    <xf numFmtId="0" fontId="31" fillId="33" borderId="0" xfId="26" applyFont="1"/>
    <xf numFmtId="0" fontId="32" fillId="0" borderId="0" xfId="0" applyFont="1"/>
    <xf numFmtId="0" fontId="31" fillId="33" borderId="15" xfId="51" applyFont="1">
      <alignment horizontal="left" vertical="center" readingOrder="1"/>
    </xf>
    <xf numFmtId="0" fontId="33" fillId="34" borderId="0" xfId="31" applyFont="1">
      <alignment horizontal="center"/>
    </xf>
    <xf numFmtId="0" fontId="31" fillId="33" borderId="16" xfId="67" applyFont="1">
      <alignment horizontal="left"/>
    </xf>
    <xf numFmtId="0" fontId="31" fillId="33" borderId="16" xfId="68" applyFont="1">
      <alignment horizontal="right"/>
    </xf>
    <xf numFmtId="0" fontId="31" fillId="33" borderId="17" xfId="69" applyFont="1">
      <alignment horizontal="left"/>
    </xf>
    <xf numFmtId="0" fontId="31" fillId="33" borderId="17" xfId="70" applyFont="1">
      <alignment horizontal="right"/>
    </xf>
    <xf numFmtId="0" fontId="34" fillId="34" borderId="18" xfId="72" applyFont="1"/>
    <xf numFmtId="3" fontId="34" fillId="34" borderId="2" xfId="59" applyFont="1">
      <alignment horizontal="right"/>
    </xf>
    <xf numFmtId="3" fontId="34" fillId="35" borderId="2" xfId="62" applyFont="1">
      <alignment horizontal="right"/>
    </xf>
    <xf numFmtId="0" fontId="35" fillId="34" borderId="18" xfId="73" applyFont="1"/>
    <xf numFmtId="164" fontId="36" fillId="34" borderId="2" xfId="54" applyFont="1">
      <alignment horizontal="right"/>
    </xf>
    <xf numFmtId="164" fontId="36" fillId="35" borderId="2" xfId="57" applyFont="1">
      <alignment horizontal="right"/>
    </xf>
    <xf numFmtId="164" fontId="34" fillId="34" borderId="2" xfId="60" applyFont="1">
      <alignment horizontal="right"/>
    </xf>
    <xf numFmtId="164" fontId="34" fillId="35" borderId="2" xfId="63" applyFont="1">
      <alignment horizontal="right"/>
    </xf>
    <xf numFmtId="0" fontId="37" fillId="34" borderId="18" xfId="71" applyFont="1"/>
    <xf numFmtId="164" fontId="38" fillId="34" borderId="2" xfId="65" applyFont="1">
      <alignment horizontal="right"/>
    </xf>
    <xf numFmtId="164" fontId="38" fillId="35" borderId="2" xfId="66" applyFont="1">
      <alignment horizontal="right"/>
    </xf>
    <xf numFmtId="4" fontId="36" fillId="34" borderId="2" xfId="55" applyFont="1">
      <alignment horizontal="right"/>
    </xf>
    <xf numFmtId="4" fontId="36" fillId="35" borderId="2" xfId="58" applyFont="1">
      <alignment horizontal="right"/>
    </xf>
    <xf numFmtId="0" fontId="38" fillId="36" borderId="4" xfId="34" applyFont="1"/>
    <xf numFmtId="3" fontId="36" fillId="34" borderId="2" xfId="53" applyFont="1">
      <alignment horizontal="right"/>
    </xf>
    <xf numFmtId="4" fontId="34" fillId="34" borderId="2" xfId="61" applyFont="1">
      <alignment horizontal="right"/>
    </xf>
    <xf numFmtId="4" fontId="34" fillId="35" borderId="2" xfId="64" applyFont="1">
      <alignment horizontal="right"/>
    </xf>
    <xf numFmtId="3" fontId="36" fillId="35" borderId="2" xfId="56" applyFont="1">
      <alignment horizontal="right"/>
    </xf>
    <xf numFmtId="0" fontId="31" fillId="33" borderId="3" xfId="33" applyFont="1">
      <alignment horizontal="left"/>
    </xf>
    <xf numFmtId="0" fontId="31" fillId="33" borderId="3" xfId="32" applyFont="1">
      <alignment horizontal="right"/>
    </xf>
    <xf numFmtId="0" fontId="31" fillId="33" borderId="1" xfId="52" applyFont="1">
      <alignment horizontal="left"/>
    </xf>
    <xf numFmtId="0" fontId="31" fillId="33" borderId="1" xfId="30" applyFont="1">
      <alignment horizontal="right"/>
    </xf>
    <xf numFmtId="0" fontId="34" fillId="34" borderId="5" xfId="35" applyFont="1"/>
    <xf numFmtId="0" fontId="35" fillId="34" borderId="5" xfId="37" applyFont="1"/>
    <xf numFmtId="0" fontId="37" fillId="34" borderId="5" xfId="36" applyFont="1"/>
    <xf numFmtId="0" fontId="39" fillId="37" borderId="15" xfId="0" applyFont="1" applyFill="1" applyBorder="1" applyAlignment="1">
      <alignment horizontal="left" vertical="center" readingOrder="1"/>
    </xf>
    <xf numFmtId="0" fontId="40" fillId="0" borderId="0" xfId="0" applyFont="1"/>
    <xf numFmtId="0" fontId="41" fillId="0" borderId="0" xfId="0" applyFont="1"/>
    <xf numFmtId="0" fontId="39" fillId="37" borderId="16" xfId="0" applyFont="1" applyFill="1" applyBorder="1" applyAlignment="1">
      <alignment horizontal="left"/>
    </xf>
    <xf numFmtId="0" fontId="39" fillId="37" borderId="17" xfId="0" applyFont="1" applyFill="1" applyBorder="1" applyAlignment="1">
      <alignment horizontal="left"/>
    </xf>
    <xf numFmtId="14" fontId="39" fillId="37" borderId="17" xfId="0" applyNumberFormat="1" applyFont="1" applyFill="1" applyBorder="1" applyAlignment="1">
      <alignment horizontal="left"/>
    </xf>
    <xf numFmtId="0" fontId="42" fillId="38" borderId="18" xfId="0" applyFont="1" applyFill="1" applyBorder="1"/>
    <xf numFmtId="4" fontId="41" fillId="38" borderId="2" xfId="0" applyNumberFormat="1" applyFont="1" applyFill="1" applyBorder="1" applyAlignment="1">
      <alignment horizontal="right"/>
    </xf>
    <xf numFmtId="0" fontId="41" fillId="38" borderId="2" xfId="0" applyFont="1" applyFill="1" applyBorder="1" applyAlignment="1">
      <alignment horizontal="right"/>
    </xf>
    <xf numFmtId="0" fontId="43" fillId="39" borderId="4" xfId="0" applyFont="1" applyFill="1" applyBorder="1"/>
    <xf numFmtId="0" fontId="39" fillId="37" borderId="0" xfId="0" applyFont="1" applyFill="1"/>
    <xf numFmtId="0" fontId="33" fillId="38" borderId="0" xfId="0" applyFont="1" applyFill="1" applyAlignment="1">
      <alignment horizontal="center"/>
    </xf>
    <xf numFmtId="0" fontId="39" fillId="37" borderId="16" xfId="0" applyFont="1" applyFill="1" applyBorder="1" applyAlignment="1">
      <alignment horizontal="right"/>
    </xf>
    <xf numFmtId="14" fontId="39" fillId="37" borderId="17" xfId="0" applyNumberFormat="1" applyFont="1" applyFill="1" applyBorder="1" applyAlignment="1">
      <alignment horizontal="right"/>
    </xf>
    <xf numFmtId="0" fontId="44" fillId="38" borderId="18" xfId="0" applyFont="1" applyFill="1" applyBorder="1"/>
    <xf numFmtId="0" fontId="44" fillId="38" borderId="2" xfId="0" applyFont="1" applyFill="1" applyBorder="1" applyAlignment="1">
      <alignment horizontal="right"/>
    </xf>
    <xf numFmtId="4" fontId="44" fillId="38" borderId="2" xfId="0" applyNumberFormat="1" applyFont="1" applyFill="1" applyBorder="1" applyAlignment="1">
      <alignment horizontal="right"/>
    </xf>
    <xf numFmtId="4" fontId="44" fillId="40" borderId="2" xfId="0" applyNumberFormat="1" applyFont="1" applyFill="1" applyBorder="1" applyAlignment="1">
      <alignment horizontal="right"/>
    </xf>
    <xf numFmtId="4" fontId="41" fillId="40" borderId="2" xfId="0" applyNumberFormat="1" applyFont="1" applyFill="1" applyBorder="1" applyAlignment="1">
      <alignment horizontal="right"/>
    </xf>
    <xf numFmtId="0" fontId="44" fillId="40" borderId="2" xfId="0" applyFont="1" applyFill="1" applyBorder="1" applyAlignment="1">
      <alignment horizontal="right"/>
    </xf>
    <xf numFmtId="0" fontId="40" fillId="38" borderId="18" xfId="0" applyFont="1" applyFill="1" applyBorder="1"/>
    <xf numFmtId="0" fontId="43" fillId="38" borderId="2" xfId="0" applyFont="1" applyFill="1" applyBorder="1" applyAlignment="1">
      <alignment horizontal="right"/>
    </xf>
    <xf numFmtId="0" fontId="43" fillId="40" borderId="2" xfId="0" applyFont="1" applyFill="1" applyBorder="1" applyAlignment="1">
      <alignment horizontal="right"/>
    </xf>
    <xf numFmtId="0" fontId="41" fillId="40" borderId="2" xfId="0" applyFont="1" applyFill="1" applyBorder="1" applyAlignment="1">
      <alignment horizontal="right"/>
    </xf>
    <xf numFmtId="4" fontId="43" fillId="38" borderId="2" xfId="0" applyNumberFormat="1" applyFont="1" applyFill="1" applyBorder="1" applyAlignment="1">
      <alignment horizontal="right"/>
    </xf>
    <xf numFmtId="4" fontId="43" fillId="40" borderId="2" xfId="0" applyNumberFormat="1" applyFont="1" applyFill="1" applyBorder="1" applyAlignment="1">
      <alignment horizontal="right"/>
    </xf>
    <xf numFmtId="0" fontId="44" fillId="0" borderId="0" xfId="77" applyFont="1"/>
    <xf numFmtId="0" fontId="41" fillId="0" borderId="0" xfId="77" applyFont="1"/>
    <xf numFmtId="0" fontId="42" fillId="44" borderId="18" xfId="0" applyFont="1" applyFill="1" applyBorder="1"/>
    <xf numFmtId="0" fontId="41" fillId="44" borderId="2" xfId="0" applyFont="1" applyFill="1" applyBorder="1" applyAlignment="1">
      <alignment horizontal="right"/>
    </xf>
    <xf numFmtId="4" fontId="41" fillId="44" borderId="2" xfId="0" applyNumberFormat="1" applyFont="1" applyFill="1" applyBorder="1" applyAlignment="1">
      <alignment horizontal="right"/>
    </xf>
    <xf numFmtId="0" fontId="32" fillId="0" borderId="19" xfId="0" applyFont="1" applyBorder="1" applyAlignment="1">
      <alignment horizontal="center"/>
    </xf>
    <xf numFmtId="0" fontId="49" fillId="0" borderId="19" xfId="0" applyFont="1" applyBorder="1"/>
    <xf numFmtId="0" fontId="32" fillId="0" borderId="19" xfId="0" applyFont="1" applyBorder="1"/>
    <xf numFmtId="0" fontId="32" fillId="0" borderId="0" xfId="0" applyFont="1" applyAlignment="1">
      <alignment horizontal="center"/>
    </xf>
    <xf numFmtId="14" fontId="32" fillId="45" borderId="29" xfId="0" applyNumberFormat="1" applyFont="1" applyFill="1" applyBorder="1" applyAlignment="1">
      <alignment horizontal="center"/>
    </xf>
    <xf numFmtId="0" fontId="50" fillId="41" borderId="0" xfId="0" applyFont="1" applyFill="1"/>
    <xf numFmtId="0" fontId="32" fillId="41" borderId="0" xfId="0" applyFont="1" applyFill="1"/>
    <xf numFmtId="10" fontId="51" fillId="45" borderId="29" xfId="0" applyNumberFormat="1" applyFont="1" applyFill="1" applyBorder="1" applyAlignment="1">
      <alignment horizontal="center"/>
    </xf>
    <xf numFmtId="10" fontId="46" fillId="45" borderId="29" xfId="0" applyNumberFormat="1" applyFont="1" applyFill="1" applyBorder="1" applyAlignment="1">
      <alignment horizontal="center"/>
    </xf>
    <xf numFmtId="0" fontId="50" fillId="46" borderId="0" xfId="0" applyFont="1" applyFill="1"/>
    <xf numFmtId="168" fontId="50" fillId="46" borderId="0" xfId="0" applyNumberFormat="1" applyFont="1" applyFill="1"/>
    <xf numFmtId="169" fontId="50" fillId="46" borderId="0" xfId="0" applyNumberFormat="1" applyFont="1" applyFill="1"/>
    <xf numFmtId="37" fontId="51" fillId="0" borderId="0" xfId="0" applyNumberFormat="1" applyFont="1" applyAlignment="1">
      <alignment horizontal="right"/>
    </xf>
    <xf numFmtId="37" fontId="51" fillId="0" borderId="0" xfId="0" applyNumberFormat="1" applyFont="1"/>
    <xf numFmtId="0" fontId="52" fillId="0" borderId="0" xfId="0" applyFont="1"/>
    <xf numFmtId="170" fontId="48" fillId="0" borderId="0" xfId="76" applyNumberFormat="1" applyFont="1" applyAlignment="1">
      <alignment horizontal="right"/>
    </xf>
    <xf numFmtId="170" fontId="48" fillId="0" borderId="0" xfId="76" applyNumberFormat="1" applyFont="1"/>
    <xf numFmtId="3" fontId="51" fillId="0" borderId="0" xfId="0" applyNumberFormat="1" applyFont="1" applyAlignment="1">
      <alignment horizontal="right"/>
    </xf>
    <xf numFmtId="3" fontId="51" fillId="0" borderId="0" xfId="0" applyNumberFormat="1" applyFont="1"/>
    <xf numFmtId="0" fontId="49" fillId="47" borderId="20" xfId="0" applyFont="1" applyFill="1" applyBorder="1"/>
    <xf numFmtId="0" fontId="53" fillId="47" borderId="22" xfId="0" applyFont="1" applyFill="1" applyBorder="1"/>
    <xf numFmtId="3" fontId="32" fillId="0" borderId="0" xfId="0" applyNumberFormat="1" applyFont="1"/>
    <xf numFmtId="37" fontId="32" fillId="0" borderId="0" xfId="0" applyNumberFormat="1" applyFont="1"/>
    <xf numFmtId="37" fontId="33" fillId="0" borderId="0" xfId="0" applyNumberFormat="1" applyFont="1"/>
    <xf numFmtId="37" fontId="46" fillId="0" borderId="0" xfId="0" applyNumberFormat="1" applyFont="1" applyAlignment="1">
      <alignment horizontal="right"/>
    </xf>
    <xf numFmtId="0" fontId="49" fillId="47" borderId="4" xfId="0" applyFont="1" applyFill="1" applyBorder="1"/>
    <xf numFmtId="37" fontId="49" fillId="47" borderId="4" xfId="0" applyNumberFormat="1" applyFont="1" applyFill="1" applyBorder="1"/>
    <xf numFmtId="37" fontId="49" fillId="47" borderId="21" xfId="0" applyNumberFormat="1" applyFont="1" applyFill="1" applyBorder="1"/>
    <xf numFmtId="0" fontId="53" fillId="47" borderId="18" xfId="0" applyFont="1" applyFill="1" applyBorder="1"/>
    <xf numFmtId="0" fontId="49" fillId="47" borderId="0" xfId="0" applyFont="1" applyFill="1"/>
    <xf numFmtId="170" fontId="53" fillId="47" borderId="0" xfId="76" applyNumberFormat="1" applyFont="1" applyFill="1" applyBorder="1"/>
    <xf numFmtId="170" fontId="53" fillId="47" borderId="25" xfId="76" applyNumberFormat="1" applyFont="1" applyFill="1" applyBorder="1"/>
    <xf numFmtId="0" fontId="49" fillId="47" borderId="22" xfId="0" applyFont="1" applyFill="1" applyBorder="1"/>
    <xf numFmtId="0" fontId="49" fillId="47" borderId="19" xfId="0" applyFont="1" applyFill="1" applyBorder="1"/>
    <xf numFmtId="37" fontId="49" fillId="47" borderId="19" xfId="0" applyNumberFormat="1" applyFont="1" applyFill="1" applyBorder="1"/>
    <xf numFmtId="0" fontId="32" fillId="47" borderId="19" xfId="0" applyFont="1" applyFill="1" applyBorder="1"/>
    <xf numFmtId="0" fontId="32" fillId="47" borderId="23" xfId="0" applyFont="1" applyFill="1" applyBorder="1"/>
    <xf numFmtId="37" fontId="55" fillId="47" borderId="4" xfId="0" applyNumberFormat="1" applyFont="1" applyFill="1" applyBorder="1" applyAlignment="1">
      <alignment horizontal="right"/>
    </xf>
    <xf numFmtId="170" fontId="54" fillId="47" borderId="0" xfId="76" applyNumberFormat="1" applyFont="1" applyFill="1" applyBorder="1"/>
    <xf numFmtId="170" fontId="54" fillId="47" borderId="19" xfId="76" applyNumberFormat="1" applyFont="1" applyFill="1" applyBorder="1"/>
    <xf numFmtId="0" fontId="53" fillId="47" borderId="19" xfId="0" applyFont="1" applyFill="1" applyBorder="1"/>
    <xf numFmtId="0" fontId="49" fillId="47" borderId="23" xfId="0" applyFont="1" applyFill="1" applyBorder="1"/>
    <xf numFmtId="0" fontId="32" fillId="0" borderId="0" xfId="0" quotePrefix="1" applyFont="1" applyAlignment="1">
      <alignment horizontal="right"/>
    </xf>
    <xf numFmtId="37" fontId="49" fillId="47" borderId="23" xfId="0" applyNumberFormat="1" applyFont="1" applyFill="1" applyBorder="1"/>
    <xf numFmtId="170" fontId="53" fillId="47" borderId="19" xfId="76" applyNumberFormat="1" applyFont="1" applyFill="1" applyBorder="1"/>
    <xf numFmtId="0" fontId="49" fillId="47" borderId="19" xfId="0" quotePrefix="1" applyFont="1" applyFill="1" applyBorder="1" applyAlignment="1">
      <alignment horizontal="right"/>
    </xf>
    <xf numFmtId="37" fontId="56" fillId="0" borderId="0" xfId="0" applyNumberFormat="1" applyFont="1" applyAlignment="1">
      <alignment horizontal="right"/>
    </xf>
    <xf numFmtId="170" fontId="57" fillId="0" borderId="0" xfId="76" applyNumberFormat="1" applyFont="1"/>
    <xf numFmtId="37" fontId="33" fillId="0" borderId="0" xfId="0" applyNumberFormat="1" applyFont="1" applyAlignment="1">
      <alignment horizontal="right"/>
    </xf>
    <xf numFmtId="0" fontId="49" fillId="0" borderId="28" xfId="0" applyFont="1" applyBorder="1"/>
    <xf numFmtId="0" fontId="49" fillId="0" borderId="15" xfId="0" applyFont="1" applyBorder="1"/>
    <xf numFmtId="37" fontId="49" fillId="0" borderId="15" xfId="0" applyNumberFormat="1" applyFont="1" applyBorder="1"/>
    <xf numFmtId="37" fontId="49" fillId="0" borderId="24" xfId="0" applyNumberFormat="1" applyFont="1" applyBorder="1"/>
    <xf numFmtId="0" fontId="49" fillId="0" borderId="20" xfId="0" applyFont="1" applyBorder="1"/>
    <xf numFmtId="0" fontId="49" fillId="0" borderId="4" xfId="0" applyFont="1" applyBorder="1"/>
    <xf numFmtId="37" fontId="49" fillId="0" borderId="4" xfId="0" applyNumberFormat="1" applyFont="1" applyBorder="1"/>
    <xf numFmtId="37" fontId="49" fillId="0" borderId="21" xfId="0" applyNumberFormat="1" applyFont="1" applyBorder="1"/>
    <xf numFmtId="0" fontId="49" fillId="0" borderId="22" xfId="0" applyFont="1" applyBorder="1"/>
    <xf numFmtId="37" fontId="49" fillId="0" borderId="19" xfId="0" applyNumberFormat="1" applyFont="1" applyBorder="1"/>
    <xf numFmtId="37" fontId="49" fillId="0" borderId="23" xfId="0" applyNumberFormat="1" applyFont="1" applyBorder="1"/>
    <xf numFmtId="2" fontId="32" fillId="0" borderId="0" xfId="0" applyNumberFormat="1" applyFont="1"/>
    <xf numFmtId="167" fontId="32" fillId="0" borderId="0" xfId="0" applyNumberFormat="1" applyFont="1" applyAlignment="1">
      <alignment horizontal="right"/>
    </xf>
    <xf numFmtId="10" fontId="32" fillId="0" borderId="0" xfId="0" applyNumberFormat="1" applyFont="1" applyAlignment="1">
      <alignment horizontal="right"/>
    </xf>
    <xf numFmtId="0" fontId="32" fillId="0" borderId="0" xfId="0" applyFont="1" applyAlignment="1">
      <alignment horizontal="right"/>
    </xf>
    <xf numFmtId="3" fontId="32" fillId="0" borderId="0" xfId="0" applyNumberFormat="1" applyFont="1" applyAlignment="1">
      <alignment horizontal="right"/>
    </xf>
    <xf numFmtId="0" fontId="41" fillId="0" borderId="0" xfId="0" applyFont="1" applyAlignment="1">
      <alignment horizontal="left"/>
    </xf>
    <xf numFmtId="0" fontId="32" fillId="0" borderId="30" xfId="77" applyFont="1" applyBorder="1"/>
    <xf numFmtId="165" fontId="41" fillId="0" borderId="31" xfId="0" applyNumberFormat="1" applyFont="1" applyBorder="1"/>
    <xf numFmtId="0" fontId="49" fillId="0" borderId="0" xfId="0" applyFont="1"/>
    <xf numFmtId="0" fontId="32" fillId="0" borderId="26" xfId="77" applyFont="1" applyBorder="1"/>
    <xf numFmtId="3" fontId="41" fillId="0" borderId="27" xfId="0" applyNumberFormat="1" applyFont="1" applyBorder="1"/>
    <xf numFmtId="4" fontId="32" fillId="0" borderId="27" xfId="77" applyNumberFormat="1" applyFont="1" applyBorder="1"/>
    <xf numFmtId="166" fontId="32" fillId="0" borderId="27" xfId="75" applyNumberFormat="1" applyFont="1" applyFill="1" applyBorder="1"/>
    <xf numFmtId="0" fontId="32" fillId="0" borderId="32" xfId="77" applyFont="1" applyBorder="1"/>
    <xf numFmtId="166" fontId="32" fillId="0" borderId="33" xfId="75" applyNumberFormat="1" applyFont="1" applyFill="1" applyBorder="1"/>
    <xf numFmtId="0" fontId="32" fillId="0" borderId="0" xfId="77" applyFont="1"/>
    <xf numFmtId="166" fontId="32" fillId="0" borderId="0" xfId="75" applyNumberFormat="1" applyFont="1" applyFill="1"/>
    <xf numFmtId="10" fontId="41" fillId="0" borderId="31" xfId="0" applyNumberFormat="1" applyFont="1" applyBorder="1"/>
    <xf numFmtId="10" fontId="32" fillId="0" borderId="27" xfId="81" applyNumberFormat="1" applyFont="1" applyFill="1" applyBorder="1"/>
    <xf numFmtId="43" fontId="32" fillId="0" borderId="27" xfId="82" applyFont="1" applyFill="1" applyBorder="1"/>
    <xf numFmtId="43" fontId="32" fillId="0" borderId="33" xfId="82" applyFont="1" applyFill="1" applyBorder="1"/>
    <xf numFmtId="43" fontId="32" fillId="0" borderId="0" xfId="77" applyNumberFormat="1" applyFont="1"/>
    <xf numFmtId="0" fontId="33" fillId="0" borderId="20" xfId="77" applyFont="1" applyBorder="1"/>
    <xf numFmtId="10" fontId="32" fillId="0" borderId="21" xfId="77" applyNumberFormat="1" applyFont="1" applyBorder="1"/>
    <xf numFmtId="0" fontId="48" fillId="0" borderId="18" xfId="77" applyFont="1" applyBorder="1"/>
    <xf numFmtId="10" fontId="52" fillId="0" borderId="25" xfId="77" applyNumberFormat="1" applyFont="1" applyBorder="1"/>
    <xf numFmtId="0" fontId="33" fillId="0" borderId="18" xfId="77" applyFont="1" applyBorder="1"/>
    <xf numFmtId="10" fontId="32" fillId="0" borderId="25" xfId="77" applyNumberFormat="1" applyFont="1" applyBorder="1"/>
    <xf numFmtId="0" fontId="48" fillId="0" borderId="22" xfId="77" applyFont="1" applyBorder="1"/>
    <xf numFmtId="10" fontId="52" fillId="0" borderId="23" xfId="77" applyNumberFormat="1" applyFont="1" applyBorder="1"/>
    <xf numFmtId="166" fontId="32" fillId="0" borderId="27" xfId="77" applyNumberFormat="1" applyFont="1" applyBorder="1"/>
    <xf numFmtId="10" fontId="32" fillId="0" borderId="27" xfId="76" applyNumberFormat="1" applyFont="1" applyFill="1" applyBorder="1"/>
    <xf numFmtId="10" fontId="32" fillId="0" borderId="33" xfId="76" applyNumberFormat="1" applyFont="1" applyFill="1" applyBorder="1"/>
    <xf numFmtId="0" fontId="32" fillId="48" borderId="0" xfId="0" applyFont="1" applyFill="1"/>
    <xf numFmtId="10" fontId="32" fillId="0" borderId="0" xfId="76" applyNumberFormat="1" applyFont="1"/>
    <xf numFmtId="166" fontId="32" fillId="0" borderId="31" xfId="0" applyNumberFormat="1" applyFont="1" applyBorder="1"/>
    <xf numFmtId="0" fontId="44" fillId="0" borderId="0" xfId="77" applyFont="1" applyAlignment="1">
      <alignment horizontal="left"/>
    </xf>
    <xf numFmtId="3" fontId="44" fillId="0" borderId="0" xfId="77" applyNumberFormat="1" applyFont="1" applyAlignment="1">
      <alignment horizontal="right"/>
    </xf>
    <xf numFmtId="3" fontId="41" fillId="0" borderId="0" xfId="77" applyNumberFormat="1" applyFont="1" applyAlignment="1">
      <alignment horizontal="right"/>
    </xf>
    <xf numFmtId="0" fontId="41" fillId="0" borderId="0" xfId="77" applyFont="1" applyAlignment="1">
      <alignment horizontal="right"/>
    </xf>
    <xf numFmtId="0" fontId="44" fillId="43" borderId="26" xfId="77" applyFont="1" applyFill="1" applyBorder="1" applyAlignment="1">
      <alignment horizontal="left"/>
    </xf>
    <xf numFmtId="0" fontId="44" fillId="43" borderId="27" xfId="77" applyFont="1" applyFill="1" applyBorder="1" applyAlignment="1">
      <alignment horizontal="left"/>
    </xf>
    <xf numFmtId="10" fontId="52" fillId="0" borderId="26" xfId="76" applyNumberFormat="1" applyFont="1" applyFill="1" applyBorder="1"/>
    <xf numFmtId="10" fontId="52" fillId="0" borderId="27" xfId="76" applyNumberFormat="1" applyFont="1" applyFill="1" applyBorder="1"/>
    <xf numFmtId="10" fontId="43" fillId="0" borderId="26" xfId="76" applyNumberFormat="1" applyFont="1" applyFill="1" applyBorder="1" applyAlignment="1">
      <alignment horizontal="right"/>
    </xf>
    <xf numFmtId="10" fontId="43" fillId="0" borderId="27" xfId="76" applyNumberFormat="1" applyFont="1" applyFill="1" applyBorder="1" applyAlignment="1">
      <alignment horizontal="right"/>
    </xf>
    <xf numFmtId="0" fontId="52" fillId="0" borderId="26" xfId="0" applyFont="1" applyBorder="1"/>
    <xf numFmtId="0" fontId="32" fillId="0" borderId="26" xfId="0" applyFont="1" applyBorder="1"/>
    <xf numFmtId="0" fontId="44" fillId="43" borderId="30" xfId="77" applyFont="1" applyFill="1" applyBorder="1" applyAlignment="1">
      <alignment horizontal="left"/>
    </xf>
    <xf numFmtId="14" fontId="44" fillId="43" borderId="0" xfId="77" applyNumberFormat="1" applyFont="1" applyFill="1" applyAlignment="1">
      <alignment horizontal="left"/>
    </xf>
    <xf numFmtId="0" fontId="44" fillId="43" borderId="0" xfId="77" applyFont="1" applyFill="1" applyAlignment="1">
      <alignment horizontal="left"/>
    </xf>
    <xf numFmtId="0" fontId="41" fillId="0" borderId="26" xfId="77" applyFont="1" applyBorder="1" applyAlignment="1">
      <alignment horizontal="left"/>
    </xf>
    <xf numFmtId="10" fontId="52" fillId="0" borderId="0" xfId="76" applyNumberFormat="1" applyFont="1" applyFill="1" applyBorder="1"/>
    <xf numFmtId="10" fontId="43" fillId="0" borderId="0" xfId="76" applyNumberFormat="1" applyFont="1" applyFill="1" applyBorder="1" applyAlignment="1">
      <alignment horizontal="right"/>
    </xf>
    <xf numFmtId="0" fontId="41" fillId="0" borderId="26" xfId="77" quotePrefix="1" applyFont="1" applyBorder="1" applyAlignment="1">
      <alignment horizontal="left"/>
    </xf>
    <xf numFmtId="0" fontId="52" fillId="0" borderId="32" xfId="0" applyFont="1" applyBorder="1"/>
    <xf numFmtId="0" fontId="44" fillId="47" borderId="36" xfId="77" applyFont="1" applyFill="1" applyBorder="1" applyAlignment="1">
      <alignment horizontal="left"/>
    </xf>
    <xf numFmtId="3" fontId="44" fillId="47" borderId="37" xfId="77" applyNumberFormat="1" applyFont="1" applyFill="1" applyBorder="1" applyAlignment="1">
      <alignment horizontal="right"/>
    </xf>
    <xf numFmtId="3" fontId="44" fillId="47" borderId="36" xfId="77" applyNumberFormat="1" applyFont="1" applyFill="1" applyBorder="1" applyAlignment="1">
      <alignment horizontal="right"/>
    </xf>
    <xf numFmtId="3" fontId="44" fillId="47" borderId="38" xfId="77" applyNumberFormat="1" applyFont="1" applyFill="1" applyBorder="1" applyAlignment="1">
      <alignment horizontal="right"/>
    </xf>
    <xf numFmtId="0" fontId="49" fillId="49" borderId="28" xfId="77" applyFont="1" applyFill="1" applyBorder="1"/>
    <xf numFmtId="10" fontId="49" fillId="49" borderId="24" xfId="81" applyNumberFormat="1" applyFont="1" applyFill="1" applyBorder="1"/>
    <xf numFmtId="0" fontId="44" fillId="47" borderId="30" xfId="77" applyFont="1" applyFill="1" applyBorder="1" applyAlignment="1">
      <alignment horizontal="left"/>
    </xf>
    <xf numFmtId="0" fontId="41" fillId="0" borderId="30" xfId="77" applyFont="1" applyBorder="1" applyAlignment="1">
      <alignment horizontal="left"/>
    </xf>
    <xf numFmtId="10" fontId="52" fillId="0" borderId="35" xfId="76" applyNumberFormat="1" applyFont="1" applyFill="1" applyBorder="1"/>
    <xf numFmtId="0" fontId="44" fillId="47" borderId="32" xfId="77" applyFont="1" applyFill="1" applyBorder="1" applyAlignment="1">
      <alignment horizontal="left"/>
    </xf>
    <xf numFmtId="10" fontId="32" fillId="0" borderId="35" xfId="76" applyNumberFormat="1" applyFont="1" applyBorder="1"/>
    <xf numFmtId="10" fontId="52" fillId="0" borderId="35" xfId="76" applyNumberFormat="1" applyFont="1" applyBorder="1"/>
    <xf numFmtId="10" fontId="52" fillId="0" borderId="0" xfId="76" applyNumberFormat="1" applyFont="1" applyBorder="1"/>
    <xf numFmtId="10" fontId="52" fillId="0" borderId="32" xfId="76" applyNumberFormat="1" applyFont="1" applyBorder="1"/>
    <xf numFmtId="10" fontId="52" fillId="0" borderId="33" xfId="76" applyNumberFormat="1" applyFont="1" applyBorder="1"/>
    <xf numFmtId="10" fontId="52" fillId="0" borderId="26" xfId="76" applyNumberFormat="1" applyFont="1" applyBorder="1"/>
    <xf numFmtId="10" fontId="52" fillId="0" borderId="27" xfId="76" applyNumberFormat="1" applyFont="1" applyBorder="1"/>
    <xf numFmtId="0" fontId="52" fillId="0" borderId="36" xfId="0" applyFont="1" applyBorder="1"/>
    <xf numFmtId="10" fontId="52" fillId="0" borderId="37" xfId="76" applyNumberFormat="1" applyFont="1" applyBorder="1"/>
    <xf numFmtId="10" fontId="52" fillId="0" borderId="38" xfId="76" applyNumberFormat="1" applyFont="1" applyBorder="1"/>
    <xf numFmtId="10" fontId="52" fillId="0" borderId="36" xfId="76" applyNumberFormat="1" applyFont="1" applyBorder="1"/>
    <xf numFmtId="10" fontId="32" fillId="0" borderId="0" xfId="0" applyNumberFormat="1" applyFont="1"/>
    <xf numFmtId="10" fontId="43" fillId="0" borderId="32" xfId="76" applyNumberFormat="1" applyFont="1" applyFill="1" applyBorder="1" applyAlignment="1">
      <alignment horizontal="right"/>
    </xf>
    <xf numFmtId="0" fontId="32" fillId="45" borderId="29" xfId="0" applyFont="1" applyFill="1" applyBorder="1" applyAlignment="1">
      <alignment horizontal="left"/>
    </xf>
    <xf numFmtId="10" fontId="52" fillId="0" borderId="34" xfId="0" applyNumberFormat="1" applyFont="1" applyBorder="1"/>
    <xf numFmtId="10" fontId="52" fillId="0" borderId="31" xfId="0" applyNumberFormat="1" applyFont="1" applyBorder="1"/>
    <xf numFmtId="10" fontId="52" fillId="0" borderId="37" xfId="76" applyNumberFormat="1" applyFont="1" applyFill="1" applyBorder="1"/>
    <xf numFmtId="10" fontId="52" fillId="0" borderId="36" xfId="76" applyNumberFormat="1" applyFont="1" applyFill="1" applyBorder="1"/>
    <xf numFmtId="43" fontId="41" fillId="0" borderId="34" xfId="74" applyFont="1" applyFill="1" applyBorder="1" applyAlignment="1">
      <alignment horizontal="right"/>
    </xf>
    <xf numFmtId="43" fontId="41" fillId="0" borderId="30" xfId="74" applyFont="1" applyFill="1" applyBorder="1" applyAlignment="1">
      <alignment horizontal="right"/>
    </xf>
    <xf numFmtId="43" fontId="41" fillId="0" borderId="31" xfId="74" applyFont="1" applyFill="1" applyBorder="1" applyAlignment="1">
      <alignment horizontal="right"/>
    </xf>
    <xf numFmtId="43" fontId="41" fillId="0" borderId="0" xfId="74" applyFont="1" applyFill="1" applyBorder="1" applyAlignment="1">
      <alignment horizontal="right"/>
    </xf>
    <xf numFmtId="43" fontId="41" fillId="0" borderId="26" xfId="74" applyFont="1" applyFill="1" applyBorder="1" applyAlignment="1">
      <alignment horizontal="right"/>
    </xf>
    <xf numFmtId="43" fontId="41" fillId="0" borderId="27" xfId="74" applyFont="1" applyFill="1" applyBorder="1" applyAlignment="1">
      <alignment horizontal="right"/>
    </xf>
    <xf numFmtId="43" fontId="32" fillId="0" borderId="0" xfId="74" applyFont="1" applyBorder="1"/>
    <xf numFmtId="43" fontId="32" fillId="0" borderId="26" xfId="74" applyFont="1" applyBorder="1"/>
    <xf numFmtId="43" fontId="32" fillId="0" borderId="27" xfId="74" applyFont="1" applyBorder="1"/>
    <xf numFmtId="43" fontId="44" fillId="47" borderId="34" xfId="74" applyFont="1" applyFill="1" applyBorder="1" applyAlignment="1">
      <alignment horizontal="right"/>
    </xf>
    <xf numFmtId="43" fontId="44" fillId="47" borderId="30" xfId="74" applyFont="1" applyFill="1" applyBorder="1" applyAlignment="1">
      <alignment horizontal="right"/>
    </xf>
    <xf numFmtId="43" fontId="44" fillId="47" borderId="31" xfId="74" applyFont="1" applyFill="1" applyBorder="1" applyAlignment="1">
      <alignment horizontal="right"/>
    </xf>
    <xf numFmtId="43" fontId="44" fillId="47" borderId="36" xfId="74" applyFont="1" applyFill="1" applyBorder="1" applyAlignment="1">
      <alignment horizontal="right"/>
    </xf>
    <xf numFmtId="43" fontId="44" fillId="47" borderId="37" xfId="74" applyFont="1" applyFill="1" applyBorder="1" applyAlignment="1">
      <alignment horizontal="right"/>
    </xf>
    <xf numFmtId="43" fontId="44" fillId="47" borderId="38" xfId="74" applyFont="1" applyFill="1" applyBorder="1" applyAlignment="1">
      <alignment horizontal="right"/>
    </xf>
    <xf numFmtId="43" fontId="32" fillId="0" borderId="0" xfId="74" applyFont="1" applyFill="1" applyBorder="1"/>
    <xf numFmtId="43" fontId="32" fillId="0" borderId="26" xfId="74" applyFont="1" applyFill="1" applyBorder="1"/>
    <xf numFmtId="43" fontId="32" fillId="0" borderId="0" xfId="74" applyFont="1"/>
    <xf numFmtId="43" fontId="44" fillId="47" borderId="35" xfId="74" applyFont="1" applyFill="1" applyBorder="1" applyAlignment="1">
      <alignment horizontal="right"/>
    </xf>
    <xf numFmtId="10" fontId="32" fillId="0" borderId="0" xfId="76" quotePrefix="1" applyNumberFormat="1" applyFont="1" applyBorder="1"/>
    <xf numFmtId="10" fontId="32" fillId="0" borderId="0" xfId="76" quotePrefix="1" applyNumberFormat="1" applyFont="1" applyFill="1" applyBorder="1"/>
    <xf numFmtId="10" fontId="32" fillId="0" borderId="32" xfId="76" applyNumberFormat="1" applyFont="1" applyBorder="1"/>
    <xf numFmtId="10" fontId="32" fillId="0" borderId="33" xfId="76" applyNumberFormat="1" applyFont="1" applyBorder="1"/>
    <xf numFmtId="10" fontId="41" fillId="38" borderId="2" xfId="76" applyNumberFormat="1" applyFont="1" applyFill="1" applyBorder="1" applyAlignment="1">
      <alignment horizontal="right"/>
    </xf>
    <xf numFmtId="170" fontId="33" fillId="0" borderId="0" xfId="0" applyNumberFormat="1" applyFont="1"/>
    <xf numFmtId="170" fontId="52" fillId="0" borderId="0" xfId="76" applyNumberFormat="1" applyFont="1"/>
    <xf numFmtId="4" fontId="32" fillId="0" borderId="0" xfId="0" applyNumberFormat="1" applyFont="1"/>
    <xf numFmtId="37" fontId="55" fillId="47" borderId="21" xfId="0" applyNumberFormat="1" applyFont="1" applyFill="1" applyBorder="1" applyAlignment="1">
      <alignment horizontal="right"/>
    </xf>
    <xf numFmtId="170" fontId="58" fillId="0" borderId="0" xfId="0" applyNumberFormat="1" applyFont="1"/>
    <xf numFmtId="0" fontId="51" fillId="0" borderId="0" xfId="0" applyFont="1"/>
    <xf numFmtId="0" fontId="58" fillId="0" borderId="0" xfId="0" applyFont="1"/>
    <xf numFmtId="170" fontId="53" fillId="47" borderId="0" xfId="0" applyNumberFormat="1" applyFont="1" applyFill="1"/>
    <xf numFmtId="170" fontId="53" fillId="47" borderId="25" xfId="0" applyNumberFormat="1" applyFont="1" applyFill="1" applyBorder="1"/>
    <xf numFmtId="2" fontId="41" fillId="38" borderId="2" xfId="0" applyNumberFormat="1" applyFont="1" applyFill="1" applyBorder="1" applyAlignment="1">
      <alignment horizontal="right"/>
    </xf>
    <xf numFmtId="2" fontId="41" fillId="44" borderId="2" xfId="0" applyNumberFormat="1" applyFont="1" applyFill="1" applyBorder="1" applyAlignment="1">
      <alignment horizontal="right"/>
    </xf>
    <xf numFmtId="43" fontId="49" fillId="47" borderId="26" xfId="74" applyFont="1" applyFill="1" applyBorder="1"/>
    <xf numFmtId="43" fontId="49" fillId="47" borderId="0" xfId="74" applyFont="1" applyFill="1" applyBorder="1"/>
    <xf numFmtId="43" fontId="49" fillId="47" borderId="27" xfId="74" applyFont="1" applyFill="1" applyBorder="1"/>
    <xf numFmtId="10" fontId="52" fillId="0" borderId="30" xfId="76" applyNumberFormat="1" applyFont="1" applyFill="1" applyBorder="1"/>
    <xf numFmtId="10" fontId="52" fillId="0" borderId="34" xfId="76" applyNumberFormat="1" applyFont="1" applyFill="1" applyBorder="1"/>
    <xf numFmtId="171" fontId="48" fillId="0" borderId="0" xfId="76" applyNumberFormat="1" applyFont="1"/>
    <xf numFmtId="10" fontId="52" fillId="0" borderId="39" xfId="76" applyNumberFormat="1" applyFont="1" applyBorder="1"/>
    <xf numFmtId="10" fontId="52" fillId="0" borderId="39" xfId="76" applyNumberFormat="1" applyFont="1" applyFill="1" applyBorder="1"/>
    <xf numFmtId="43" fontId="41" fillId="0" borderId="39" xfId="74" applyFont="1" applyFill="1" applyBorder="1" applyAlignment="1">
      <alignment horizontal="right"/>
    </xf>
    <xf numFmtId="10" fontId="43" fillId="0" borderId="39" xfId="76" applyNumberFormat="1" applyFont="1" applyFill="1" applyBorder="1" applyAlignment="1">
      <alignment horizontal="right"/>
    </xf>
    <xf numFmtId="10" fontId="52" fillId="0" borderId="40" xfId="76" applyNumberFormat="1" applyFont="1" applyBorder="1"/>
    <xf numFmtId="10" fontId="43" fillId="0" borderId="40" xfId="76" applyNumberFormat="1" applyFont="1" applyFill="1" applyBorder="1" applyAlignment="1">
      <alignment horizontal="right"/>
    </xf>
    <xf numFmtId="0" fontId="49" fillId="47" borderId="30" xfId="0" applyFont="1" applyFill="1" applyBorder="1"/>
    <xf numFmtId="3" fontId="49" fillId="47" borderId="34" xfId="0" applyNumberFormat="1" applyFont="1" applyFill="1" applyBorder="1"/>
    <xf numFmtId="3" fontId="49" fillId="47" borderId="31" xfId="0" applyNumberFormat="1" applyFont="1" applyFill="1" applyBorder="1"/>
    <xf numFmtId="0" fontId="53" fillId="47" borderId="32" xfId="0" applyFont="1" applyFill="1" applyBorder="1"/>
    <xf numFmtId="9" fontId="54" fillId="47" borderId="35" xfId="76" applyFont="1" applyFill="1" applyBorder="1" applyAlignment="1">
      <alignment horizontal="right"/>
    </xf>
    <xf numFmtId="9" fontId="54" fillId="47" borderId="35" xfId="76" applyFont="1" applyFill="1" applyBorder="1"/>
    <xf numFmtId="9" fontId="54" fillId="47" borderId="33" xfId="76" applyFont="1" applyFill="1" applyBorder="1"/>
    <xf numFmtId="9" fontId="54" fillId="47" borderId="33" xfId="76" applyFont="1" applyFill="1" applyBorder="1" applyAlignment="1">
      <alignment horizontal="right"/>
    </xf>
    <xf numFmtId="0" fontId="32" fillId="41" borderId="26" xfId="0" applyFont="1" applyFill="1" applyBorder="1"/>
    <xf numFmtId="169" fontId="50" fillId="46" borderId="26" xfId="0" applyNumberFormat="1" applyFont="1" applyFill="1" applyBorder="1"/>
    <xf numFmtId="37" fontId="51" fillId="0" borderId="26" xfId="0" applyNumberFormat="1" applyFont="1" applyBorder="1"/>
    <xf numFmtId="170" fontId="48" fillId="0" borderId="26" xfId="76" applyNumberFormat="1" applyFont="1" applyBorder="1"/>
    <xf numFmtId="170" fontId="48" fillId="0" borderId="26" xfId="76" applyNumberFormat="1" applyFont="1" applyBorder="1" applyAlignment="1">
      <alignment horizontal="right"/>
    </xf>
    <xf numFmtId="3" fontId="51" fillId="0" borderId="26" xfId="0" applyNumberFormat="1" applyFont="1" applyBorder="1"/>
    <xf numFmtId="3" fontId="49" fillId="47" borderId="30" xfId="0" applyNumberFormat="1" applyFont="1" applyFill="1" applyBorder="1"/>
    <xf numFmtId="9" fontId="54" fillId="47" borderId="32" xfId="76" applyFont="1" applyFill="1" applyBorder="1"/>
    <xf numFmtId="3" fontId="32" fillId="0" borderId="26" xfId="0" applyNumberFormat="1" applyFont="1" applyBorder="1"/>
    <xf numFmtId="37" fontId="32" fillId="0" borderId="26" xfId="0" applyNumberFormat="1" applyFont="1" applyBorder="1"/>
    <xf numFmtId="9" fontId="54" fillId="47" borderId="32" xfId="76" applyFont="1" applyFill="1" applyBorder="1" applyAlignment="1">
      <alignment horizontal="right"/>
    </xf>
    <xf numFmtId="37" fontId="33" fillId="0" borderId="26" xfId="0" applyNumberFormat="1" applyFont="1" applyBorder="1"/>
    <xf numFmtId="37" fontId="51" fillId="0" borderId="26" xfId="0" applyNumberFormat="1" applyFont="1" applyBorder="1" applyAlignment="1">
      <alignment horizontal="right"/>
    </xf>
    <xf numFmtId="37" fontId="46" fillId="0" borderId="26" xfId="0" applyNumberFormat="1" applyFont="1" applyBorder="1" applyAlignment="1">
      <alignment horizontal="right"/>
    </xf>
    <xf numFmtId="37" fontId="49" fillId="47" borderId="41" xfId="0" applyNumberFormat="1" applyFont="1" applyFill="1" applyBorder="1"/>
    <xf numFmtId="170" fontId="53" fillId="47" borderId="26" xfId="76" applyNumberFormat="1" applyFont="1" applyFill="1" applyBorder="1"/>
    <xf numFmtId="0" fontId="32" fillId="47" borderId="42" xfId="0" applyFont="1" applyFill="1" applyBorder="1"/>
    <xf numFmtId="37" fontId="55" fillId="47" borderId="41" xfId="0" applyNumberFormat="1" applyFont="1" applyFill="1" applyBorder="1" applyAlignment="1">
      <alignment horizontal="right"/>
    </xf>
    <xf numFmtId="170" fontId="54" fillId="47" borderId="26" xfId="76" applyNumberFormat="1" applyFont="1" applyFill="1" applyBorder="1"/>
    <xf numFmtId="170" fontId="54" fillId="47" borderId="42" xfId="76" applyNumberFormat="1" applyFont="1" applyFill="1" applyBorder="1"/>
    <xf numFmtId="0" fontId="51" fillId="0" borderId="26" xfId="0" applyFont="1" applyBorder="1"/>
    <xf numFmtId="170" fontId="58" fillId="0" borderId="26" xfId="0" applyNumberFormat="1" applyFont="1" applyBorder="1"/>
    <xf numFmtId="37" fontId="49" fillId="47" borderId="42" xfId="0" applyNumberFormat="1" applyFont="1" applyFill="1" applyBorder="1"/>
    <xf numFmtId="37" fontId="56" fillId="0" borderId="26" xfId="0" applyNumberFormat="1" applyFont="1" applyBorder="1" applyAlignment="1">
      <alignment horizontal="right"/>
    </xf>
    <xf numFmtId="170" fontId="57" fillId="0" borderId="26" xfId="76" applyNumberFormat="1" applyFont="1" applyBorder="1"/>
    <xf numFmtId="37" fontId="33" fillId="0" borderId="26" xfId="0" applyNumberFormat="1" applyFont="1" applyBorder="1" applyAlignment="1">
      <alignment horizontal="right"/>
    </xf>
    <xf numFmtId="37" fontId="49" fillId="0" borderId="43" xfId="0" applyNumberFormat="1" applyFont="1" applyBorder="1"/>
    <xf numFmtId="37" fontId="49" fillId="0" borderId="41" xfId="0" applyNumberFormat="1" applyFont="1" applyBorder="1"/>
    <xf numFmtId="37" fontId="49" fillId="0" borderId="42" xfId="0" applyNumberFormat="1" applyFont="1" applyBorder="1"/>
    <xf numFmtId="2" fontId="32" fillId="0" borderId="26" xfId="0" applyNumberFormat="1" applyFont="1" applyBorder="1"/>
    <xf numFmtId="37" fontId="55" fillId="47" borderId="30" xfId="0" applyNumberFormat="1" applyFont="1" applyFill="1" applyBorder="1" applyAlignment="1">
      <alignment horizontal="right"/>
    </xf>
    <xf numFmtId="37" fontId="55" fillId="47" borderId="34" xfId="0" applyNumberFormat="1" applyFont="1" applyFill="1" applyBorder="1" applyAlignment="1">
      <alignment horizontal="right"/>
    </xf>
    <xf numFmtId="37" fontId="55" fillId="47" borderId="31" xfId="0" applyNumberFormat="1" applyFont="1" applyFill="1" applyBorder="1" applyAlignment="1">
      <alignment horizontal="right"/>
    </xf>
    <xf numFmtId="170" fontId="54" fillId="47" borderId="32" xfId="76" applyNumberFormat="1" applyFont="1" applyFill="1" applyBorder="1"/>
    <xf numFmtId="170" fontId="53" fillId="47" borderId="35" xfId="0" applyNumberFormat="1" applyFont="1" applyFill="1" applyBorder="1"/>
    <xf numFmtId="170" fontId="53" fillId="47" borderId="33" xfId="0" applyNumberFormat="1" applyFont="1" applyFill="1" applyBorder="1"/>
    <xf numFmtId="0" fontId="32" fillId="0" borderId="40" xfId="0" applyFont="1" applyBorder="1"/>
    <xf numFmtId="10" fontId="52" fillId="0" borderId="44" xfId="76" applyNumberFormat="1" applyFont="1" applyBorder="1"/>
    <xf numFmtId="10" fontId="43" fillId="0" borderId="45" xfId="76" applyNumberFormat="1" applyFont="1" applyFill="1" applyBorder="1" applyAlignment="1">
      <alignment horizontal="right"/>
    </xf>
    <xf numFmtId="170" fontId="54" fillId="47" borderId="27" xfId="76" applyNumberFormat="1" applyFont="1" applyFill="1" applyBorder="1"/>
    <xf numFmtId="170" fontId="54" fillId="47" borderId="35" xfId="76" applyNumberFormat="1" applyFont="1" applyFill="1" applyBorder="1"/>
    <xf numFmtId="170" fontId="54" fillId="47" borderId="33" xfId="76" applyNumberFormat="1" applyFont="1" applyFill="1" applyBorder="1"/>
    <xf numFmtId="0" fontId="49" fillId="47" borderId="18" xfId="0" applyFont="1" applyFill="1" applyBorder="1"/>
    <xf numFmtId="37" fontId="49" fillId="47" borderId="0" xfId="0" applyNumberFormat="1" applyFont="1" applyFill="1"/>
    <xf numFmtId="37" fontId="49" fillId="47" borderId="26" xfId="0" applyNumberFormat="1" applyFont="1" applyFill="1" applyBorder="1"/>
    <xf numFmtId="37" fontId="49" fillId="47" borderId="30" xfId="0" applyNumberFormat="1" applyFont="1" applyFill="1" applyBorder="1"/>
    <xf numFmtId="37" fontId="49" fillId="47" borderId="34" xfId="0" applyNumberFormat="1" applyFont="1" applyFill="1" applyBorder="1"/>
    <xf numFmtId="37" fontId="49" fillId="47" borderId="31" xfId="0" applyNumberFormat="1" applyFont="1" applyFill="1" applyBorder="1"/>
    <xf numFmtId="37" fontId="49" fillId="47" borderId="27" xfId="0" applyNumberFormat="1" applyFont="1" applyFill="1" applyBorder="1"/>
    <xf numFmtId="170" fontId="53" fillId="47" borderId="32" xfId="76" applyNumberFormat="1" applyFont="1" applyFill="1" applyBorder="1"/>
    <xf numFmtId="170" fontId="53" fillId="47" borderId="35" xfId="76" applyNumberFormat="1" applyFont="1" applyFill="1" applyBorder="1"/>
    <xf numFmtId="170" fontId="53" fillId="47" borderId="33" xfId="76" applyNumberFormat="1" applyFont="1" applyFill="1" applyBorder="1"/>
    <xf numFmtId="172" fontId="32" fillId="0" borderId="0" xfId="0" applyNumberFormat="1" applyFont="1"/>
    <xf numFmtId="0" fontId="44" fillId="0" borderId="19" xfId="0" applyFont="1" applyBorder="1"/>
    <xf numFmtId="0" fontId="39" fillId="50" borderId="0" xfId="0" applyFont="1" applyFill="1"/>
    <xf numFmtId="0" fontId="32" fillId="50" borderId="0" xfId="0" applyFont="1" applyFill="1"/>
    <xf numFmtId="10" fontId="59" fillId="51" borderId="29" xfId="0" applyNumberFormat="1" applyFont="1" applyFill="1" applyBorder="1" applyAlignment="1">
      <alignment horizontal="center"/>
    </xf>
    <xf numFmtId="0" fontId="39" fillId="52" borderId="0" xfId="0" applyFont="1" applyFill="1"/>
    <xf numFmtId="37" fontId="59" fillId="0" borderId="0" xfId="0" applyNumberFormat="1" applyFont="1"/>
    <xf numFmtId="0" fontId="43" fillId="0" borderId="0" xfId="0" applyFont="1"/>
    <xf numFmtId="170" fontId="60" fillId="0" borderId="0" xfId="76" applyNumberFormat="1" applyFont="1" applyFill="1" applyBorder="1"/>
    <xf numFmtId="170" fontId="57" fillId="0" borderId="0" xfId="76" applyNumberFormat="1" applyFont="1" applyFill="1" applyBorder="1"/>
    <xf numFmtId="0" fontId="44" fillId="0" borderId="28" xfId="0" applyFont="1" applyBorder="1"/>
    <xf numFmtId="0" fontId="44" fillId="0" borderId="15" xfId="0" applyFont="1" applyBorder="1"/>
    <xf numFmtId="0" fontId="44" fillId="0" borderId="20" xfId="0" applyFont="1" applyBorder="1"/>
    <xf numFmtId="0" fontId="44" fillId="0" borderId="4" xfId="0" applyFont="1" applyBorder="1"/>
    <xf numFmtId="0" fontId="44" fillId="0" borderId="22" xfId="0" applyFont="1" applyBorder="1"/>
    <xf numFmtId="37" fontId="44" fillId="0" borderId="19" xfId="0" applyNumberFormat="1" applyFont="1" applyBorder="1"/>
    <xf numFmtId="2" fontId="59" fillId="0" borderId="0" xfId="0" applyNumberFormat="1" applyFont="1"/>
    <xf numFmtId="0" fontId="59" fillId="0" borderId="0" xfId="0" applyFont="1"/>
    <xf numFmtId="0" fontId="41" fillId="0" borderId="19" xfId="0" applyFont="1" applyBorder="1"/>
    <xf numFmtId="0" fontId="41" fillId="50" borderId="0" xfId="0" applyFont="1" applyFill="1"/>
    <xf numFmtId="10" fontId="59" fillId="51" borderId="46" xfId="0" applyNumberFormat="1" applyFont="1" applyFill="1" applyBorder="1" applyAlignment="1">
      <alignment horizontal="center"/>
    </xf>
    <xf numFmtId="0" fontId="41" fillId="0" borderId="0" xfId="0" applyFont="1" applyAlignment="1">
      <alignment horizontal="center"/>
    </xf>
    <xf numFmtId="170" fontId="60" fillId="0" borderId="0" xfId="0" applyNumberFormat="1" applyFont="1"/>
    <xf numFmtId="170" fontId="57" fillId="0" borderId="0" xfId="0" applyNumberFormat="1" applyFont="1"/>
    <xf numFmtId="170" fontId="60" fillId="0" borderId="0" xfId="76" applyNumberFormat="1" applyFont="1"/>
    <xf numFmtId="9" fontId="32" fillId="0" borderId="0" xfId="0" applyNumberFormat="1" applyFont="1"/>
    <xf numFmtId="0" fontId="41" fillId="0" borderId="26" xfId="0" applyFont="1" applyBorder="1"/>
    <xf numFmtId="37" fontId="59" fillId="0" borderId="26" xfId="0" applyNumberFormat="1" applyFont="1" applyBorder="1"/>
    <xf numFmtId="170" fontId="60" fillId="0" borderId="26" xfId="0" applyNumberFormat="1" applyFont="1" applyBorder="1"/>
    <xf numFmtId="37" fontId="44" fillId="0" borderId="42" xfId="0" applyNumberFormat="1" applyFont="1" applyBorder="1"/>
    <xf numFmtId="2" fontId="59" fillId="0" borderId="26" xfId="0" applyNumberFormat="1" applyFont="1" applyBorder="1"/>
    <xf numFmtId="171" fontId="60" fillId="0" borderId="0" xfId="76" applyNumberFormat="1" applyFont="1" applyFill="1" applyBorder="1"/>
    <xf numFmtId="171" fontId="60" fillId="0" borderId="0" xfId="76" applyNumberFormat="1" applyFont="1"/>
    <xf numFmtId="39" fontId="44" fillId="0" borderId="15" xfId="0" applyNumberFormat="1" applyFont="1" applyBorder="1"/>
    <xf numFmtId="39" fontId="44" fillId="0" borderId="4" xfId="0" applyNumberFormat="1" applyFont="1" applyBorder="1"/>
    <xf numFmtId="0" fontId="32" fillId="0" borderId="39" xfId="0" applyFont="1" applyBorder="1"/>
    <xf numFmtId="37" fontId="44" fillId="0" borderId="30" xfId="0" applyNumberFormat="1" applyFont="1" applyBorder="1"/>
    <xf numFmtId="37" fontId="44" fillId="0" borderId="34" xfId="0" applyNumberFormat="1" applyFont="1" applyBorder="1"/>
    <xf numFmtId="37" fontId="44" fillId="0" borderId="31" xfId="0" applyNumberFormat="1" applyFont="1" applyBorder="1"/>
    <xf numFmtId="37" fontId="44" fillId="0" borderId="32" xfId="0" applyNumberFormat="1" applyFont="1" applyBorder="1"/>
    <xf numFmtId="37" fontId="44" fillId="0" borderId="35" xfId="0" applyNumberFormat="1" applyFont="1" applyBorder="1"/>
    <xf numFmtId="37" fontId="44" fillId="0" borderId="33" xfId="0" applyNumberFormat="1" applyFont="1" applyBorder="1"/>
    <xf numFmtId="10" fontId="52" fillId="0" borderId="30" xfId="0" applyNumberFormat="1" applyFont="1" applyBorder="1"/>
    <xf numFmtId="39" fontId="59" fillId="0" borderId="0" xfId="0" applyNumberFormat="1" applyFont="1"/>
    <xf numFmtId="37" fontId="44" fillId="0" borderId="36" xfId="0" applyNumberFormat="1" applyFont="1" applyBorder="1"/>
    <xf numFmtId="37" fontId="44" fillId="0" borderId="37" xfId="0" applyNumberFormat="1" applyFont="1" applyBorder="1"/>
    <xf numFmtId="37" fontId="44" fillId="0" borderId="38" xfId="0" applyNumberFormat="1" applyFont="1" applyBorder="1"/>
    <xf numFmtId="0" fontId="42" fillId="38" borderId="50" xfId="0" applyFont="1" applyFill="1" applyBorder="1"/>
    <xf numFmtId="0" fontId="41" fillId="38" borderId="51" xfId="0" applyFont="1" applyFill="1" applyBorder="1" applyAlignment="1">
      <alignment horizontal="right"/>
    </xf>
    <xf numFmtId="0" fontId="42" fillId="38" borderId="52" xfId="0" applyFont="1" applyFill="1" applyBorder="1"/>
    <xf numFmtId="4" fontId="41" fillId="38" borderId="53" xfId="0" applyNumberFormat="1" applyFont="1" applyFill="1" applyBorder="1" applyAlignment="1">
      <alignment horizontal="right"/>
    </xf>
    <xf numFmtId="0" fontId="41" fillId="38" borderId="53" xfId="0" applyFont="1" applyFill="1" applyBorder="1" applyAlignment="1">
      <alignment horizontal="right"/>
    </xf>
    <xf numFmtId="0" fontId="41" fillId="38" borderId="54" xfId="0" applyFont="1" applyFill="1" applyBorder="1" applyAlignment="1">
      <alignment horizontal="right"/>
    </xf>
    <xf numFmtId="0" fontId="42" fillId="44" borderId="47" xfId="0" applyFont="1" applyFill="1" applyBorder="1"/>
    <xf numFmtId="4" fontId="41" fillId="44" borderId="48" xfId="0" applyNumberFormat="1" applyFont="1" applyFill="1" applyBorder="1" applyAlignment="1">
      <alignment horizontal="right"/>
    </xf>
    <xf numFmtId="4" fontId="41" fillId="44" borderId="49" xfId="0" applyNumberFormat="1" applyFont="1" applyFill="1" applyBorder="1" applyAlignment="1">
      <alignment horizontal="right"/>
    </xf>
    <xf numFmtId="0" fontId="42" fillId="44" borderId="50" xfId="0" applyFont="1" applyFill="1" applyBorder="1"/>
    <xf numFmtId="0" fontId="41" fillId="44" borderId="51" xfId="0" applyFont="1" applyFill="1" applyBorder="1" applyAlignment="1">
      <alignment horizontal="right"/>
    </xf>
    <xf numFmtId="0" fontId="32" fillId="49" borderId="36" xfId="0" applyFont="1" applyFill="1" applyBorder="1"/>
    <xf numFmtId="0" fontId="32" fillId="49" borderId="37" xfId="0" applyFont="1" applyFill="1" applyBorder="1"/>
    <xf numFmtId="39" fontId="32" fillId="49" borderId="38" xfId="0" applyNumberFormat="1" applyFont="1" applyFill="1" applyBorder="1"/>
    <xf numFmtId="171" fontId="60" fillId="0" borderId="0" xfId="76" applyNumberFormat="1" applyFont="1" applyBorder="1"/>
    <xf numFmtId="171" fontId="60" fillId="0" borderId="26" xfId="76" applyNumberFormat="1" applyFont="1" applyBorder="1"/>
    <xf numFmtId="39" fontId="59" fillId="0" borderId="26" xfId="0" applyNumberFormat="1" applyFont="1" applyBorder="1"/>
    <xf numFmtId="0" fontId="44" fillId="49" borderId="36" xfId="0" applyFont="1" applyFill="1" applyBorder="1"/>
    <xf numFmtId="0" fontId="41" fillId="49" borderId="37" xfId="0" applyFont="1" applyFill="1" applyBorder="1"/>
    <xf numFmtId="0" fontId="41" fillId="49" borderId="36" xfId="0" applyFont="1" applyFill="1" applyBorder="1"/>
    <xf numFmtId="37" fontId="44" fillId="49" borderId="38" xfId="0" applyNumberFormat="1" applyFont="1" applyFill="1" applyBorder="1"/>
    <xf numFmtId="170" fontId="60" fillId="0" borderId="26" xfId="76" applyNumberFormat="1" applyFont="1" applyFill="1" applyBorder="1"/>
    <xf numFmtId="9" fontId="32" fillId="0" borderId="26" xfId="0" applyNumberFormat="1" applyFont="1" applyBorder="1"/>
    <xf numFmtId="39" fontId="44" fillId="0" borderId="43" xfId="0" applyNumberFormat="1" applyFont="1" applyBorder="1"/>
    <xf numFmtId="39" fontId="44" fillId="0" borderId="30" xfId="0" applyNumberFormat="1" applyFont="1" applyBorder="1"/>
    <xf numFmtId="39" fontId="44" fillId="0" borderId="34" xfId="0" applyNumberFormat="1" applyFont="1" applyBorder="1"/>
    <xf numFmtId="39" fontId="44" fillId="0" borderId="31" xfId="0" applyNumberFormat="1" applyFont="1" applyBorder="1"/>
    <xf numFmtId="39" fontId="44" fillId="0" borderId="36" xfId="0" applyNumberFormat="1" applyFont="1" applyBorder="1"/>
    <xf numFmtId="39" fontId="44" fillId="0" borderId="37" xfId="0" applyNumberFormat="1" applyFont="1" applyBorder="1"/>
    <xf numFmtId="39" fontId="44" fillId="0" borderId="38" xfId="0" applyNumberFormat="1" applyFont="1" applyBorder="1"/>
    <xf numFmtId="170" fontId="51" fillId="0" borderId="0" xfId="0" applyNumberFormat="1" applyFont="1"/>
    <xf numFmtId="39" fontId="44" fillId="0" borderId="41" xfId="0" applyNumberFormat="1" applyFont="1" applyBorder="1"/>
    <xf numFmtId="171" fontId="60" fillId="0" borderId="26" xfId="76" applyNumberFormat="1" applyFont="1" applyFill="1" applyBorder="1"/>
    <xf numFmtId="170" fontId="60" fillId="0" borderId="26" xfId="76" applyNumberFormat="1" applyFont="1" applyBorder="1"/>
    <xf numFmtId="10" fontId="52" fillId="0" borderId="30" xfId="76" applyNumberFormat="1" applyFont="1" applyBorder="1"/>
    <xf numFmtId="10" fontId="52" fillId="0" borderId="34" xfId="76" applyNumberFormat="1" applyFont="1" applyBorder="1"/>
    <xf numFmtId="10" fontId="52" fillId="0" borderId="31" xfId="76" applyNumberFormat="1" applyFont="1" applyBorder="1"/>
    <xf numFmtId="0" fontId="32" fillId="0" borderId="55" xfId="0" applyFont="1" applyBorder="1"/>
    <xf numFmtId="0" fontId="32" fillId="0" borderId="50" xfId="0" applyFont="1" applyBorder="1"/>
    <xf numFmtId="0" fontId="32" fillId="0" borderId="56" xfId="0" applyFont="1" applyBorder="1"/>
    <xf numFmtId="0" fontId="32" fillId="0" borderId="52" xfId="0" applyFont="1" applyBorder="1"/>
    <xf numFmtId="173" fontId="32" fillId="0" borderId="57" xfId="75" applyNumberFormat="1" applyFont="1" applyBorder="1"/>
    <xf numFmtId="173" fontId="32" fillId="0" borderId="0" xfId="75" applyNumberFormat="1" applyFont="1" applyBorder="1"/>
    <xf numFmtId="0" fontId="32" fillId="0" borderId="58" xfId="0" applyFont="1" applyBorder="1"/>
    <xf numFmtId="173" fontId="32" fillId="0" borderId="59" xfId="75" applyNumberFormat="1" applyFont="1" applyBorder="1"/>
    <xf numFmtId="0" fontId="39" fillId="37" borderId="60" xfId="0" applyFont="1" applyFill="1" applyBorder="1" applyAlignment="1">
      <alignment horizontal="left"/>
    </xf>
    <xf numFmtId="14" fontId="39" fillId="37" borderId="61" xfId="0" applyNumberFormat="1" applyFont="1" applyFill="1" applyBorder="1" applyAlignment="1">
      <alignment horizontal="left"/>
    </xf>
    <xf numFmtId="14" fontId="39" fillId="37" borderId="62" xfId="0" applyNumberFormat="1" applyFont="1" applyFill="1" applyBorder="1" applyAlignment="1">
      <alignment horizontal="left"/>
    </xf>
    <xf numFmtId="4" fontId="41" fillId="53" borderId="2" xfId="0" applyNumberFormat="1" applyFont="1" applyFill="1" applyBorder="1" applyAlignment="1">
      <alignment horizontal="right"/>
    </xf>
    <xf numFmtId="44" fontId="32" fillId="0" borderId="0" xfId="75" applyFont="1" applyBorder="1"/>
    <xf numFmtId="2" fontId="41" fillId="53" borderId="2" xfId="0" applyNumberFormat="1" applyFont="1" applyFill="1" applyBorder="1" applyAlignment="1">
      <alignment horizontal="right"/>
    </xf>
    <xf numFmtId="173" fontId="32" fillId="0" borderId="0" xfId="0" applyNumberFormat="1" applyFont="1"/>
    <xf numFmtId="173" fontId="32" fillId="0" borderId="59" xfId="0" applyNumberFormat="1" applyFont="1" applyBorder="1"/>
    <xf numFmtId="44" fontId="32" fillId="0" borderId="0" xfId="0" applyNumberFormat="1" applyFont="1"/>
    <xf numFmtId="174" fontId="32" fillId="0" borderId="0" xfId="75" applyNumberFormat="1" applyFont="1"/>
    <xf numFmtId="174" fontId="32" fillId="0" borderId="26" xfId="75" applyNumberFormat="1" applyFont="1" applyBorder="1"/>
    <xf numFmtId="9" fontId="32" fillId="0" borderId="56" xfId="0" applyNumberFormat="1" applyFont="1" applyBorder="1"/>
    <xf numFmtId="44" fontId="32" fillId="0" borderId="56" xfId="0" applyNumberFormat="1" applyFont="1" applyBorder="1"/>
    <xf numFmtId="9" fontId="32" fillId="0" borderId="59" xfId="0" applyNumberFormat="1" applyFont="1" applyBorder="1"/>
    <xf numFmtId="44" fontId="32" fillId="0" borderId="57" xfId="0" applyNumberFormat="1" applyFont="1" applyBorder="1"/>
    <xf numFmtId="0" fontId="32" fillId="0" borderId="63" xfId="0" applyFont="1" applyBorder="1"/>
    <xf numFmtId="44" fontId="32" fillId="0" borderId="64" xfId="0" applyNumberFormat="1" applyFont="1" applyBorder="1"/>
    <xf numFmtId="44" fontId="32" fillId="0" borderId="65" xfId="0" applyNumberFormat="1" applyFont="1" applyBorder="1"/>
    <xf numFmtId="175" fontId="32" fillId="0" borderId="0" xfId="76" applyNumberFormat="1" applyFont="1"/>
    <xf numFmtId="0" fontId="32" fillId="54" borderId="0" xfId="0" applyFont="1" applyFill="1"/>
    <xf numFmtId="44" fontId="32" fillId="0" borderId="57" xfId="75" applyFont="1" applyBorder="1"/>
    <xf numFmtId="175" fontId="32" fillId="0" borderId="56" xfId="76" applyNumberFormat="1" applyFont="1" applyBorder="1"/>
    <xf numFmtId="10" fontId="32" fillId="0" borderId="56" xfId="0" applyNumberFormat="1" applyFont="1" applyBorder="1"/>
    <xf numFmtId="0" fontId="52" fillId="0" borderId="47" xfId="0" applyFont="1" applyBorder="1"/>
    <xf numFmtId="0" fontId="52" fillId="0" borderId="55" xfId="0" applyFont="1" applyBorder="1"/>
    <xf numFmtId="176" fontId="32" fillId="0" borderId="57" xfId="0" applyNumberFormat="1" applyFont="1" applyBorder="1"/>
    <xf numFmtId="44" fontId="32" fillId="0" borderId="0" xfId="75" applyFont="1"/>
    <xf numFmtId="44" fontId="41" fillId="0" borderId="0" xfId="0" applyNumberFormat="1" applyFont="1"/>
    <xf numFmtId="0" fontId="32" fillId="0" borderId="47" xfId="0" applyFont="1" applyBorder="1"/>
    <xf numFmtId="44" fontId="32" fillId="0" borderId="56" xfId="75" applyFont="1" applyBorder="1"/>
    <xf numFmtId="37" fontId="32" fillId="0" borderId="59" xfId="0" applyNumberFormat="1" applyFont="1" applyBorder="1"/>
    <xf numFmtId="44" fontId="32" fillId="0" borderId="59" xfId="0" applyNumberFormat="1" applyFont="1" applyBorder="1"/>
    <xf numFmtId="14" fontId="39" fillId="37" borderId="66" xfId="0" applyNumberFormat="1" applyFont="1" applyFill="1" applyBorder="1" applyAlignment="1">
      <alignment horizontal="right"/>
    </xf>
    <xf numFmtId="14" fontId="39" fillId="37" borderId="67" xfId="0" applyNumberFormat="1" applyFont="1" applyFill="1" applyBorder="1" applyAlignment="1">
      <alignment horizontal="right"/>
    </xf>
    <xf numFmtId="0" fontId="40" fillId="38" borderId="50" xfId="0" applyFont="1" applyFill="1" applyBorder="1"/>
    <xf numFmtId="0" fontId="40" fillId="38" borderId="52" xfId="0" applyFont="1" applyFill="1" applyBorder="1"/>
    <xf numFmtId="4" fontId="43" fillId="38" borderId="53" xfId="0" applyNumberFormat="1" applyFont="1" applyFill="1" applyBorder="1" applyAlignment="1">
      <alignment horizontal="right"/>
    </xf>
    <xf numFmtId="4" fontId="43" fillId="44" borderId="54" xfId="0" applyNumberFormat="1" applyFont="1" applyFill="1" applyBorder="1" applyAlignment="1">
      <alignment horizontal="right"/>
    </xf>
    <xf numFmtId="4" fontId="41" fillId="56" borderId="51" xfId="0" applyNumberFormat="1" applyFont="1" applyFill="1" applyBorder="1" applyAlignment="1">
      <alignment horizontal="right"/>
    </xf>
    <xf numFmtId="4" fontId="43" fillId="56" borderId="51" xfId="0" applyNumberFormat="1" applyFont="1" applyFill="1" applyBorder="1" applyAlignment="1">
      <alignment horizontal="right"/>
    </xf>
    <xf numFmtId="0" fontId="49" fillId="0" borderId="58" xfId="0" applyFont="1" applyBorder="1"/>
    <xf numFmtId="0" fontId="49" fillId="0" borderId="55" xfId="0" applyFont="1" applyBorder="1"/>
    <xf numFmtId="44" fontId="32" fillId="0" borderId="59" xfId="75" applyFont="1" applyBorder="1"/>
    <xf numFmtId="10" fontId="34" fillId="34" borderId="2" xfId="76" applyNumberFormat="1" applyFont="1" applyFill="1" applyBorder="1" applyAlignment="1">
      <alignment horizontal="right"/>
    </xf>
    <xf numFmtId="9" fontId="32" fillId="0" borderId="57" xfId="0" applyNumberFormat="1" applyFont="1" applyBorder="1"/>
    <xf numFmtId="0" fontId="61" fillId="46" borderId="47" xfId="0" applyFont="1" applyFill="1" applyBorder="1"/>
    <xf numFmtId="0" fontId="61" fillId="46" borderId="58" xfId="0" applyFont="1" applyFill="1" applyBorder="1"/>
    <xf numFmtId="0" fontId="61" fillId="46" borderId="55" xfId="0" applyFont="1" applyFill="1" applyBorder="1"/>
    <xf numFmtId="0" fontId="32" fillId="49" borderId="68" xfId="0" applyFont="1" applyFill="1" applyBorder="1"/>
    <xf numFmtId="44" fontId="32" fillId="49" borderId="70" xfId="0" applyNumberFormat="1" applyFont="1" applyFill="1" applyBorder="1"/>
    <xf numFmtId="44" fontId="32" fillId="58" borderId="59" xfId="0" applyNumberFormat="1" applyFont="1" applyFill="1" applyBorder="1"/>
    <xf numFmtId="44" fontId="32" fillId="57" borderId="59" xfId="0" applyNumberFormat="1" applyFont="1" applyFill="1" applyBorder="1"/>
    <xf numFmtId="44" fontId="32" fillId="59" borderId="57" xfId="0" applyNumberFormat="1" applyFont="1" applyFill="1" applyBorder="1"/>
    <xf numFmtId="0" fontId="49" fillId="56" borderId="58" xfId="0" applyFont="1" applyFill="1" applyBorder="1"/>
    <xf numFmtId="44" fontId="32" fillId="56" borderId="0" xfId="75" applyFont="1" applyFill="1" applyBorder="1"/>
    <xf numFmtId="44" fontId="32" fillId="56" borderId="59" xfId="75" applyFont="1" applyFill="1" applyBorder="1"/>
    <xf numFmtId="43" fontId="32" fillId="0" borderId="0" xfId="74" applyFont="1" applyFill="1" applyBorder="1" applyAlignment="1">
      <alignment horizontal="right"/>
    </xf>
    <xf numFmtId="0" fontId="49" fillId="0" borderId="0" xfId="77" applyFont="1" applyAlignment="1">
      <alignment horizontal="left"/>
    </xf>
    <xf numFmtId="3" fontId="49" fillId="0" borderId="0" xfId="77" applyNumberFormat="1" applyFont="1" applyAlignment="1">
      <alignment horizontal="right"/>
    </xf>
    <xf numFmtId="0" fontId="32" fillId="0" borderId="0" xfId="77" applyFont="1" applyAlignment="1">
      <alignment horizontal="left"/>
    </xf>
    <xf numFmtId="43" fontId="49" fillId="0" borderId="0" xfId="74" applyFont="1" applyFill="1" applyBorder="1" applyAlignment="1">
      <alignment horizontal="right"/>
    </xf>
    <xf numFmtId="0" fontId="49" fillId="0" borderId="0" xfId="77" applyFont="1"/>
    <xf numFmtId="0" fontId="32" fillId="0" borderId="73" xfId="77" applyFont="1" applyBorder="1"/>
    <xf numFmtId="0" fontId="32" fillId="0" borderId="71" xfId="0" applyFont="1" applyBorder="1"/>
    <xf numFmtId="0" fontId="32" fillId="0" borderId="74" xfId="0" applyFont="1" applyBorder="1"/>
    <xf numFmtId="43" fontId="32" fillId="60" borderId="19" xfId="74" applyFont="1" applyFill="1" applyBorder="1" applyAlignment="1">
      <alignment horizontal="right"/>
    </xf>
    <xf numFmtId="43" fontId="32" fillId="60" borderId="23" xfId="74" applyFont="1" applyFill="1" applyBorder="1" applyAlignment="1">
      <alignment horizontal="right"/>
    </xf>
    <xf numFmtId="43" fontId="32" fillId="60" borderId="22" xfId="74" applyFont="1" applyFill="1" applyBorder="1" applyAlignment="1">
      <alignment horizontal="right"/>
    </xf>
    <xf numFmtId="10" fontId="52" fillId="0" borderId="18" xfId="76" applyNumberFormat="1" applyFont="1" applyBorder="1"/>
    <xf numFmtId="10" fontId="52" fillId="0" borderId="25" xfId="76" applyNumberFormat="1" applyFont="1" applyBorder="1"/>
    <xf numFmtId="43" fontId="32" fillId="0" borderId="18" xfId="74" applyFont="1" applyBorder="1" applyAlignment="1">
      <alignment horizontal="right"/>
    </xf>
    <xf numFmtId="43" fontId="32" fillId="0" borderId="0" xfId="74" applyFont="1" applyBorder="1" applyAlignment="1">
      <alignment horizontal="right"/>
    </xf>
    <xf numFmtId="43" fontId="32" fillId="0" borderId="25" xfId="74" applyFont="1" applyBorder="1" applyAlignment="1">
      <alignment horizontal="right"/>
    </xf>
    <xf numFmtId="10" fontId="32" fillId="0" borderId="18" xfId="76" applyNumberFormat="1" applyFont="1" applyBorder="1"/>
    <xf numFmtId="43" fontId="32" fillId="0" borderId="18" xfId="74" applyFont="1" applyBorder="1"/>
    <xf numFmtId="43" fontId="32" fillId="0" borderId="25" xfId="74" applyFont="1" applyBorder="1"/>
    <xf numFmtId="43" fontId="49" fillId="0" borderId="18" xfId="74" applyFont="1" applyBorder="1" applyAlignment="1">
      <alignment horizontal="right"/>
    </xf>
    <xf numFmtId="43" fontId="49" fillId="0" borderId="0" xfId="74" applyFont="1" applyBorder="1" applyAlignment="1">
      <alignment horizontal="right"/>
    </xf>
    <xf numFmtId="43" fontId="49" fillId="0" borderId="25" xfId="74" applyFont="1" applyBorder="1" applyAlignment="1">
      <alignment horizontal="right"/>
    </xf>
    <xf numFmtId="10" fontId="52" fillId="0" borderId="18" xfId="76" applyNumberFormat="1" applyFont="1" applyBorder="1" applyAlignment="1">
      <alignment horizontal="right"/>
    </xf>
    <xf numFmtId="10" fontId="52" fillId="0" borderId="0" xfId="76" applyNumberFormat="1" applyFont="1" applyBorder="1" applyAlignment="1">
      <alignment horizontal="right"/>
    </xf>
    <xf numFmtId="10" fontId="52" fillId="0" borderId="25" xfId="76" applyNumberFormat="1" applyFont="1" applyBorder="1" applyAlignment="1">
      <alignment horizontal="right"/>
    </xf>
    <xf numFmtId="10" fontId="52" fillId="0" borderId="25" xfId="76" applyNumberFormat="1" applyFont="1" applyFill="1" applyBorder="1"/>
    <xf numFmtId="0" fontId="32" fillId="0" borderId="18" xfId="0" applyFont="1" applyBorder="1"/>
    <xf numFmtId="0" fontId="32" fillId="0" borderId="25" xfId="0" applyFont="1" applyBorder="1"/>
    <xf numFmtId="10" fontId="52" fillId="0" borderId="22" xfId="76" applyNumberFormat="1" applyFont="1" applyBorder="1"/>
    <xf numFmtId="10" fontId="52" fillId="0" borderId="19" xfId="76" applyNumberFormat="1" applyFont="1" applyBorder="1"/>
    <xf numFmtId="10" fontId="52" fillId="0" borderId="23" xfId="76" applyNumberFormat="1" applyFont="1" applyBorder="1"/>
    <xf numFmtId="10" fontId="32" fillId="0" borderId="0" xfId="76" applyNumberFormat="1" applyFont="1" applyBorder="1"/>
    <xf numFmtId="43" fontId="49" fillId="0" borderId="18" xfId="74" applyFont="1" applyBorder="1"/>
    <xf numFmtId="43" fontId="49" fillId="0" borderId="0" xfId="74" applyFont="1" applyBorder="1"/>
    <xf numFmtId="44" fontId="49" fillId="0" borderId="28" xfId="75" applyFont="1" applyBorder="1"/>
    <xf numFmtId="44" fontId="49" fillId="0" borderId="15" xfId="75" applyFont="1" applyBorder="1"/>
    <xf numFmtId="44" fontId="49" fillId="0" borderId="24" xfId="75" applyFont="1" applyBorder="1"/>
    <xf numFmtId="10" fontId="52" fillId="0" borderId="28" xfId="76" applyNumberFormat="1" applyFont="1" applyBorder="1"/>
    <xf numFmtId="10" fontId="52" fillId="0" borderId="15" xfId="76" applyNumberFormat="1" applyFont="1" applyBorder="1"/>
    <xf numFmtId="10" fontId="52" fillId="0" borderId="24" xfId="76" applyNumberFormat="1" applyFont="1" applyBorder="1"/>
    <xf numFmtId="10" fontId="52" fillId="0" borderId="28" xfId="76" applyNumberFormat="1" applyFont="1" applyBorder="1" applyAlignment="1">
      <alignment horizontal="right"/>
    </xf>
    <xf numFmtId="10" fontId="52" fillId="0" borderId="15" xfId="76" applyNumberFormat="1" applyFont="1" applyBorder="1" applyAlignment="1">
      <alignment horizontal="right"/>
    </xf>
    <xf numFmtId="10" fontId="52" fillId="0" borderId="24" xfId="76" applyNumberFormat="1" applyFont="1" applyBorder="1" applyAlignment="1">
      <alignment horizontal="right"/>
    </xf>
    <xf numFmtId="43" fontId="32" fillId="0" borderId="20" xfId="74" applyFont="1" applyBorder="1" applyAlignment="1">
      <alignment horizontal="right"/>
    </xf>
    <xf numFmtId="43" fontId="32" fillId="0" borderId="4" xfId="74" applyFont="1" applyBorder="1" applyAlignment="1">
      <alignment horizontal="right"/>
    </xf>
    <xf numFmtId="43" fontId="32" fillId="0" borderId="21" xfId="74" applyFont="1" applyBorder="1" applyAlignment="1">
      <alignment horizontal="right"/>
    </xf>
    <xf numFmtId="10" fontId="52" fillId="0" borderId="22" xfId="76" applyNumberFormat="1" applyFont="1" applyBorder="1" applyAlignment="1">
      <alignment horizontal="right"/>
    </xf>
    <xf numFmtId="10" fontId="52" fillId="0" borderId="19" xfId="76" applyNumberFormat="1" applyFont="1" applyBorder="1" applyAlignment="1">
      <alignment horizontal="right"/>
    </xf>
    <xf numFmtId="10" fontId="52" fillId="0" borderId="23" xfId="76" applyNumberFormat="1" applyFont="1" applyBorder="1" applyAlignment="1">
      <alignment horizontal="right"/>
    </xf>
    <xf numFmtId="44" fontId="49" fillId="60" borderId="28" xfId="75" applyFont="1" applyFill="1" applyBorder="1"/>
    <xf numFmtId="44" fontId="49" fillId="60" borderId="15" xfId="75" applyFont="1" applyFill="1" applyBorder="1"/>
    <xf numFmtId="44" fontId="49" fillId="60" borderId="24" xfId="75" applyFont="1" applyFill="1" applyBorder="1"/>
    <xf numFmtId="0" fontId="32" fillId="0" borderId="20" xfId="0" applyFont="1" applyBorder="1"/>
    <xf numFmtId="0" fontId="32" fillId="0" borderId="4" xfId="0" applyFont="1" applyBorder="1"/>
    <xf numFmtId="0" fontId="32" fillId="0" borderId="21" xfId="0" applyFont="1" applyBorder="1"/>
    <xf numFmtId="170" fontId="60" fillId="0" borderId="0" xfId="76" applyNumberFormat="1" applyFont="1" applyBorder="1"/>
    <xf numFmtId="174" fontId="32" fillId="0" borderId="0" xfId="75" applyNumberFormat="1" applyFont="1" applyBorder="1"/>
    <xf numFmtId="0" fontId="32" fillId="0" borderId="76" xfId="0" applyFont="1" applyBorder="1"/>
    <xf numFmtId="0" fontId="32" fillId="0" borderId="77" xfId="0" applyFont="1" applyBorder="1"/>
    <xf numFmtId="0" fontId="32" fillId="0" borderId="78" xfId="0" applyFont="1" applyBorder="1"/>
    <xf numFmtId="0" fontId="32" fillId="0" borderId="79" xfId="0" applyFont="1" applyBorder="1"/>
    <xf numFmtId="0" fontId="32" fillId="0" borderId="80" xfId="0" applyFont="1" applyBorder="1"/>
    <xf numFmtId="0" fontId="32" fillId="0" borderId="81" xfId="0" applyFont="1" applyBorder="1"/>
    <xf numFmtId="0" fontId="32" fillId="0" borderId="82" xfId="0" applyFont="1" applyBorder="1"/>
    <xf numFmtId="44" fontId="32" fillId="0" borderId="80" xfId="75" applyFont="1" applyBorder="1"/>
    <xf numFmtId="44" fontId="32" fillId="0" borderId="83" xfId="75" applyFont="1" applyBorder="1"/>
    <xf numFmtId="0" fontId="52" fillId="0" borderId="50" xfId="0" applyFont="1" applyBorder="1"/>
    <xf numFmtId="0" fontId="49" fillId="54" borderId="47" xfId="0" applyFont="1" applyFill="1" applyBorder="1"/>
    <xf numFmtId="0" fontId="49" fillId="54" borderId="55" xfId="0" applyFont="1" applyFill="1" applyBorder="1"/>
    <xf numFmtId="0" fontId="49" fillId="55" borderId="47" xfId="0" applyFont="1" applyFill="1" applyBorder="1"/>
    <xf numFmtId="0" fontId="49" fillId="55" borderId="55" xfId="0" applyFont="1" applyFill="1" applyBorder="1"/>
    <xf numFmtId="44" fontId="32" fillId="54" borderId="82" xfId="75" applyFont="1" applyFill="1" applyBorder="1"/>
    <xf numFmtId="44" fontId="32" fillId="58" borderId="82" xfId="75" applyFont="1" applyFill="1" applyBorder="1"/>
    <xf numFmtId="44" fontId="32" fillId="55" borderId="83" xfId="75" applyFont="1" applyFill="1" applyBorder="1"/>
    <xf numFmtId="0" fontId="52" fillId="60" borderId="76" xfId="0" applyFont="1" applyFill="1" applyBorder="1"/>
    <xf numFmtId="0" fontId="32" fillId="60" borderId="89" xfId="77" applyFont="1" applyFill="1" applyBorder="1" applyAlignment="1">
      <alignment horizontal="left"/>
    </xf>
    <xf numFmtId="43" fontId="32" fillId="60" borderId="90" xfId="74" applyFont="1" applyFill="1" applyBorder="1" applyAlignment="1">
      <alignment horizontal="right"/>
    </xf>
    <xf numFmtId="0" fontId="49" fillId="0" borderId="91" xfId="0" applyFont="1" applyBorder="1"/>
    <xf numFmtId="44" fontId="49" fillId="0" borderId="92" xfId="75" applyFont="1" applyBorder="1"/>
    <xf numFmtId="0" fontId="52" fillId="0" borderId="91" xfId="0" applyFont="1" applyBorder="1"/>
    <xf numFmtId="10" fontId="52" fillId="0" borderId="92" xfId="76" applyNumberFormat="1" applyFont="1" applyBorder="1" applyAlignment="1">
      <alignment horizontal="right"/>
    </xf>
    <xf numFmtId="0" fontId="32" fillId="0" borderId="93" xfId="77" applyFont="1" applyBorder="1" applyAlignment="1">
      <alignment horizontal="left"/>
    </xf>
    <xf numFmtId="43" fontId="32" fillId="0" borderId="94" xfId="74" applyFont="1" applyBorder="1" applyAlignment="1">
      <alignment horizontal="right"/>
    </xf>
    <xf numFmtId="0" fontId="52" fillId="0" borderId="79" xfId="0" applyFont="1" applyBorder="1"/>
    <xf numFmtId="10" fontId="52" fillId="0" borderId="80" xfId="76" applyNumberFormat="1" applyFont="1" applyBorder="1"/>
    <xf numFmtId="10" fontId="52" fillId="0" borderId="80" xfId="76" applyNumberFormat="1" applyFont="1" applyBorder="1" applyAlignment="1">
      <alignment horizontal="right"/>
    </xf>
    <xf numFmtId="0" fontId="32" fillId="0" borderId="79" xfId="77" applyFont="1" applyBorder="1" applyAlignment="1">
      <alignment horizontal="left"/>
    </xf>
    <xf numFmtId="43" fontId="32" fillId="0" borderId="80" xfId="74" applyFont="1" applyBorder="1" applyAlignment="1">
      <alignment horizontal="right"/>
    </xf>
    <xf numFmtId="43" fontId="32" fillId="0" borderId="80" xfId="74" applyFont="1" applyBorder="1"/>
    <xf numFmtId="10" fontId="32" fillId="0" borderId="80" xfId="76" applyNumberFormat="1" applyFont="1" applyBorder="1"/>
    <xf numFmtId="43" fontId="49" fillId="0" borderId="80" xfId="74" applyFont="1" applyBorder="1"/>
    <xf numFmtId="0" fontId="52" fillId="0" borderId="89" xfId="77" applyFont="1" applyBorder="1" applyAlignment="1">
      <alignment horizontal="left"/>
    </xf>
    <xf numFmtId="10" fontId="52" fillId="0" borderId="90" xfId="76" applyNumberFormat="1" applyFont="1" applyBorder="1"/>
    <xf numFmtId="44" fontId="49" fillId="60" borderId="91" xfId="75" applyFont="1" applyFill="1" applyBorder="1"/>
    <xf numFmtId="44" fontId="49" fillId="60" borderId="92" xfId="75" applyFont="1" applyFill="1" applyBorder="1"/>
    <xf numFmtId="10" fontId="52" fillId="0" borderId="92" xfId="76" applyNumberFormat="1" applyFont="1" applyBorder="1"/>
    <xf numFmtId="0" fontId="52" fillId="0" borderId="89" xfId="0" applyFont="1" applyBorder="1"/>
    <xf numFmtId="0" fontId="32" fillId="0" borderId="93" xfId="0" applyFont="1" applyBorder="1"/>
    <xf numFmtId="0" fontId="32" fillId="0" borderId="94" xfId="0" applyFont="1" applyBorder="1"/>
    <xf numFmtId="0" fontId="52" fillId="0" borderId="81" xfId="0" applyFont="1" applyBorder="1"/>
    <xf numFmtId="10" fontId="52" fillId="0" borderId="95" xfId="76" applyNumberFormat="1" applyFont="1" applyBorder="1"/>
    <xf numFmtId="10" fontId="52" fillId="0" borderId="82" xfId="76" applyNumberFormat="1" applyFont="1" applyBorder="1"/>
    <xf numFmtId="10" fontId="52" fillId="0" borderId="96" xfId="76" applyNumberFormat="1" applyFont="1" applyBorder="1"/>
    <xf numFmtId="10" fontId="52" fillId="0" borderId="83" xfId="76" applyNumberFormat="1" applyFont="1" applyBorder="1"/>
    <xf numFmtId="0" fontId="39" fillId="50" borderId="76" xfId="0" applyFont="1" applyFill="1" applyBorder="1"/>
    <xf numFmtId="0" fontId="32" fillId="50" borderId="77" xfId="0" applyFont="1" applyFill="1" applyBorder="1"/>
    <xf numFmtId="0" fontId="39" fillId="50" borderId="79" xfId="0" applyFont="1" applyFill="1" applyBorder="1"/>
    <xf numFmtId="0" fontId="32" fillId="50" borderId="80" xfId="0" applyFont="1" applyFill="1" applyBorder="1"/>
    <xf numFmtId="0" fontId="39" fillId="52" borderId="79" xfId="0" applyFont="1" applyFill="1" applyBorder="1"/>
    <xf numFmtId="169" fontId="50" fillId="46" borderId="80" xfId="0" applyNumberFormat="1" applyFont="1" applyFill="1" applyBorder="1"/>
    <xf numFmtId="37" fontId="59" fillId="0" borderId="80" xfId="0" applyNumberFormat="1" applyFont="1" applyBorder="1"/>
    <xf numFmtId="0" fontId="43" fillId="0" borderId="79" xfId="0" applyFont="1" applyBorder="1"/>
    <xf numFmtId="170" fontId="60" fillId="0" borderId="80" xfId="76" applyNumberFormat="1" applyFont="1" applyFill="1" applyBorder="1"/>
    <xf numFmtId="171" fontId="60" fillId="0" borderId="80" xfId="76" applyNumberFormat="1" applyFont="1" applyBorder="1"/>
    <xf numFmtId="2" fontId="32" fillId="0" borderId="80" xfId="0" applyNumberFormat="1" applyFont="1" applyBorder="1"/>
    <xf numFmtId="9" fontId="32" fillId="0" borderId="80" xfId="0" applyNumberFormat="1" applyFont="1" applyBorder="1"/>
    <xf numFmtId="0" fontId="44" fillId="0" borderId="91" xfId="0" applyFont="1" applyBorder="1"/>
    <xf numFmtId="39" fontId="44" fillId="0" borderId="97" xfId="0" applyNumberFormat="1" applyFont="1" applyBorder="1"/>
    <xf numFmtId="39" fontId="59" fillId="0" borderId="80" xfId="0" applyNumberFormat="1" applyFont="1" applyBorder="1"/>
    <xf numFmtId="0" fontId="44" fillId="0" borderId="93" xfId="0" applyFont="1" applyBorder="1"/>
    <xf numFmtId="39" fontId="44" fillId="0" borderId="98" xfId="0" applyNumberFormat="1" applyFont="1" applyBorder="1"/>
    <xf numFmtId="0" fontId="44" fillId="0" borderId="89" xfId="0" applyFont="1" applyBorder="1"/>
    <xf numFmtId="37" fontId="44" fillId="0" borderId="99" xfId="0" applyNumberFormat="1" applyFont="1" applyBorder="1"/>
    <xf numFmtId="0" fontId="59" fillId="0" borderId="80" xfId="0" applyFont="1" applyBorder="1"/>
    <xf numFmtId="2" fontId="59" fillId="0" borderId="80" xfId="0" applyNumberFormat="1" applyFont="1" applyBorder="1"/>
    <xf numFmtId="37" fontId="33" fillId="0" borderId="80" xfId="0" applyNumberFormat="1" applyFont="1" applyBorder="1" applyAlignment="1">
      <alignment horizontal="right"/>
    </xf>
    <xf numFmtId="0" fontId="44" fillId="49" borderId="100" xfId="0" applyFont="1" applyFill="1" applyBorder="1"/>
    <xf numFmtId="37" fontId="44" fillId="49" borderId="97" xfId="0" applyNumberFormat="1" applyFont="1" applyFill="1" applyBorder="1"/>
    <xf numFmtId="37" fontId="32" fillId="0" borderId="80" xfId="0" applyNumberFormat="1" applyFont="1" applyBorder="1"/>
    <xf numFmtId="170" fontId="60" fillId="0" borderId="80" xfId="76" applyNumberFormat="1" applyFont="1" applyBorder="1"/>
    <xf numFmtId="171" fontId="60" fillId="0" borderId="80" xfId="76" applyNumberFormat="1" applyFont="1" applyFill="1" applyBorder="1"/>
    <xf numFmtId="39" fontId="44" fillId="0" borderId="92" xfId="0" applyNumberFormat="1" applyFont="1" applyBorder="1"/>
    <xf numFmtId="174" fontId="32" fillId="0" borderId="80" xfId="75" applyNumberFormat="1" applyFont="1" applyBorder="1"/>
    <xf numFmtId="39" fontId="44" fillId="0" borderId="94" xfId="0" applyNumberFormat="1" applyFont="1" applyBorder="1"/>
    <xf numFmtId="37" fontId="44" fillId="0" borderId="90" xfId="0" applyNumberFormat="1" applyFont="1" applyBorder="1"/>
    <xf numFmtId="0" fontId="41" fillId="50" borderId="77" xfId="0" applyFont="1" applyFill="1" applyBorder="1"/>
    <xf numFmtId="0" fontId="41" fillId="0" borderId="77" xfId="0" applyFont="1" applyBorder="1"/>
    <xf numFmtId="0" fontId="41" fillId="0" borderId="78" xfId="0" applyFont="1" applyBorder="1"/>
    <xf numFmtId="0" fontId="41" fillId="0" borderId="79" xfId="0" applyFont="1" applyBorder="1"/>
    <xf numFmtId="0" fontId="41" fillId="0" borderId="80" xfId="0" applyFont="1" applyBorder="1"/>
    <xf numFmtId="0" fontId="41" fillId="50" borderId="80" xfId="0" applyFont="1" applyFill="1" applyBorder="1"/>
    <xf numFmtId="170" fontId="60" fillId="0" borderId="80" xfId="0" applyNumberFormat="1" applyFont="1" applyBorder="1"/>
    <xf numFmtId="37" fontId="44" fillId="0" borderId="97" xfId="0" applyNumberFormat="1" applyFont="1" applyBorder="1"/>
    <xf numFmtId="37" fontId="44" fillId="0" borderId="98" xfId="0" applyNumberFormat="1" applyFont="1" applyBorder="1"/>
    <xf numFmtId="44" fontId="41" fillId="0" borderId="83" xfId="0" applyNumberFormat="1" applyFont="1" applyBorder="1"/>
    <xf numFmtId="0" fontId="41" fillId="54" borderId="101" xfId="0" applyFont="1" applyFill="1" applyBorder="1"/>
    <xf numFmtId="0" fontId="32" fillId="48" borderId="102" xfId="0" applyFont="1" applyFill="1" applyBorder="1"/>
    <xf numFmtId="0" fontId="32" fillId="55" borderId="103" xfId="0" applyFont="1" applyFill="1" applyBorder="1"/>
    <xf numFmtId="44" fontId="41" fillId="62" borderId="0" xfId="75" applyFont="1" applyFill="1" applyBorder="1"/>
    <xf numFmtId="44" fontId="32" fillId="63" borderId="0" xfId="75" applyFont="1" applyFill="1" applyBorder="1"/>
    <xf numFmtId="44" fontId="32" fillId="61" borderId="0" xfId="75" applyFont="1" applyFill="1" applyBorder="1"/>
    <xf numFmtId="44" fontId="32" fillId="0" borderId="73" xfId="75" applyFont="1" applyBorder="1"/>
    <xf numFmtId="44" fontId="44" fillId="62" borderId="75" xfId="75" applyFont="1" applyFill="1" applyBorder="1" applyAlignment="1">
      <alignment horizontal="left"/>
    </xf>
    <xf numFmtId="44" fontId="49" fillId="63" borderId="75" xfId="75" applyFont="1" applyFill="1" applyBorder="1"/>
    <xf numFmtId="44" fontId="49" fillId="61" borderId="75" xfId="75" applyFont="1" applyFill="1" applyBorder="1"/>
    <xf numFmtId="44" fontId="49" fillId="49" borderId="45" xfId="75" applyFont="1" applyFill="1" applyBorder="1"/>
    <xf numFmtId="0" fontId="52" fillId="0" borderId="72" xfId="0" applyFont="1" applyBorder="1" applyAlignment="1">
      <alignment horizontal="center"/>
    </xf>
    <xf numFmtId="0" fontId="32" fillId="0" borderId="0" xfId="0" applyFont="1" applyAlignment="1">
      <alignment vertical="top" wrapText="1"/>
    </xf>
    <xf numFmtId="0" fontId="32" fillId="0" borderId="0" xfId="0" applyFont="1" applyAlignment="1">
      <alignment vertical="top"/>
    </xf>
    <xf numFmtId="0" fontId="49" fillId="0" borderId="47" xfId="0" applyFont="1" applyBorder="1" applyAlignment="1">
      <alignment horizontal="center"/>
    </xf>
    <xf numFmtId="0" fontId="49" fillId="0" borderId="58" xfId="0" applyFont="1" applyBorder="1" applyAlignment="1">
      <alignment horizontal="center"/>
    </xf>
    <xf numFmtId="0" fontId="49" fillId="0" borderId="55" xfId="0" applyFont="1" applyBorder="1" applyAlignment="1">
      <alignment horizontal="center"/>
    </xf>
    <xf numFmtId="0" fontId="32" fillId="0" borderId="84" xfId="0" applyFont="1" applyBorder="1" applyAlignment="1">
      <alignment horizontal="center"/>
    </xf>
    <xf numFmtId="0" fontId="32" fillId="0" borderId="85" xfId="0" applyFont="1" applyBorder="1" applyAlignment="1">
      <alignment horizontal="center"/>
    </xf>
    <xf numFmtId="0" fontId="32" fillId="0" borderId="86" xfId="0" applyFont="1" applyBorder="1" applyAlignment="1">
      <alignment horizontal="center"/>
    </xf>
    <xf numFmtId="0" fontId="32" fillId="0" borderId="47" xfId="0" applyFont="1" applyBorder="1" applyAlignment="1">
      <alignment horizontal="center"/>
    </xf>
    <xf numFmtId="0" fontId="32" fillId="0" borderId="55" xfId="0" applyFont="1" applyBorder="1" applyAlignment="1">
      <alignment horizontal="center"/>
    </xf>
    <xf numFmtId="10" fontId="49" fillId="60" borderId="87" xfId="76" applyNumberFormat="1" applyFont="1" applyFill="1" applyBorder="1" applyAlignment="1">
      <alignment horizontal="center"/>
    </xf>
    <xf numFmtId="10" fontId="49" fillId="60" borderId="77" xfId="76" applyNumberFormat="1" applyFont="1" applyFill="1" applyBorder="1" applyAlignment="1">
      <alignment horizontal="center"/>
    </xf>
    <xf numFmtId="10" fontId="49" fillId="60" borderId="88" xfId="76" applyNumberFormat="1" applyFont="1" applyFill="1" applyBorder="1" applyAlignment="1">
      <alignment horizontal="center"/>
    </xf>
    <xf numFmtId="10" fontId="49" fillId="60" borderId="78" xfId="76" applyNumberFormat="1" applyFont="1" applyFill="1" applyBorder="1" applyAlignment="1">
      <alignment horizontal="center"/>
    </xf>
    <xf numFmtId="0" fontId="32" fillId="48" borderId="0" xfId="0" applyFont="1" applyFill="1" applyAlignment="1">
      <alignment horizontal="center"/>
    </xf>
    <xf numFmtId="0" fontId="44" fillId="43" borderId="34" xfId="77" applyFont="1" applyFill="1" applyBorder="1" applyAlignment="1">
      <alignment horizontal="center"/>
    </xf>
    <xf numFmtId="0" fontId="44" fillId="43" borderId="30" xfId="77" applyFont="1" applyFill="1" applyBorder="1" applyAlignment="1">
      <alignment horizontal="center"/>
    </xf>
    <xf numFmtId="0" fontId="44" fillId="43" borderId="31" xfId="77" applyFont="1" applyFill="1" applyBorder="1" applyAlignment="1">
      <alignment horizontal="center"/>
    </xf>
    <xf numFmtId="0" fontId="32" fillId="0" borderId="68" xfId="0" applyFont="1" applyBorder="1" applyAlignment="1">
      <alignment horizontal="center"/>
    </xf>
    <xf numFmtId="0" fontId="32" fillId="0" borderId="69" xfId="0" applyFont="1" applyBorder="1" applyAlignment="1">
      <alignment horizontal="center"/>
    </xf>
    <xf numFmtId="0" fontId="32" fillId="0" borderId="70" xfId="0" applyFont="1" applyBorder="1" applyAlignment="1">
      <alignment horizontal="center"/>
    </xf>
    <xf numFmtId="0" fontId="49" fillId="0" borderId="47" xfId="0" applyFont="1" applyBorder="1" applyAlignment="1">
      <alignment horizontal="center"/>
    </xf>
    <xf numFmtId="0" fontId="49" fillId="0" borderId="58" xfId="0" applyFont="1" applyBorder="1" applyAlignment="1">
      <alignment horizontal="center"/>
    </xf>
    <xf numFmtId="0" fontId="49" fillId="0" borderId="55" xfId="0" applyFont="1" applyBorder="1" applyAlignment="1">
      <alignment horizontal="center"/>
    </xf>
    <xf numFmtId="0" fontId="49" fillId="54" borderId="47" xfId="0" applyFont="1" applyFill="1" applyBorder="1" applyAlignment="1">
      <alignment horizontal="center"/>
    </xf>
    <xf numFmtId="0" fontId="49" fillId="54" borderId="55" xfId="0" applyFont="1" applyFill="1" applyBorder="1" applyAlignment="1">
      <alignment horizontal="center"/>
    </xf>
    <xf numFmtId="0" fontId="49" fillId="55" borderId="47" xfId="0" applyFont="1" applyFill="1" applyBorder="1" applyAlignment="1">
      <alignment horizontal="center"/>
    </xf>
    <xf numFmtId="0" fontId="49" fillId="55" borderId="55" xfId="0" applyFont="1" applyFill="1" applyBorder="1" applyAlignment="1">
      <alignment horizontal="center"/>
    </xf>
    <xf numFmtId="0" fontId="52" fillId="0" borderId="72" xfId="0" applyFont="1" applyBorder="1" applyAlignment="1">
      <alignment horizontal="center"/>
    </xf>
  </cellXfs>
  <cellStyles count="8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blp_column_header" xfId="26" xr:uid="{00000000-0005-0000-0000-000019000000}"/>
    <cellStyle name="blp_title_header_row_left" xfId="51" xr:uid="{00000000-0005-0000-0000-00001A000000}"/>
    <cellStyle name="Calculation" xfId="27" builtinId="22" customBuiltin="1"/>
    <cellStyle name="Check Cell" xfId="28" builtinId="23" customBuiltin="1"/>
    <cellStyle name="Comma" xfId="74" builtinId="3"/>
    <cellStyle name="Comma 2" xfId="82" xr:uid="{8B3FB9EE-22C6-0044-BAAC-312036317FAA}"/>
    <cellStyle name="Currency" xfId="75" builtinId="4"/>
    <cellStyle name="Explanatory Text" xfId="29" builtinId="53" customBuiltin="1"/>
    <cellStyle name="fa_column_header_bottom" xfId="30" xr:uid="{00000000-0005-0000-0000-00001E000000}"/>
    <cellStyle name="fa_column_header_bottom 2" xfId="70" xr:uid="{6AE3FF9B-166E-4806-A9DB-EAB451BF987B}"/>
    <cellStyle name="fa_column_header_bottom_left" xfId="52" xr:uid="{00000000-0005-0000-0000-00001F000000}"/>
    <cellStyle name="fa_column_header_bottom_left 2" xfId="69" xr:uid="{16938957-18AD-4B9F-9B54-A4788574D948}"/>
    <cellStyle name="fa_column_header_empty" xfId="31" xr:uid="{00000000-0005-0000-0000-000020000000}"/>
    <cellStyle name="fa_column_header_top" xfId="32" xr:uid="{00000000-0005-0000-0000-000021000000}"/>
    <cellStyle name="fa_column_header_top 2" xfId="68" xr:uid="{85D42DD2-AB1E-4252-9016-E932BCD047D1}"/>
    <cellStyle name="fa_column_header_top_left" xfId="33" xr:uid="{00000000-0005-0000-0000-000022000000}"/>
    <cellStyle name="fa_column_header_top_left 2" xfId="67" xr:uid="{D4415123-279B-4EFB-A92F-3878C853CEA6}"/>
    <cellStyle name="fa_data_bold_0_grouped" xfId="59" xr:uid="{00000000-0005-0000-0000-000023000000}"/>
    <cellStyle name="fa_data_bold_1_grouped" xfId="60" xr:uid="{00000000-0005-0000-0000-000024000000}"/>
    <cellStyle name="fa_data_bold_2_grouped" xfId="61" xr:uid="{00000000-0005-0000-0000-000025000000}"/>
    <cellStyle name="fa_data_current_bold_0_grouped" xfId="62" xr:uid="{00000000-0005-0000-0000-000026000000}"/>
    <cellStyle name="fa_data_current_bold_1_grouped" xfId="63" xr:uid="{00000000-0005-0000-0000-000027000000}"/>
    <cellStyle name="fa_data_current_bold_2_grouped" xfId="64" xr:uid="{00000000-0005-0000-0000-000028000000}"/>
    <cellStyle name="fa_data_current_italic_1_grouped" xfId="66" xr:uid="{00000000-0005-0000-0000-000029000000}"/>
    <cellStyle name="fa_data_current_standard_0_grouped" xfId="56" xr:uid="{00000000-0005-0000-0000-00002A000000}"/>
    <cellStyle name="fa_data_current_standard_1_grouped" xfId="57" xr:uid="{00000000-0005-0000-0000-00002B000000}"/>
    <cellStyle name="fa_data_current_standard_2_grouped" xfId="58" xr:uid="{00000000-0005-0000-0000-00002C000000}"/>
    <cellStyle name="fa_data_italic_1_grouped" xfId="65" xr:uid="{00000000-0005-0000-0000-00002D000000}"/>
    <cellStyle name="fa_data_standard_0_grouped" xfId="53" xr:uid="{00000000-0005-0000-0000-00002E000000}"/>
    <cellStyle name="fa_data_standard_1_grouped" xfId="54" xr:uid="{00000000-0005-0000-0000-00002F000000}"/>
    <cellStyle name="fa_data_standard_2_grouped" xfId="55" xr:uid="{00000000-0005-0000-0000-000030000000}"/>
    <cellStyle name="fa_footer_italic" xfId="34" xr:uid="{00000000-0005-0000-0000-000031000000}"/>
    <cellStyle name="fa_row_header_bold" xfId="35" xr:uid="{00000000-0005-0000-0000-000032000000}"/>
    <cellStyle name="fa_row_header_bold 2" xfId="72" xr:uid="{CDB97705-DF1A-4997-B03E-5D5E2CCB6E46}"/>
    <cellStyle name="fa_row_header_italic" xfId="36" xr:uid="{00000000-0005-0000-0000-000033000000}"/>
    <cellStyle name="fa_row_header_italic 2" xfId="71" xr:uid="{92EDA5E4-2220-47E8-B01D-A289B104D721}"/>
    <cellStyle name="fa_row_header_standard" xfId="37" xr:uid="{00000000-0005-0000-0000-000034000000}"/>
    <cellStyle name="fa_row_header_standard 2" xfId="73" xr:uid="{569DB2B2-EFA3-4D42-9514-7EA5607ACD01}"/>
    <cellStyle name="Good" xfId="38" builtinId="26" customBuiltin="1"/>
    <cellStyle name="Heading 1" xfId="39" builtinId="16" customBuiltin="1"/>
    <cellStyle name="Heading 2" xfId="40" builtinId="17" customBuiltin="1"/>
    <cellStyle name="Heading 3" xfId="41" builtinId="18" customBuiltin="1"/>
    <cellStyle name="Heading 4" xfId="42" builtinId="19" customBuiltin="1"/>
    <cellStyle name="Input" xfId="43" builtinId="20" customBuiltin="1"/>
    <cellStyle name="Linked Cell" xfId="44" builtinId="24" customBuiltin="1"/>
    <cellStyle name="Neutral" xfId="45" builtinId="28" customBuiltin="1"/>
    <cellStyle name="Normal" xfId="0" builtinId="0"/>
    <cellStyle name="Normal 2" xfId="77" xr:uid="{44D543D5-EAD3-B144-9E0B-B5582E7CBC4A}"/>
    <cellStyle name="Normal 3" xfId="79" xr:uid="{30D25213-BCA8-4141-B1D4-610919F408A0}"/>
    <cellStyle name="Normal 3 2" xfId="78" xr:uid="{4BD1978B-3319-764A-8165-232683F85BCD}"/>
    <cellStyle name="Note" xfId="46" builtinId="10" customBuiltin="1"/>
    <cellStyle name="Note 3" xfId="80" xr:uid="{C74E27E6-949F-5D49-8C14-C79573FC87F0}"/>
    <cellStyle name="Output" xfId="47" builtinId="21" customBuiltin="1"/>
    <cellStyle name="Percent" xfId="76" builtinId="5"/>
    <cellStyle name="Percent 2" xfId="81" xr:uid="{8F95CEE8-5E1C-4D4D-83F3-D86BB9CBA9EE}"/>
    <cellStyle name="Percent 3" xfId="83" xr:uid="{5610FAC4-4996-5441-ACA5-7865C3C5AA7E}"/>
    <cellStyle name="Title" xfId="48" builtinId="15" customBuiltin="1"/>
    <cellStyle name="Total" xfId="49" builtinId="25" customBuiltin="1"/>
    <cellStyle name="Warning Text" xfId="50" builtinId="11" customBuiltin="1"/>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microsoft.com/office/2017/06/relationships/rdSupportingPropertyBag" Target="richData/rdsupportingpropertybag.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microsoft.com/office/2017/06/relationships/rdSupportingPropertyBagStructure" Target="richData/rdsupportingpropertybag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ichStyles" Target="richData/rich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microsoft.com/office/2017/06/relationships/rdRichValueStructure" Target="richData/rdrichvaluestructure.xml"/><Relationship Id="rId35" Type="http://schemas.openxmlformats.org/officeDocument/2006/relationships/calcChain" Target="calcChain.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twoCellAnchor>
    <xdr:from>
      <xdr:col>8</xdr:col>
      <xdr:colOff>12700</xdr:colOff>
      <xdr:row>185</xdr:row>
      <xdr:rowOff>38100</xdr:rowOff>
    </xdr:from>
    <xdr:to>
      <xdr:col>15</xdr:col>
      <xdr:colOff>812800</xdr:colOff>
      <xdr:row>196</xdr:row>
      <xdr:rowOff>190500</xdr:rowOff>
    </xdr:to>
    <xdr:sp macro="" textlink="">
      <xdr:nvSpPr>
        <xdr:cNvPr id="22" name="TextBox 21">
          <a:extLst>
            <a:ext uri="{FF2B5EF4-FFF2-40B4-BE49-F238E27FC236}">
              <a16:creationId xmlns:a16="http://schemas.microsoft.com/office/drawing/2014/main" id="{529740AF-230C-B244-9C3D-9C317924DE0F}"/>
            </a:ext>
          </a:extLst>
        </xdr:cNvPr>
        <xdr:cNvSpPr txBox="1"/>
      </xdr:nvSpPr>
      <xdr:spPr>
        <a:xfrm>
          <a:off x="11620500" y="43116500"/>
          <a:ext cx="7734300" cy="2565400"/>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latin typeface="Garamond" panose="02020404030301010803" pitchFamily="18" charset="0"/>
            </a:rPr>
            <a:t>Warner Bros. Discovery is split into three main parts: Movie Studios (about $26bn), DTC with HBO and HBO Max (about $49bn including</a:t>
          </a:r>
          <a:r>
            <a:rPr lang="en-US" sz="1300" baseline="0">
              <a:latin typeface="Garamond" panose="02020404030301010803" pitchFamily="18" charset="0"/>
            </a:rPr>
            <a:t> IP</a:t>
          </a:r>
          <a:r>
            <a:rPr lang="en-US" sz="1300">
              <a:latin typeface="Garamond" panose="02020404030301010803" pitchFamily="18" charset="0"/>
            </a:rPr>
            <a:t>), and TV Networks (about $30bn). These numbers come from valuing each business separately based on how much cash it generates and how risky it is, and then converting those results into an equity value. An M&amp;A premium is included to reflect what a buyer would realistically pay to acquire these assets. The valuation also recognizes goodwill arising from expected synergies and the economic value of intangible assets, including intellectual property.</a:t>
          </a:r>
        </a:p>
        <a:p>
          <a:endParaRPr lang="en-US" sz="1300">
            <a:latin typeface="Garamond" panose="02020404030301010803" pitchFamily="18" charset="0"/>
          </a:endParaRPr>
        </a:p>
        <a:p>
          <a:r>
            <a:rPr lang="en-US" sz="1300">
              <a:latin typeface="Garamond" panose="02020404030301010803" pitchFamily="18" charset="0"/>
            </a:rPr>
            <a:t>When Movie Studios and DTC are added together, their total value is around $75–78bn, which is close to Netflix’s $82bn offer. In this deal, Netflix pays about $82bn to buy the Studios and HBO/HBO Max. The small difference is due to conservative assumptions in the analysis, especially around consumer demand, brand strength, and global growth potential (as well as IP,</a:t>
          </a:r>
          <a:r>
            <a:rPr lang="en-US" sz="1300" baseline="0">
              <a:latin typeface="Garamond" panose="02020404030301010803" pitchFamily="18" charset="0"/>
            </a:rPr>
            <a:t> which we do not account for NFLX buying under our scenario)</a:t>
          </a:r>
          <a:r>
            <a:rPr lang="en-US" sz="1300">
              <a:latin typeface="Garamond" panose="02020404030301010803" pitchFamily="18" charset="0"/>
            </a:rPr>
            <a:t>. Warner Bros. Discovery keeps the Networks business, worth about $30bn, so overall value is preserved and each buyer pays only for the assets it cares about most.</a:t>
          </a:r>
        </a:p>
      </xdr:txBody>
    </xdr:sp>
    <xdr:clientData/>
  </xdr:twoCellAnchor>
  <xdr:twoCellAnchor>
    <xdr:from>
      <xdr:col>6</xdr:col>
      <xdr:colOff>0</xdr:colOff>
      <xdr:row>206</xdr:row>
      <xdr:rowOff>38100</xdr:rowOff>
    </xdr:from>
    <xdr:to>
      <xdr:col>12</xdr:col>
      <xdr:colOff>0</xdr:colOff>
      <xdr:row>213</xdr:row>
      <xdr:rowOff>190500</xdr:rowOff>
    </xdr:to>
    <xdr:sp macro="" textlink="">
      <xdr:nvSpPr>
        <xdr:cNvPr id="23" name="TextBox 22">
          <a:extLst>
            <a:ext uri="{FF2B5EF4-FFF2-40B4-BE49-F238E27FC236}">
              <a16:creationId xmlns:a16="http://schemas.microsoft.com/office/drawing/2014/main" id="{DE78F635-82FA-43FB-90E3-42F8F4B6D714}"/>
            </a:ext>
          </a:extLst>
        </xdr:cNvPr>
        <xdr:cNvSpPr txBox="1"/>
      </xdr:nvSpPr>
      <xdr:spPr>
        <a:xfrm>
          <a:off x="8255000" y="47752000"/>
          <a:ext cx="7315200" cy="1663700"/>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latin typeface="Garamond" panose="02020404030301010803" pitchFamily="18" charset="0"/>
            </a:rPr>
            <a:t>This table presents the paayments over a 10-year content licensing agreement between Netflix and Paramount. The structure of the deal links annual license payments to Netflix’s revenue base, causing payments to increase over time in line with expected growth. Future payments are discounted to reflect the time value of money and investment risk.</a:t>
          </a:r>
        </a:p>
        <a:p>
          <a:endParaRPr lang="en-US" sz="1300">
            <a:latin typeface="Garamond" panose="02020404030301010803" pitchFamily="18" charset="0"/>
          </a:endParaRPr>
        </a:p>
        <a:p>
          <a:r>
            <a:rPr lang="en-US" sz="1300">
              <a:latin typeface="Garamond" panose="02020404030301010803" pitchFamily="18" charset="0"/>
            </a:rPr>
            <a:t>On a present-value basis, the total cost of the licensing agreement for Netflix is approximately $2.594 billion. This figure represents the economic value of the license today and reflects the consideration paid by Netflix to secure long-term access to Paramount’s premium content library.</a:t>
          </a:r>
        </a:p>
      </xdr:txBody>
    </xdr:sp>
    <xdr:clientData/>
  </xdr:twoCellAnchor>
  <xdr:twoCellAnchor>
    <xdr:from>
      <xdr:col>11</xdr:col>
      <xdr:colOff>550437</xdr:colOff>
      <xdr:row>60</xdr:row>
      <xdr:rowOff>142798</xdr:rowOff>
    </xdr:from>
    <xdr:to>
      <xdr:col>16</xdr:col>
      <xdr:colOff>319297</xdr:colOff>
      <xdr:row>65</xdr:row>
      <xdr:rowOff>110274</xdr:rowOff>
    </xdr:to>
    <xdr:sp macro="" textlink="">
      <xdr:nvSpPr>
        <xdr:cNvPr id="24" name="TextBox 23">
          <a:extLst>
            <a:ext uri="{FF2B5EF4-FFF2-40B4-BE49-F238E27FC236}">
              <a16:creationId xmlns:a16="http://schemas.microsoft.com/office/drawing/2014/main" id="{7E982D9F-4509-759B-3E27-BE5332AF4871}"/>
            </a:ext>
          </a:extLst>
        </xdr:cNvPr>
        <xdr:cNvSpPr txBox="1"/>
      </xdr:nvSpPr>
      <xdr:spPr>
        <a:xfrm>
          <a:off x="14043413" y="13552139"/>
          <a:ext cx="5660421" cy="1082598"/>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a:latin typeface="Garamond" panose="02020404030301010803" pitchFamily="18" charset="0"/>
            </a:rPr>
            <a:t>The models</a:t>
          </a:r>
          <a:r>
            <a:rPr lang="en-US" sz="1300" baseline="0">
              <a:latin typeface="Garamond" panose="02020404030301010803" pitchFamily="18" charset="0"/>
            </a:rPr>
            <a:t> below are the DCFs built from SOTP model using the (above) assumptions. If there is confusion on any of the numbers please refer to the corrresoponding sheet with the specific valuation or the overall SOTP model tab. Each model gives the Enterprise &amp; Equity value as well as the price per share for that segment's EV.</a:t>
          </a:r>
          <a:endParaRPr lang="en-US" sz="1300">
            <a:latin typeface="Garamond" panose="02020404030301010803" pitchFamily="18" charset="0"/>
          </a:endParaRPr>
        </a:p>
      </xdr:txBody>
    </xdr:sp>
    <xdr:clientData/>
  </xdr:twoCellAnchor>
  <xdr:twoCellAnchor>
    <xdr:from>
      <xdr:col>15</xdr:col>
      <xdr:colOff>322317</xdr:colOff>
      <xdr:row>8</xdr:row>
      <xdr:rowOff>225618</xdr:rowOff>
    </xdr:from>
    <xdr:to>
      <xdr:col>25</xdr:col>
      <xdr:colOff>720251</xdr:colOff>
      <xdr:row>42</xdr:row>
      <xdr:rowOff>12291</xdr:rowOff>
    </xdr:to>
    <xdr:sp macro="" textlink="">
      <xdr:nvSpPr>
        <xdr:cNvPr id="26" name="TextBox 25">
          <a:extLst>
            <a:ext uri="{FF2B5EF4-FFF2-40B4-BE49-F238E27FC236}">
              <a16:creationId xmlns:a16="http://schemas.microsoft.com/office/drawing/2014/main" id="{52D1190D-7B55-C750-3D30-5953CFF20162}"/>
            </a:ext>
          </a:extLst>
        </xdr:cNvPr>
        <xdr:cNvSpPr txBox="1"/>
      </xdr:nvSpPr>
      <xdr:spPr>
        <a:xfrm>
          <a:off x="18929865" y="1995424"/>
          <a:ext cx="7895031" cy="7320641"/>
        </a:xfrm>
        <a:prstGeom prst="rect">
          <a:avLst/>
        </a:prstGeom>
        <a:solidFill>
          <a:schemeClr val="lt1"/>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t>The analysis frames the transaction as a contested, real-time acquisition where regulatory constraints, political scrutiny, and bidder-specific strategies make a full takeover of Warner Bros. Discovery unlikely. Rather than treating Netflix’s $27.75 offer and Paramount Sky’s $30.00 hostile bid as directly comparable, WBD is decomposed into its core economic segments and recombined into a structure that aligns assets with each bidder’s strategic priorities. Under this approach, Netflix acquires the Movie Studios business, Paramount Sky takes control of HBO and HBO Max including the IP library, and WBD retains its legacy Networks assets. This structure mitigates antitrust risk while allowing each party to extract value from the assets most relevant to its business model.</a:t>
          </a:r>
        </a:p>
        <a:p>
          <a:pPr algn="l"/>
          <a:r>
            <a:rPr lang="en-US" sz="1400"/>
            <a:t>A bottom-up Sum-of-the-Parts valuation was built using segment-level DCFs for Studios, Networks, and Direct-to-Consumer, applying a consistent 10.57% WACC and a 2.0% terminal growth rate. On a standalone basis, enterprise values are estimated at $31.9bn for Studios, $35.6bn for Networks, and $29.9bn for DTC, translating into equity values of $21.7bn, $25.4bn, and $19.7bn respectively. A uniform 20% M&amp;A premium was then applied, resulting in implied acquisition values of $26.0bn for Studios, $30.5bn for Networks, and $23.7bn for DTC.</a:t>
          </a:r>
        </a:p>
        <a:p>
          <a:pPr algn="l"/>
          <a:r>
            <a:rPr lang="en-US" sz="1400"/>
            <a:t>Beyond the operating cash flows, the embedded intellectual property within HBO and HBO Max was explicitly valued as a separate asset. Once this IP is incorporated, the DTC segment increases materially to $49.4bn, bringing total implied equity value (including IP and acquisition premium) to approximately $105.9bn. This reconciles the intrinsic valuation with Paramount Sky’s $30 per share hostile bid, highlighting that a large portion of strategic value resides in premium content ownership rather than in traditional operating performance alone.</a:t>
          </a:r>
        </a:p>
        <a:p>
          <a:pPr algn="l"/>
          <a:r>
            <a:rPr lang="en-US" sz="1400"/>
            <a:t>To reflect Netflix’s strategic preference for content access over IP ownership, a 10-year licensing framework was modeled instead of a direct purchase of HBO assets. Using FY24 Netflix revenues of $39.0bn, assuming a 7% content contribution, a 3% annual accelerator, and a 7% discount rate, annual licensing payments are estimated to rise from roughly $327M to $427M, with a total present value of $2.59bn. Relative to the $26.0bn Studios acquisition, this licensing cost is modest and allows Netflix to secure long-term access to premium content while preserving balance sheet flexibility.</a:t>
          </a:r>
        </a:p>
        <a:p>
          <a:pPr algn="l"/>
          <a:r>
            <a:rPr lang="en-US" sz="1400"/>
            <a:t>The overall framework combines segment-level DCF valuation, explicit IP monetization, acquisition premiums, and a structured licensing agreement to reflect realistic deal mechanics in a competitive M&amp;A environment. The resulting structure demonstrates how economic value can be allocated across bidders without forcing a zero-sum outcome, while remaining consistent with observed market bids. The analysis shows that strategic asset separation, rather than a full-company acquisition, offers a feasible path to execution by aligning regulatory feasibility with each bidder’s core objectives and financial constraints.</a:t>
          </a:r>
        </a:p>
        <a:p>
          <a:pPr algn="l"/>
          <a:endParaRPr lang="en-US" sz="1300">
            <a:latin typeface="Garamond" panose="02020404030301010803" pitchFamily="18" charset="0"/>
          </a:endParaRPr>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tevens0-my.sharepoint.com/Users/noahczuj/Downloads/FIN%20530/SOTP%20Template.xlsx" TargetMode="External"/><Relationship Id="rId1" Type="http://schemas.openxmlformats.org/officeDocument/2006/relationships/externalLinkPath" Target="https://stevens0-my.sharepoint.com/Users/noahczuj/Downloads/FIN%20530/SOTP%20Template.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stevens0-my.sharepoint.com/Users/noahczuj/Downloads/FIN%20530/SOTP%20Template%20(2).xlsx" TargetMode="External"/><Relationship Id="rId1" Type="http://schemas.openxmlformats.org/officeDocument/2006/relationships/externalLinkPath" Target="https://stevens0-my.sharepoint.com/Users/noahczuj/Downloads/FIN%20530/SOTP%20Template%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PWR"/>
      <sheetName val="MAXN"/>
      <sheetName val="SPWR_Comps"/>
      <sheetName val="SPWR_WACC"/>
      <sheetName val="MAXN_Comps"/>
      <sheetName val="MAXN_WACC"/>
      <sheetName val="SPWR_Adj"/>
      <sheetName val="MAXN_Adj"/>
      <sheetName val="SPWR_DCF"/>
      <sheetName val="MAXN_DCF"/>
      <sheetName val="SOTP_Val"/>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Operating Model"/>
      <sheetName val="DCF&gt;&gt;&gt;"/>
      <sheetName val="Consolidated"/>
      <sheetName val="North America"/>
      <sheetName val="International"/>
      <sheetName val="AWS"/>
      <sheetName val="WACC"/>
      <sheetName val="Shares"/>
      <sheetName val="FS&gt;&gt;&gt;"/>
      <sheetName val="Segments"/>
      <sheetName val="IS"/>
      <sheetName val="CFS"/>
      <sheetName val="Cap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6">
          <cell r="C6">
            <v>63708</v>
          </cell>
          <cell r="D6">
            <v>79785</v>
          </cell>
          <cell r="E6">
            <v>106110</v>
          </cell>
          <cell r="F6">
            <v>141366</v>
          </cell>
          <cell r="G6">
            <v>170773</v>
          </cell>
          <cell r="H6">
            <v>236282</v>
          </cell>
        </row>
        <row r="8">
          <cell r="C8">
            <v>35418</v>
          </cell>
          <cell r="D8">
            <v>43983</v>
          </cell>
          <cell r="E8">
            <v>54297</v>
          </cell>
          <cell r="F8">
            <v>65866</v>
          </cell>
          <cell r="G8">
            <v>74723</v>
          </cell>
          <cell r="H8">
            <v>104412</v>
          </cell>
        </row>
        <row r="9">
          <cell r="C9">
            <v>7880</v>
          </cell>
          <cell r="D9">
            <v>12219</v>
          </cell>
          <cell r="E9">
            <v>17459</v>
          </cell>
          <cell r="F9">
            <v>25655</v>
          </cell>
          <cell r="G9">
            <v>35026</v>
          </cell>
          <cell r="H9">
            <v>45370</v>
          </cell>
        </row>
        <row r="12">
          <cell r="C12">
            <v>2751</v>
          </cell>
          <cell r="D12">
            <v>4099</v>
          </cell>
          <cell r="E12">
            <v>2837</v>
          </cell>
          <cell r="F12">
            <v>7267</v>
          </cell>
          <cell r="G12">
            <v>7033</v>
          </cell>
          <cell r="H12">
            <v>8651</v>
          </cell>
        </row>
        <row r="14">
          <cell r="C14">
            <v>-91</v>
          </cell>
          <cell r="D14">
            <v>-477</v>
          </cell>
          <cell r="E14">
            <v>-3062</v>
          </cell>
          <cell r="F14">
            <v>-2142</v>
          </cell>
          <cell r="G14">
            <v>-1693</v>
          </cell>
          <cell r="H14">
            <v>717</v>
          </cell>
        </row>
        <row r="15">
          <cell r="C15">
            <v>1863</v>
          </cell>
          <cell r="D15">
            <v>3706</v>
          </cell>
          <cell r="E15">
            <v>4331</v>
          </cell>
          <cell r="F15">
            <v>7296</v>
          </cell>
          <cell r="G15">
            <v>9201</v>
          </cell>
          <cell r="H15">
            <v>13531</v>
          </cell>
        </row>
      </sheetData>
      <sheetData sheetId="11" refreshError="1">
        <row r="30">
          <cell r="C30">
            <v>1568</v>
          </cell>
          <cell r="D30">
            <v>3892</v>
          </cell>
          <cell r="E30">
            <v>3806</v>
          </cell>
          <cell r="F30">
            <v>11261</v>
          </cell>
          <cell r="G30">
            <v>13976</v>
          </cell>
          <cell r="H30">
            <v>24178</v>
          </cell>
        </row>
        <row r="31">
          <cell r="C31">
            <v>950</v>
          </cell>
          <cell r="D31">
            <v>1425</v>
          </cell>
          <cell r="E31">
            <v>769</v>
          </cell>
          <cell r="F31">
            <v>1197</v>
          </cell>
          <cell r="G31">
            <v>2374</v>
          </cell>
          <cell r="H31">
            <v>2863</v>
          </cell>
        </row>
      </sheetData>
      <sheetData sheetId="12" refreshError="1">
        <row r="12">
          <cell r="C12">
            <v>5646</v>
          </cell>
          <cell r="D12">
            <v>7482</v>
          </cell>
          <cell r="E12">
            <v>10933</v>
          </cell>
          <cell r="F12">
            <v>15341</v>
          </cell>
          <cell r="G12">
            <v>21789</v>
          </cell>
          <cell r="H12">
            <v>25251</v>
          </cell>
        </row>
        <row r="19">
          <cell r="C19">
            <v>2557</v>
          </cell>
          <cell r="D19">
            <v>3916</v>
          </cell>
          <cell r="E19">
            <v>-173</v>
          </cell>
          <cell r="F19">
            <v>-1043</v>
          </cell>
          <cell r="G19">
            <v>-2438</v>
          </cell>
          <cell r="H19">
            <v>13481</v>
          </cell>
        </row>
        <row r="27">
          <cell r="C27">
            <v>-4589</v>
          </cell>
          <cell r="D27">
            <v>-6737</v>
          </cell>
          <cell r="E27">
            <v>-11955</v>
          </cell>
          <cell r="F27">
            <v>-13427</v>
          </cell>
          <cell r="G27">
            <v>-16861</v>
          </cell>
          <cell r="H27">
            <v>-40140</v>
          </cell>
        </row>
      </sheetData>
      <sheetData sheetId="13" refreshError="1"/>
    </sheetDataSet>
  </externalBook>
</externalLink>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
  <rv s="0">
    <v>https://www.bing.com/financeapi/forcetrigger?t=a1r32w&amp;q=XNAS%3aWBD&amp;form=skydnc</v>
    <v>Learn more on Bing</v>
  </rv>
  <rv s="1">
    <v>en-US</v>
    <v>a1r32w</v>
    <v>268435456</v>
    <v>1</v>
    <v>Powered by Refinitiv</v>
    <v>0</v>
    <v>WARNER BROS. DISCOVERY, INC. (XNAS:WBD)</v>
    <v>2</v>
    <v>3</v>
    <v>Finance</v>
    <v>4</v>
    <v>30</v>
    <v>7.52</v>
    <v>1.6515</v>
    <v>0.22</v>
    <v>-4.5490000000000001E-3</v>
    <v>7.7569999999999991E-3</v>
    <v>-0.13</v>
    <v>USD</v>
    <v>Warner Bros. Discovery, Inc. is a global media and entertainment company that creates and distributes a portfolio of branded content across television, film, streaming and gaming. The Company's segments include Streaming, Studios and Global Linear Networks. The streaming segment primarily consists of its premium pay-television and streaming services. The studios segment primarily consists of the production and release of feature films for initial exhibition in theaters, production and initial licensing of television programs to third parties and its networks/streaming services, distribution of its films and television programs to various third party and internal television and streaming services, distribution through the home entertainment market (physical and digital), related consumer products and themed experience licensing, and interactive gaming. The Global Linear Networks segment primarily consists of its domestic and international television networks.</v>
    <v>35000</v>
    <v>Nasdaq Stock Market</v>
    <v>XNAS</v>
    <v>XNAS</v>
    <v>230 PARK AVENUE SOUTH, NEW YORK, NY, 10003 US</v>
    <v>28.605</v>
    <v>Media &amp; Publishing</v>
    <v>Stock</v>
    <v>46045.912074108594</v>
    <v>0</v>
    <v>28.25</v>
    <v>70832643420</v>
    <v>WARNER BROS. DISCOVERY, INC.</v>
    <v>WARNER BROS. DISCOVERY, INC.</v>
    <v>28.26</v>
    <v>151.52809999999999</v>
    <v>28.36</v>
    <v>28.58</v>
    <v>28.45</v>
    <v>2478399000</v>
    <v>WBD</v>
    <v>WARNER BROS. DISCOVERY, INC. (XNAS:WBD)</v>
    <v>19187984</v>
    <v>36248189</v>
    <v>2008</v>
  </rv>
  <rv s="2">
    <v>1</v>
  </rv>
  <rv s="0">
    <v>https://www.bing.com/financeapi/forcetrigger?t=r6dwra&amp;q=US10Y&amp;form=skydnc</v>
    <v>Learn more on Bing</v>
  </rv>
  <rv s="3">
    <v>en-US</v>
    <v>r6dwra</v>
    <v>268435456</v>
    <v>1</v>
    <v>Powered by Refinitiv</v>
    <v>5</v>
    <v>US Treasury 10Y</v>
    <v>6</v>
    <v>7</v>
    <v>Finance</v>
    <v>8</v>
    <v>-7.9000000000000008E-3</v>
    <v>-1.8640000000000002E-3</v>
    <v>US</v>
    <v>USD</v>
    <v>Bond</v>
    <v>46045.920138888891</v>
    <v>3</v>
    <v>49628</v>
    <v>US Treasury 10Y</v>
    <v>4.2389999999999999</v>
    <v>4.2310999999999996</v>
    <v>US10Y</v>
    <v>US Treasury 10Y</v>
    <v>4.1355000000000003E-2</v>
    <v>4.1599999999999998E-2</v>
    <v>4.6174E-2</v>
    <v>4.2529999999999998E-2</v>
  </rv>
  <rv s="2">
    <v>4</v>
  </rv>
</rvData>
</file>

<file path=xl/richData/rdrichvaluestructure.xml><?xml version="1.0" encoding="utf-8"?>
<rvStructures xmlns="http://schemas.microsoft.com/office/spreadsheetml/2017/richdata" count="4">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Extended hours)"/>
    <k n="Change (%)"/>
    <k n="Change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s t="_linkedentitycore">
    <k n="%EntityCulture" t="s"/>
    <k n="%EntityId" t="s"/>
    <k n="%EntityServiceId"/>
    <k n="%IsRefreshable" t="b"/>
    <k n="%ProviderInfo" t="s"/>
    <k n="_Display" t="spb"/>
    <k n="_DisplayString" t="s"/>
    <k n="_Flags" t="spb"/>
    <k n="_Format" t="spb"/>
    <k n="_Icon" t="s"/>
    <k n="_SubLabel" t="spb"/>
    <k n="Change"/>
    <k n="Change (%)"/>
    <k n="Country/region" t="s"/>
    <k n="Currency" t="s"/>
    <k n="Instrument type" t="s"/>
    <k n="Last trade time"/>
    <k n="LearnMoreOnLink" t="r"/>
    <k n="Maturity"/>
    <k n="Name" t="s"/>
    <k n="Previous close"/>
    <k n="Price"/>
    <k n="Ticker symbol" t="s"/>
    <k n="UniqueName" t="s"/>
    <k n="Yield last month"/>
    <k n="Yield last week"/>
    <k n="Yield last year"/>
    <k n="Yield yesterday"/>
  </s>
</rvStructures>
</file>

<file path=xl/richData/rdsupportingpropertybag.xml><?xml version="1.0" encoding="utf-8"?>
<supportingPropertyBags xmlns="http://schemas.microsoft.com/office/spreadsheetml/2017/richdata2">
  <spbArrays count="2">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a count="28">
      <v t="s">%EntityServiceId</v>
      <v t="s">_Format</v>
      <v t="s">%IsRefreshable</v>
      <v t="s">%EntityCulture</v>
      <v t="s">%EntityId</v>
      <v t="s">_Icon</v>
      <v t="s">_Display</v>
      <v t="s">Name</v>
      <v t="s">Price</v>
      <v t="s">_SubLabel</v>
      <v t="s">Last trade time</v>
      <v t="s">Ticker symbol</v>
      <v t="s">Change</v>
      <v t="s">Change (%)</v>
      <v t="s">Currency</v>
      <v t="s">Previous close</v>
      <v t="s">Yield yesterday</v>
      <v t="s">Yield last week</v>
      <v t="s">Yield last month</v>
      <v t="s">Yield last year</v>
      <v t="s">Maturity</v>
      <v t="s">Country/region</v>
      <v t="s">Instrument type</v>
      <v t="s">_Flags</v>
      <v t="s">UniqueName</v>
      <v t="s">_DisplayString</v>
      <v t="s">LearnMoreOnLink</v>
      <v t="s">%ProviderInfo</v>
    </a>
  </spbArrays>
  <spbData count="9">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 s="0">
      <v>1</v>
      <v>Name</v>
      <v>LearnMoreOnLink</v>
    </spb>
    <spb s="5">
      <v>1</v>
      <v>1</v>
      <v>1</v>
    </spb>
    <spb s="6">
      <v>3</v>
      <v>1</v>
      <v>1</v>
      <v>10</v>
      <v>5</v>
      <v>1</v>
      <v>7</v>
      <v>5</v>
      <v>5</v>
      <v>5</v>
      <v>5</v>
      <v>9</v>
    </spb>
    <spb s="7">
      <v>GMT</v>
    </spb>
  </spbData>
</supportingPropertyBags>
</file>

<file path=xl/richData/rdsupportingpropertybagstructure.xml><?xml version="1.0" encoding="utf-8"?>
<spbStructures xmlns="http://schemas.microsoft.com/office/spreadsheetml/2017/richdata2" count="8">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
    <k n="UniqueName" t="spb"/>
    <k n="`%ProviderInfo" t="spb"/>
    <k n="LearnMoreOnLink" t="spb"/>
  </s>
  <s>
    <k n="Name" t="i"/>
    <k n="Price" t="i"/>
    <k n="Change" t="i"/>
    <k n="Maturity" t="i"/>
    <k n="Change (%)" t="i"/>
    <k n="Previous close" t="i"/>
    <k n="Last trade time" t="i"/>
    <k n="Yield last week" t="i"/>
    <k n="Yield last year" t="i"/>
    <k n="Yield yesterday" t="i"/>
    <k n="Yield last month" t="i"/>
    <k n="`%EntityServiceId"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x:dxf>
      <x:numFmt numFmtId="19" formatCode="m/d/yyyy"/>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7"/>
  </richStyles>
</richStyleShee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M71"/>
  <sheetViews>
    <sheetView topLeftCell="A54" workbookViewId="0">
      <selection activeCell="R15" sqref="R15"/>
    </sheetView>
  </sheetViews>
  <sheetFormatPr defaultColWidth="8.88671875" defaultRowHeight="17.399999999999999" x14ac:dyDescent="0.35"/>
  <cols>
    <col min="1" max="1" width="35.109375" style="2" customWidth="1"/>
    <col min="2" max="2" width="0" style="2" hidden="1" customWidth="1"/>
    <col min="3" max="12" width="11.88671875" style="2" customWidth="1"/>
    <col min="13" max="16384" width="8.88671875" style="2"/>
  </cols>
  <sheetData>
    <row r="1" spans="1:13" x14ac:dyDescent="0.35">
      <c r="A1" s="1"/>
      <c r="B1" s="1"/>
      <c r="C1" s="1"/>
      <c r="D1" s="1"/>
      <c r="E1" s="1"/>
      <c r="F1" s="1"/>
      <c r="G1" s="1"/>
      <c r="H1" s="1"/>
      <c r="I1" s="1"/>
      <c r="J1" s="1"/>
      <c r="K1" s="1"/>
      <c r="L1" s="1"/>
    </row>
    <row r="2" spans="1:13" x14ac:dyDescent="0.35">
      <c r="A2" s="3" t="s">
        <v>0</v>
      </c>
      <c r="B2" s="3"/>
      <c r="C2" s="3"/>
      <c r="D2" s="3"/>
      <c r="E2" s="3"/>
      <c r="F2" s="3"/>
      <c r="G2" s="3"/>
      <c r="H2" s="3"/>
      <c r="I2" s="3"/>
      <c r="J2" s="3"/>
      <c r="K2" s="3"/>
      <c r="L2" s="3"/>
    </row>
    <row r="3" spans="1:13" x14ac:dyDescent="0.35">
      <c r="A3" s="4"/>
      <c r="B3" s="4"/>
      <c r="C3" s="4"/>
      <c r="D3" s="4"/>
      <c r="E3" s="4"/>
      <c r="F3" s="4"/>
      <c r="G3" s="4"/>
      <c r="H3" s="4"/>
      <c r="I3" s="4"/>
      <c r="J3" s="4"/>
      <c r="K3" s="4"/>
      <c r="L3" s="4"/>
    </row>
    <row r="4" spans="1:13" x14ac:dyDescent="0.35">
      <c r="A4" s="27" t="s">
        <v>1</v>
      </c>
      <c r="B4" s="27"/>
      <c r="C4" s="28" t="s">
        <v>2</v>
      </c>
      <c r="D4" s="28" t="s">
        <v>3</v>
      </c>
      <c r="E4" s="28" t="s">
        <v>4</v>
      </c>
      <c r="F4" s="28" t="s">
        <v>5</v>
      </c>
      <c r="G4" s="28" t="s">
        <v>6</v>
      </c>
      <c r="H4" s="28" t="s">
        <v>7</v>
      </c>
      <c r="I4" s="28" t="s">
        <v>8</v>
      </c>
      <c r="J4" s="28" t="s">
        <v>9</v>
      </c>
      <c r="K4" s="28" t="s">
        <v>10</v>
      </c>
      <c r="L4" s="28" t="s">
        <v>11</v>
      </c>
    </row>
    <row r="5" spans="1:13" x14ac:dyDescent="0.35">
      <c r="A5" s="29" t="s">
        <v>12</v>
      </c>
      <c r="B5" s="29"/>
      <c r="C5" s="30" t="s">
        <v>13</v>
      </c>
      <c r="D5" s="30" t="s">
        <v>14</v>
      </c>
      <c r="E5" s="30" t="s">
        <v>15</v>
      </c>
      <c r="F5" s="30" t="s">
        <v>16</v>
      </c>
      <c r="G5" s="30" t="s">
        <v>17</v>
      </c>
      <c r="H5" s="30" t="s">
        <v>18</v>
      </c>
      <c r="I5" s="30" t="s">
        <v>19</v>
      </c>
      <c r="J5" s="30" t="s">
        <v>20</v>
      </c>
      <c r="K5" s="30" t="s">
        <v>21</v>
      </c>
      <c r="L5" s="30" t="s">
        <v>22</v>
      </c>
    </row>
    <row r="6" spans="1:13" x14ac:dyDescent="0.35">
      <c r="A6" s="31" t="s">
        <v>23</v>
      </c>
      <c r="B6" s="31" t="s">
        <v>24</v>
      </c>
      <c r="C6" s="15">
        <v>15794.341</v>
      </c>
      <c r="D6" s="15">
        <v>20156.447</v>
      </c>
      <c r="E6" s="15">
        <v>24996.056</v>
      </c>
      <c r="F6" s="15">
        <v>29697.844000000001</v>
      </c>
      <c r="G6" s="15">
        <v>31615.55</v>
      </c>
      <c r="H6" s="15">
        <v>33723.296999999999</v>
      </c>
      <c r="I6" s="15">
        <v>39000.966</v>
      </c>
      <c r="J6" s="16">
        <v>43378.786999999997</v>
      </c>
      <c r="K6" s="15">
        <v>45102.021739130403</v>
      </c>
      <c r="L6" s="15">
        <v>50935.3191489362</v>
      </c>
    </row>
    <row r="7" spans="1:13" x14ac:dyDescent="0.35">
      <c r="A7" s="31"/>
      <c r="B7" s="31"/>
      <c r="C7" s="15"/>
      <c r="D7" s="451">
        <f>(D6/C6)-1</f>
        <v>0.27618157667990073</v>
      </c>
      <c r="E7" s="451">
        <f t="shared" ref="E7:I7" si="0">(E6/D6)-1</f>
        <v>0.24010228588401517</v>
      </c>
      <c r="F7" s="451">
        <f t="shared" si="0"/>
        <v>0.18810119484449861</v>
      </c>
      <c r="G7" s="451">
        <f t="shared" si="0"/>
        <v>6.45739131769969E-2</v>
      </c>
      <c r="H7" s="451">
        <f t="shared" si="0"/>
        <v>6.6668047843545297E-2</v>
      </c>
      <c r="I7" s="451">
        <f t="shared" si="0"/>
        <v>0.15649919994477424</v>
      </c>
      <c r="J7" s="16"/>
      <c r="K7" s="15"/>
      <c r="L7" s="15"/>
      <c r="M7" s="202">
        <f>AVERAGE(D7:I7)</f>
        <v>0.16535436972895515</v>
      </c>
    </row>
    <row r="8" spans="1:13" x14ac:dyDescent="0.35">
      <c r="A8" s="32" t="s">
        <v>25</v>
      </c>
      <c r="B8" s="32" t="s">
        <v>26</v>
      </c>
      <c r="C8" s="13">
        <v>15794.341</v>
      </c>
      <c r="D8" s="13">
        <v>20156.447</v>
      </c>
      <c r="E8" s="13">
        <v>24996.056</v>
      </c>
      <c r="F8" s="13">
        <v>29697.844000000001</v>
      </c>
      <c r="G8" s="13">
        <v>31615.55</v>
      </c>
      <c r="H8" s="13">
        <v>33723.296999999999</v>
      </c>
      <c r="I8" s="13">
        <v>39000.966</v>
      </c>
      <c r="J8" s="14">
        <v>43378.786999999997</v>
      </c>
      <c r="K8" s="13"/>
      <c r="L8" s="13"/>
    </row>
    <row r="9" spans="1:13" x14ac:dyDescent="0.35">
      <c r="A9" s="32" t="s">
        <v>27</v>
      </c>
      <c r="B9" s="32" t="s">
        <v>28</v>
      </c>
      <c r="C9" s="13">
        <v>9967.5380000000005</v>
      </c>
      <c r="D9" s="13">
        <v>12440.213</v>
      </c>
      <c r="E9" s="13">
        <v>15276.319</v>
      </c>
      <c r="F9" s="13">
        <v>17332.683000000001</v>
      </c>
      <c r="G9" s="13">
        <v>19168.285</v>
      </c>
      <c r="H9" s="13">
        <v>19715.367999999999</v>
      </c>
      <c r="I9" s="13">
        <v>21038.464</v>
      </c>
      <c r="J9" s="14">
        <v>22520.072</v>
      </c>
      <c r="K9" s="13"/>
      <c r="L9" s="13"/>
    </row>
    <row r="10" spans="1:13" x14ac:dyDescent="0.35">
      <c r="A10" s="32" t="s">
        <v>29</v>
      </c>
      <c r="B10" s="32" t="s">
        <v>30</v>
      </c>
      <c r="C10" s="13">
        <v>9967.5380000000005</v>
      </c>
      <c r="D10" s="13">
        <v>12440.213</v>
      </c>
      <c r="E10" s="13">
        <v>15276.319</v>
      </c>
      <c r="F10" s="13">
        <v>17332.683000000001</v>
      </c>
      <c r="G10" s="13">
        <v>19168.285</v>
      </c>
      <c r="H10" s="13">
        <v>19715.367999999999</v>
      </c>
      <c r="I10" s="13">
        <v>21038.464</v>
      </c>
      <c r="J10" s="14">
        <v>22520.072</v>
      </c>
      <c r="K10" s="13"/>
      <c r="L10" s="13"/>
    </row>
    <row r="11" spans="1:13" x14ac:dyDescent="0.35">
      <c r="A11" s="31" t="s">
        <v>31</v>
      </c>
      <c r="B11" s="31" t="s">
        <v>32</v>
      </c>
      <c r="C11" s="15">
        <v>5826.8029999999999</v>
      </c>
      <c r="D11" s="15">
        <v>7716.2340000000004</v>
      </c>
      <c r="E11" s="15">
        <v>9719.7369999999992</v>
      </c>
      <c r="F11" s="15">
        <v>12365.161</v>
      </c>
      <c r="G11" s="15">
        <v>12447.264999999999</v>
      </c>
      <c r="H11" s="15">
        <v>14007.929</v>
      </c>
      <c r="I11" s="15">
        <v>17962.502</v>
      </c>
      <c r="J11" s="16">
        <v>20858.715</v>
      </c>
      <c r="K11" s="15">
        <v>21797.807106521701</v>
      </c>
      <c r="L11" s="15">
        <v>25820.131982978699</v>
      </c>
    </row>
    <row r="12" spans="1:13" x14ac:dyDescent="0.35">
      <c r="A12" s="32" t="s">
        <v>33</v>
      </c>
      <c r="B12" s="32" t="s">
        <v>34</v>
      </c>
      <c r="C12" s="13">
        <v>0</v>
      </c>
      <c r="D12" s="13">
        <v>0</v>
      </c>
      <c r="E12" s="13">
        <v>0</v>
      </c>
      <c r="F12" s="13">
        <v>0</v>
      </c>
      <c r="G12" s="13">
        <v>0</v>
      </c>
      <c r="H12" s="13">
        <v>0</v>
      </c>
      <c r="I12" s="13">
        <v>0</v>
      </c>
      <c r="J12" s="14">
        <v>0</v>
      </c>
      <c r="K12" s="13"/>
      <c r="L12" s="13"/>
    </row>
    <row r="13" spans="1:13" x14ac:dyDescent="0.35">
      <c r="A13" s="32" t="s">
        <v>35</v>
      </c>
      <c r="B13" s="32" t="s">
        <v>36</v>
      </c>
      <c r="C13" s="13">
        <v>4221.5770000000002</v>
      </c>
      <c r="D13" s="13">
        <v>5111.9799999999996</v>
      </c>
      <c r="E13" s="13">
        <v>5134.4480000000003</v>
      </c>
      <c r="F13" s="13">
        <v>6170.652</v>
      </c>
      <c r="G13" s="13">
        <v>6814.4340000000002</v>
      </c>
      <c r="H13" s="13">
        <v>7053.9260000000004</v>
      </c>
      <c r="I13" s="13">
        <v>7544.8879999999999</v>
      </c>
      <c r="J13" s="14">
        <v>8216.009</v>
      </c>
      <c r="K13" s="13"/>
      <c r="L13" s="13"/>
    </row>
    <row r="14" spans="1:13" x14ac:dyDescent="0.35">
      <c r="A14" s="32" t="s">
        <v>37</v>
      </c>
      <c r="B14" s="32" t="s">
        <v>38</v>
      </c>
      <c r="C14" s="13">
        <v>2999.7629999999999</v>
      </c>
      <c r="D14" s="13">
        <v>3566.8310000000001</v>
      </c>
      <c r="E14" s="13">
        <v>3304.848</v>
      </c>
      <c r="F14" s="13">
        <v>3896.7669999999998</v>
      </c>
      <c r="G14" s="13">
        <v>4103.393</v>
      </c>
      <c r="H14" s="13">
        <v>4378.1679999999997</v>
      </c>
      <c r="I14" s="13">
        <v>4619.5929999999998</v>
      </c>
      <c r="J14" s="14">
        <v>4938.4139999999998</v>
      </c>
      <c r="K14" s="13"/>
      <c r="L14" s="13"/>
    </row>
    <row r="15" spans="1:13" x14ac:dyDescent="0.35">
      <c r="A15" s="33" t="s">
        <v>39</v>
      </c>
      <c r="B15" s="33" t="s">
        <v>40</v>
      </c>
      <c r="C15" s="18">
        <v>2369.4690000000001</v>
      </c>
      <c r="D15" s="18">
        <v>2652.462</v>
      </c>
      <c r="E15" s="18">
        <v>2228.3620000000001</v>
      </c>
      <c r="F15" s="18">
        <v>2545.1460000000002</v>
      </c>
      <c r="G15" s="18">
        <v>2530.502</v>
      </c>
      <c r="H15" s="18">
        <v>2657.8829999999998</v>
      </c>
      <c r="I15" s="18">
        <v>2917.5540000000001</v>
      </c>
      <c r="J15" s="19">
        <v>3164.134</v>
      </c>
      <c r="K15" s="18"/>
      <c r="L15" s="18"/>
    </row>
    <row r="16" spans="1:13" x14ac:dyDescent="0.35">
      <c r="A16" s="33" t="s">
        <v>41</v>
      </c>
      <c r="B16" s="33" t="s">
        <v>42</v>
      </c>
      <c r="C16" s="18">
        <v>630.29399999999998</v>
      </c>
      <c r="D16" s="18">
        <v>914.36900000000003</v>
      </c>
      <c r="E16" s="18">
        <v>1076.4860000000001</v>
      </c>
      <c r="F16" s="18">
        <v>1351.6210000000001</v>
      </c>
      <c r="G16" s="18">
        <v>1572.8910000000001</v>
      </c>
      <c r="H16" s="18">
        <v>1720.2850000000001</v>
      </c>
      <c r="I16" s="18">
        <v>1702.039</v>
      </c>
      <c r="J16" s="19">
        <v>1774.28</v>
      </c>
      <c r="K16" s="18"/>
      <c r="L16" s="18"/>
    </row>
    <row r="17" spans="1:12" x14ac:dyDescent="0.35">
      <c r="A17" s="32" t="s">
        <v>43</v>
      </c>
      <c r="B17" s="32" t="s">
        <v>44</v>
      </c>
      <c r="C17" s="13">
        <v>1221.8140000000001</v>
      </c>
      <c r="D17" s="13">
        <v>1545.1489999999999</v>
      </c>
      <c r="E17" s="13">
        <v>1829.6</v>
      </c>
      <c r="F17" s="13">
        <v>2273.8850000000002</v>
      </c>
      <c r="G17" s="13">
        <v>2711.0410000000002</v>
      </c>
      <c r="H17" s="13">
        <v>2675.7579999999998</v>
      </c>
      <c r="I17" s="13">
        <v>2925.2950000000001</v>
      </c>
      <c r="J17" s="14">
        <v>3277.5949999999998</v>
      </c>
      <c r="K17" s="13"/>
      <c r="L17" s="13"/>
    </row>
    <row r="18" spans="1:12" x14ac:dyDescent="0.35">
      <c r="A18" s="32" t="s">
        <v>45</v>
      </c>
      <c r="B18" s="32" t="s">
        <v>46</v>
      </c>
      <c r="C18" s="13">
        <v>0</v>
      </c>
      <c r="D18" s="13">
        <v>0</v>
      </c>
      <c r="E18" s="13">
        <v>0</v>
      </c>
      <c r="F18" s="13">
        <v>0</v>
      </c>
      <c r="G18" s="13">
        <v>0</v>
      </c>
      <c r="H18" s="13">
        <v>0</v>
      </c>
      <c r="I18" s="13">
        <v>0</v>
      </c>
      <c r="J18" s="14">
        <v>0</v>
      </c>
      <c r="K18" s="13"/>
      <c r="L18" s="13"/>
    </row>
    <row r="19" spans="1:12" x14ac:dyDescent="0.35">
      <c r="A19" s="31" t="s">
        <v>47</v>
      </c>
      <c r="B19" s="31" t="s">
        <v>48</v>
      </c>
      <c r="C19" s="15">
        <v>1605.2260000000001</v>
      </c>
      <c r="D19" s="15">
        <v>2604.2539999999999</v>
      </c>
      <c r="E19" s="15">
        <v>4585.2889999999998</v>
      </c>
      <c r="F19" s="15">
        <v>6194.509</v>
      </c>
      <c r="G19" s="15">
        <v>5632.8310000000001</v>
      </c>
      <c r="H19" s="15">
        <v>6954.0029999999997</v>
      </c>
      <c r="I19" s="15">
        <v>10417.614</v>
      </c>
      <c r="J19" s="16">
        <v>12642.706</v>
      </c>
      <c r="K19" s="15">
        <v>13253.8780487805</v>
      </c>
      <c r="L19" s="15">
        <v>16565.933333333302</v>
      </c>
    </row>
    <row r="20" spans="1:12" x14ac:dyDescent="0.35">
      <c r="A20" s="32" t="s">
        <v>49</v>
      </c>
      <c r="B20" s="32" t="s">
        <v>50</v>
      </c>
      <c r="C20" s="13">
        <v>378.76799999999997</v>
      </c>
      <c r="D20" s="13">
        <v>542.02300000000002</v>
      </c>
      <c r="E20" s="13">
        <v>1385.94</v>
      </c>
      <c r="F20" s="13">
        <v>354.40600000000001</v>
      </c>
      <c r="G20" s="13">
        <v>368.90199999999999</v>
      </c>
      <c r="H20" s="13">
        <v>748.59799999999996</v>
      </c>
      <c r="I20" s="13">
        <v>451.95699999999999</v>
      </c>
      <c r="J20" s="14">
        <v>553.62699999999995</v>
      </c>
      <c r="K20" s="13"/>
      <c r="L20" s="13"/>
    </row>
    <row r="21" spans="1:12" x14ac:dyDescent="0.35">
      <c r="A21" s="32" t="s">
        <v>51</v>
      </c>
      <c r="B21" s="32" t="s">
        <v>52</v>
      </c>
      <c r="C21" s="13">
        <v>420.49299999999999</v>
      </c>
      <c r="D21" s="13">
        <v>626.02300000000002</v>
      </c>
      <c r="E21" s="13">
        <v>767.49900000000002</v>
      </c>
      <c r="F21" s="13">
        <v>765.62</v>
      </c>
      <c r="G21" s="13">
        <v>706.21199999999999</v>
      </c>
      <c r="H21" s="13">
        <v>699.82600000000002</v>
      </c>
      <c r="I21" s="13">
        <v>718.73299999999995</v>
      </c>
      <c r="J21" s="14">
        <v>734.71799999999996</v>
      </c>
      <c r="K21" s="13"/>
      <c r="L21" s="13"/>
    </row>
    <row r="22" spans="1:12" x14ac:dyDescent="0.35">
      <c r="A22" s="33" t="s">
        <v>53</v>
      </c>
      <c r="B22" s="33" t="s">
        <v>54</v>
      </c>
      <c r="C22" s="18">
        <v>420.49299999999999</v>
      </c>
      <c r="D22" s="18">
        <v>626.02300000000002</v>
      </c>
      <c r="E22" s="18">
        <v>767.49900000000002</v>
      </c>
      <c r="F22" s="18">
        <v>765.62</v>
      </c>
      <c r="G22" s="18">
        <v>706.21199999999999</v>
      </c>
      <c r="H22" s="18">
        <v>699.82600000000002</v>
      </c>
      <c r="I22" s="18">
        <v>718.73299999999995</v>
      </c>
      <c r="J22" s="19">
        <v>734.71799999999996</v>
      </c>
      <c r="K22" s="18"/>
      <c r="L22" s="18"/>
    </row>
    <row r="23" spans="1:12" x14ac:dyDescent="0.35">
      <c r="A23" s="33" t="s">
        <v>55</v>
      </c>
      <c r="B23" s="33" t="s">
        <v>56</v>
      </c>
      <c r="C23" s="18">
        <v>0</v>
      </c>
      <c r="D23" s="18">
        <v>0</v>
      </c>
      <c r="E23" s="18">
        <v>0</v>
      </c>
      <c r="F23" s="18">
        <v>0</v>
      </c>
      <c r="G23" s="18">
        <v>0</v>
      </c>
      <c r="H23" s="18">
        <v>0</v>
      </c>
      <c r="I23" s="18">
        <v>0</v>
      </c>
      <c r="J23" s="19">
        <v>0</v>
      </c>
      <c r="K23" s="18"/>
      <c r="L23" s="18"/>
    </row>
    <row r="24" spans="1:12" x14ac:dyDescent="0.35">
      <c r="A24" s="32" t="s">
        <v>57</v>
      </c>
      <c r="B24" s="32" t="s">
        <v>58</v>
      </c>
      <c r="C24" s="13">
        <v>0</v>
      </c>
      <c r="D24" s="13">
        <v>0</v>
      </c>
      <c r="E24" s="13">
        <v>0</v>
      </c>
      <c r="F24" s="13">
        <v>0</v>
      </c>
      <c r="G24" s="13">
        <v>0</v>
      </c>
      <c r="H24" s="13">
        <v>0</v>
      </c>
      <c r="I24" s="13">
        <v>0</v>
      </c>
      <c r="J24" s="14"/>
      <c r="K24" s="13"/>
      <c r="L24" s="13"/>
    </row>
    <row r="25" spans="1:12" x14ac:dyDescent="0.35">
      <c r="A25" s="32" t="s">
        <v>59</v>
      </c>
      <c r="B25" s="32" t="s">
        <v>60</v>
      </c>
      <c r="C25" s="13" t="s">
        <v>61</v>
      </c>
      <c r="D25" s="13" t="s">
        <v>61</v>
      </c>
      <c r="E25" s="13" t="s">
        <v>61</v>
      </c>
      <c r="F25" s="13" t="s">
        <v>61</v>
      </c>
      <c r="G25" s="13" t="s">
        <v>61</v>
      </c>
      <c r="H25" s="13" t="s">
        <v>61</v>
      </c>
      <c r="I25" s="13" t="s">
        <v>61</v>
      </c>
      <c r="J25" s="14"/>
      <c r="K25" s="13"/>
      <c r="L25" s="13"/>
    </row>
    <row r="26" spans="1:12" x14ac:dyDescent="0.35">
      <c r="A26" s="32" t="s">
        <v>62</v>
      </c>
      <c r="B26" s="32" t="s">
        <v>63</v>
      </c>
      <c r="C26" s="13">
        <v>-41.725000000000001</v>
      </c>
      <c r="D26" s="13">
        <v>-84</v>
      </c>
      <c r="E26" s="13">
        <v>618.44100000000003</v>
      </c>
      <c r="F26" s="13">
        <v>-411.214</v>
      </c>
      <c r="G26" s="13">
        <v>-337.31</v>
      </c>
      <c r="H26" s="13">
        <v>48.771999999999998</v>
      </c>
      <c r="I26" s="13">
        <v>-266.77600000000001</v>
      </c>
      <c r="J26" s="14">
        <v>-181.09100000000001</v>
      </c>
      <c r="K26" s="13"/>
      <c r="L26" s="13"/>
    </row>
    <row r="27" spans="1:12" x14ac:dyDescent="0.35">
      <c r="A27" s="31" t="s">
        <v>64</v>
      </c>
      <c r="B27" s="31" t="s">
        <v>65</v>
      </c>
      <c r="C27" s="15">
        <v>1226.4580000000001</v>
      </c>
      <c r="D27" s="15">
        <v>2062.2310000000002</v>
      </c>
      <c r="E27" s="15">
        <v>3199.3490000000002</v>
      </c>
      <c r="F27" s="15">
        <v>5840.1030000000001</v>
      </c>
      <c r="G27" s="15">
        <v>5263.9290000000001</v>
      </c>
      <c r="H27" s="15">
        <v>6205.4049999999997</v>
      </c>
      <c r="I27" s="15">
        <v>9965.6569999999992</v>
      </c>
      <c r="J27" s="16">
        <v>12089.079</v>
      </c>
      <c r="K27" s="15">
        <v>12737.102999999999</v>
      </c>
      <c r="L27" s="15">
        <v>16118.9</v>
      </c>
    </row>
    <row r="28" spans="1:12" x14ac:dyDescent="0.35">
      <c r="A28" s="32" t="s">
        <v>66</v>
      </c>
      <c r="B28" s="32" t="s">
        <v>67</v>
      </c>
      <c r="C28" s="13">
        <v>15.215999999999999</v>
      </c>
      <c r="D28" s="13">
        <v>195.315</v>
      </c>
      <c r="E28" s="13">
        <v>437.95400000000001</v>
      </c>
      <c r="F28" s="13">
        <v>723.875</v>
      </c>
      <c r="G28" s="13">
        <v>772.005</v>
      </c>
      <c r="H28" s="13">
        <v>797.41499999999996</v>
      </c>
      <c r="I28" s="13">
        <v>1254.0260000000001</v>
      </c>
      <c r="J28" s="14">
        <v>1657.7919999999999</v>
      </c>
      <c r="K28" s="13"/>
      <c r="L28" s="13"/>
    </row>
    <row r="29" spans="1:12" x14ac:dyDescent="0.35">
      <c r="A29" s="32" t="s">
        <v>68</v>
      </c>
      <c r="B29" s="32" t="s">
        <v>69</v>
      </c>
      <c r="C29" s="13">
        <v>100.736</v>
      </c>
      <c r="D29" s="13">
        <v>290.05399999999997</v>
      </c>
      <c r="E29" s="13">
        <v>367.88799999999998</v>
      </c>
      <c r="F29" s="13">
        <v>524.35599999999999</v>
      </c>
      <c r="G29" s="13">
        <v>906.53200000000004</v>
      </c>
      <c r="H29" s="13">
        <v>1340.393</v>
      </c>
      <c r="I29" s="13">
        <v>1845.396</v>
      </c>
      <c r="J29" s="14"/>
      <c r="K29" s="13"/>
      <c r="L29" s="13"/>
    </row>
    <row r="30" spans="1:12" x14ac:dyDescent="0.35">
      <c r="A30" s="32" t="s">
        <v>70</v>
      </c>
      <c r="B30" s="32" t="s">
        <v>71</v>
      </c>
      <c r="C30" s="13">
        <v>-85.52</v>
      </c>
      <c r="D30" s="13">
        <v>-94.739000000000004</v>
      </c>
      <c r="E30" s="13">
        <v>70.066000000000003</v>
      </c>
      <c r="F30" s="13">
        <v>199.51900000000001</v>
      </c>
      <c r="G30" s="13">
        <v>-134.52699999999999</v>
      </c>
      <c r="H30" s="13">
        <v>-542.97799999999995</v>
      </c>
      <c r="I30" s="13">
        <v>-591.37</v>
      </c>
      <c r="J30" s="14"/>
      <c r="K30" s="13"/>
      <c r="L30" s="13"/>
    </row>
    <row r="31" spans="1:12" x14ac:dyDescent="0.35">
      <c r="A31" s="32" t="s">
        <v>72</v>
      </c>
      <c r="B31" s="32" t="s">
        <v>73</v>
      </c>
      <c r="C31" s="13" t="s">
        <v>61</v>
      </c>
      <c r="D31" s="13" t="s">
        <v>61</v>
      </c>
      <c r="E31" s="13" t="s">
        <v>61</v>
      </c>
      <c r="F31" s="13" t="s">
        <v>61</v>
      </c>
      <c r="G31" s="13" t="s">
        <v>61</v>
      </c>
      <c r="H31" s="13" t="s">
        <v>61</v>
      </c>
      <c r="I31" s="13" t="s">
        <v>61</v>
      </c>
      <c r="J31" s="14"/>
      <c r="K31" s="13"/>
      <c r="L31" s="13"/>
    </row>
    <row r="32" spans="1:12" x14ac:dyDescent="0.35">
      <c r="A32" s="31" t="s">
        <v>74</v>
      </c>
      <c r="B32" s="31" t="s">
        <v>75</v>
      </c>
      <c r="C32" s="15">
        <v>1211.242</v>
      </c>
      <c r="D32" s="15">
        <v>1866.9159999999999</v>
      </c>
      <c r="E32" s="15">
        <v>2761.395</v>
      </c>
      <c r="F32" s="15">
        <v>5116.2280000000001</v>
      </c>
      <c r="G32" s="15">
        <v>4491.924</v>
      </c>
      <c r="H32" s="15">
        <v>5407.99</v>
      </c>
      <c r="I32" s="15">
        <v>8711.6309999999994</v>
      </c>
      <c r="J32" s="16">
        <v>10431.287</v>
      </c>
      <c r="K32" s="15">
        <v>10960.628000000001</v>
      </c>
      <c r="L32" s="15">
        <v>13838.689</v>
      </c>
    </row>
    <row r="33" spans="1:12" x14ac:dyDescent="0.35">
      <c r="A33" s="32" t="s">
        <v>76</v>
      </c>
      <c r="B33" s="32" t="s">
        <v>77</v>
      </c>
      <c r="C33" s="13">
        <v>0</v>
      </c>
      <c r="D33" s="13">
        <v>0</v>
      </c>
      <c r="E33" s="13">
        <v>0</v>
      </c>
      <c r="F33" s="13">
        <v>0</v>
      </c>
      <c r="G33" s="13">
        <v>0</v>
      </c>
      <c r="H33" s="13">
        <v>0</v>
      </c>
      <c r="I33" s="13">
        <v>0</v>
      </c>
      <c r="J33" s="14">
        <v>0</v>
      </c>
      <c r="K33" s="13"/>
      <c r="L33" s="13"/>
    </row>
    <row r="34" spans="1:12" x14ac:dyDescent="0.35">
      <c r="A34" s="32" t="s">
        <v>78</v>
      </c>
      <c r="B34" s="32" t="s">
        <v>79</v>
      </c>
      <c r="C34" s="13">
        <v>0</v>
      </c>
      <c r="D34" s="13">
        <v>0</v>
      </c>
      <c r="E34" s="13">
        <v>0</v>
      </c>
      <c r="F34" s="13">
        <v>0</v>
      </c>
      <c r="G34" s="13">
        <v>0</v>
      </c>
      <c r="H34" s="13">
        <v>0</v>
      </c>
      <c r="I34" s="13">
        <v>0</v>
      </c>
      <c r="J34" s="14">
        <v>0</v>
      </c>
      <c r="K34" s="13"/>
      <c r="L34" s="13"/>
    </row>
    <row r="35" spans="1:12" x14ac:dyDescent="0.35">
      <c r="A35" s="32" t="s">
        <v>80</v>
      </c>
      <c r="B35" s="32" t="s">
        <v>81</v>
      </c>
      <c r="C35" s="13">
        <v>0</v>
      </c>
      <c r="D35" s="13">
        <v>0</v>
      </c>
      <c r="E35" s="13">
        <v>0</v>
      </c>
      <c r="F35" s="13">
        <v>0</v>
      </c>
      <c r="G35" s="13">
        <v>0</v>
      </c>
      <c r="H35" s="13">
        <v>0</v>
      </c>
      <c r="I35" s="13">
        <v>0</v>
      </c>
      <c r="J35" s="14">
        <v>0</v>
      </c>
      <c r="K35" s="13"/>
      <c r="L35" s="13"/>
    </row>
    <row r="36" spans="1:12" x14ac:dyDescent="0.35">
      <c r="A36" s="31" t="s">
        <v>82</v>
      </c>
      <c r="B36" s="31" t="s">
        <v>83</v>
      </c>
      <c r="C36" s="15">
        <v>1211.242</v>
      </c>
      <c r="D36" s="15">
        <v>1866.9159999999999</v>
      </c>
      <c r="E36" s="15">
        <v>2761.395</v>
      </c>
      <c r="F36" s="15">
        <v>5116.2280000000001</v>
      </c>
      <c r="G36" s="15">
        <v>4491.924</v>
      </c>
      <c r="H36" s="15">
        <v>5407.99</v>
      </c>
      <c r="I36" s="15">
        <v>8711.6309999999994</v>
      </c>
      <c r="J36" s="16">
        <v>10431.287</v>
      </c>
      <c r="K36" s="15"/>
      <c r="L36" s="15"/>
    </row>
    <row r="37" spans="1:12" x14ac:dyDescent="0.35">
      <c r="A37" s="32" t="s">
        <v>84</v>
      </c>
      <c r="B37" s="32" t="s">
        <v>85</v>
      </c>
      <c r="C37" s="13">
        <v>0</v>
      </c>
      <c r="D37" s="13">
        <v>0</v>
      </c>
      <c r="E37" s="13">
        <v>0</v>
      </c>
      <c r="F37" s="13">
        <v>0</v>
      </c>
      <c r="G37" s="13">
        <v>0</v>
      </c>
      <c r="H37" s="13">
        <v>0</v>
      </c>
      <c r="I37" s="13">
        <v>0</v>
      </c>
      <c r="J37" s="14">
        <v>0</v>
      </c>
      <c r="K37" s="13"/>
      <c r="L37" s="13"/>
    </row>
    <row r="38" spans="1:12" x14ac:dyDescent="0.35">
      <c r="A38" s="31" t="s">
        <v>86</v>
      </c>
      <c r="B38" s="31" t="s">
        <v>87</v>
      </c>
      <c r="C38" s="15">
        <v>1211.242</v>
      </c>
      <c r="D38" s="15">
        <v>1866.9159999999999</v>
      </c>
      <c r="E38" s="15">
        <v>2761.395</v>
      </c>
      <c r="F38" s="15">
        <v>5116.2280000000001</v>
      </c>
      <c r="G38" s="15">
        <v>4491.924</v>
      </c>
      <c r="H38" s="15">
        <v>5407.99</v>
      </c>
      <c r="I38" s="15">
        <v>8711.6309999999994</v>
      </c>
      <c r="J38" s="16">
        <v>10431.287</v>
      </c>
      <c r="K38" s="15">
        <v>10960.628000000001</v>
      </c>
      <c r="L38" s="15">
        <v>13838.689</v>
      </c>
    </row>
    <row r="39" spans="1:12" x14ac:dyDescent="0.35">
      <c r="A39" s="32" t="s">
        <v>88</v>
      </c>
      <c r="B39" s="32" t="s">
        <v>89</v>
      </c>
      <c r="C39" s="13">
        <v>0</v>
      </c>
      <c r="D39" s="13">
        <v>0</v>
      </c>
      <c r="E39" s="13">
        <v>0</v>
      </c>
      <c r="F39" s="13">
        <v>0</v>
      </c>
      <c r="G39" s="13">
        <v>0</v>
      </c>
      <c r="H39" s="13">
        <v>0</v>
      </c>
      <c r="I39" s="13">
        <v>0</v>
      </c>
      <c r="J39" s="14">
        <v>0</v>
      </c>
      <c r="K39" s="13"/>
      <c r="L39" s="13"/>
    </row>
    <row r="40" spans="1:12" x14ac:dyDescent="0.35">
      <c r="A40" s="32" t="s">
        <v>90</v>
      </c>
      <c r="B40" s="32" t="s">
        <v>91</v>
      </c>
      <c r="C40" s="13">
        <v>0</v>
      </c>
      <c r="D40" s="13">
        <v>0</v>
      </c>
      <c r="E40" s="13">
        <v>0</v>
      </c>
      <c r="F40" s="13">
        <v>0</v>
      </c>
      <c r="G40" s="13">
        <v>0</v>
      </c>
      <c r="H40" s="13">
        <v>0</v>
      </c>
      <c r="I40" s="13">
        <v>0</v>
      </c>
      <c r="J40" s="14">
        <v>0</v>
      </c>
      <c r="K40" s="13"/>
      <c r="L40" s="13"/>
    </row>
    <row r="41" spans="1:12" x14ac:dyDescent="0.35">
      <c r="A41" s="31" t="s">
        <v>92</v>
      </c>
      <c r="B41" s="31" t="s">
        <v>93</v>
      </c>
      <c r="C41" s="15">
        <v>1211.242</v>
      </c>
      <c r="D41" s="15">
        <v>1866.9159999999999</v>
      </c>
      <c r="E41" s="15">
        <v>2761.395</v>
      </c>
      <c r="F41" s="15">
        <v>5116.2280000000001</v>
      </c>
      <c r="G41" s="15">
        <v>4491.924</v>
      </c>
      <c r="H41" s="15">
        <v>5407.99</v>
      </c>
      <c r="I41" s="15">
        <v>8711.6309999999994</v>
      </c>
      <c r="J41" s="16">
        <v>10431.287</v>
      </c>
      <c r="K41" s="15">
        <v>10960.628000000001</v>
      </c>
      <c r="L41" s="15">
        <v>13838.689</v>
      </c>
    </row>
    <row r="42" spans="1:12" x14ac:dyDescent="0.35">
      <c r="A42" s="31"/>
      <c r="B42" s="10"/>
      <c r="C42" s="10"/>
      <c r="D42" s="10"/>
      <c r="E42" s="10"/>
      <c r="F42" s="10"/>
      <c r="G42" s="10"/>
      <c r="H42" s="10"/>
      <c r="I42" s="10"/>
      <c r="J42" s="11"/>
      <c r="K42" s="10"/>
      <c r="L42" s="10"/>
    </row>
    <row r="43" spans="1:12" x14ac:dyDescent="0.35">
      <c r="A43" s="31" t="s">
        <v>94</v>
      </c>
      <c r="B43" s="31" t="s">
        <v>93</v>
      </c>
      <c r="C43" s="15">
        <v>1211.242</v>
      </c>
      <c r="D43" s="15">
        <v>1866.9159999999999</v>
      </c>
      <c r="E43" s="15">
        <v>3607.395</v>
      </c>
      <c r="F43" s="15">
        <v>4894.2280000000001</v>
      </c>
      <c r="G43" s="15">
        <v>4331.4663</v>
      </c>
      <c r="H43" s="15">
        <v>5547.2637999999997</v>
      </c>
      <c r="I43" s="15">
        <v>8615.6152000000002</v>
      </c>
      <c r="J43" s="16">
        <v>10454.373170000001</v>
      </c>
      <c r="K43" s="15">
        <v>11118.691999999999</v>
      </c>
      <c r="L43" s="15">
        <v>13890.083000000001</v>
      </c>
    </row>
    <row r="44" spans="1:12" x14ac:dyDescent="0.35">
      <c r="A44" s="32" t="s">
        <v>95</v>
      </c>
      <c r="B44" s="32" t="s">
        <v>96</v>
      </c>
      <c r="C44" s="13">
        <v>0</v>
      </c>
      <c r="D44" s="13">
        <v>0</v>
      </c>
      <c r="E44" s="13">
        <v>846</v>
      </c>
      <c r="F44" s="13">
        <v>-222</v>
      </c>
      <c r="G44" s="13">
        <v>-160.45769999999999</v>
      </c>
      <c r="H44" s="13">
        <v>139.27379999999999</v>
      </c>
      <c r="I44" s="13">
        <v>-96.015799999999999</v>
      </c>
      <c r="J44" s="14">
        <v>23.086169999999999</v>
      </c>
      <c r="K44" s="13"/>
      <c r="L44" s="13"/>
    </row>
    <row r="45" spans="1:12" x14ac:dyDescent="0.35">
      <c r="A45" s="32" t="s">
        <v>97</v>
      </c>
      <c r="B45" s="32" t="s">
        <v>77</v>
      </c>
      <c r="C45" s="13">
        <v>0</v>
      </c>
      <c r="D45" s="13">
        <v>0</v>
      </c>
      <c r="E45" s="13">
        <v>0</v>
      </c>
      <c r="F45" s="13">
        <v>0</v>
      </c>
      <c r="G45" s="13">
        <v>0</v>
      </c>
      <c r="H45" s="13">
        <v>0</v>
      </c>
      <c r="I45" s="13">
        <v>0</v>
      </c>
      <c r="J45" s="14">
        <v>0</v>
      </c>
      <c r="K45" s="13"/>
      <c r="L45" s="13"/>
    </row>
    <row r="46" spans="1:12" x14ac:dyDescent="0.35">
      <c r="A46" s="31"/>
      <c r="B46" s="10"/>
      <c r="C46" s="10"/>
      <c r="D46" s="10"/>
      <c r="E46" s="10"/>
      <c r="F46" s="10"/>
      <c r="G46" s="10"/>
      <c r="H46" s="10"/>
      <c r="I46" s="10"/>
      <c r="J46" s="11"/>
      <c r="K46" s="10"/>
      <c r="L46" s="10"/>
    </row>
    <row r="47" spans="1:12" x14ac:dyDescent="0.35">
      <c r="A47" s="32" t="s">
        <v>98</v>
      </c>
      <c r="B47" s="32" t="s">
        <v>99</v>
      </c>
      <c r="C47" s="13">
        <v>4353.74</v>
      </c>
      <c r="D47" s="13">
        <v>4377.99</v>
      </c>
      <c r="E47" s="13">
        <v>4409.22</v>
      </c>
      <c r="F47" s="13">
        <v>4431.55</v>
      </c>
      <c r="G47" s="13">
        <v>4446.9799999999996</v>
      </c>
      <c r="H47" s="13">
        <v>4415.71</v>
      </c>
      <c r="I47" s="13">
        <v>4295.1899999999996</v>
      </c>
      <c r="J47" s="14">
        <v>4244.55</v>
      </c>
      <c r="K47" s="13"/>
      <c r="L47" s="13"/>
    </row>
    <row r="48" spans="1:12" x14ac:dyDescent="0.35">
      <c r="A48" s="31" t="s">
        <v>100</v>
      </c>
      <c r="B48" s="31" t="s">
        <v>101</v>
      </c>
      <c r="C48" s="24">
        <v>0.27800000000000002</v>
      </c>
      <c r="D48" s="24">
        <v>0.42599999999999999</v>
      </c>
      <c r="E48" s="24">
        <v>0.626</v>
      </c>
      <c r="F48" s="24">
        <v>1.155</v>
      </c>
      <c r="G48" s="24">
        <v>1.01</v>
      </c>
      <c r="H48" s="24">
        <v>1.2250000000000001</v>
      </c>
      <c r="I48" s="24">
        <v>2.028</v>
      </c>
      <c r="J48" s="25">
        <v>2.448</v>
      </c>
      <c r="K48" s="24">
        <v>2.5299999999999998</v>
      </c>
      <c r="L48" s="24">
        <v>3.2269999999999999</v>
      </c>
    </row>
    <row r="49" spans="1:12" x14ac:dyDescent="0.35">
      <c r="A49" s="31" t="s">
        <v>102</v>
      </c>
      <c r="B49" s="31" t="s">
        <v>103</v>
      </c>
      <c r="C49" s="24">
        <v>0.27800000000000002</v>
      </c>
      <c r="D49" s="24">
        <v>0.42599999999999999</v>
      </c>
      <c r="E49" s="24">
        <v>0.626</v>
      </c>
      <c r="F49" s="24">
        <v>1.155</v>
      </c>
      <c r="G49" s="24">
        <v>1.01</v>
      </c>
      <c r="H49" s="24">
        <v>1.2250000000000001</v>
      </c>
      <c r="I49" s="24">
        <v>2.028</v>
      </c>
      <c r="J49" s="25">
        <v>2.448</v>
      </c>
      <c r="K49" s="24">
        <v>2.5299999999999998</v>
      </c>
      <c r="L49" s="24">
        <v>3.2269999999999999</v>
      </c>
    </row>
    <row r="50" spans="1:12" x14ac:dyDescent="0.35">
      <c r="A50" s="31" t="s">
        <v>104</v>
      </c>
      <c r="B50" s="31" t="s">
        <v>105</v>
      </c>
      <c r="C50" s="24">
        <v>0.27800000000000002</v>
      </c>
      <c r="D50" s="24">
        <v>0.42599999999999999</v>
      </c>
      <c r="E50" s="24">
        <v>0.81810000000000005</v>
      </c>
      <c r="F50" s="24">
        <v>1.1044</v>
      </c>
      <c r="G50" s="24">
        <v>0.97399999999999998</v>
      </c>
      <c r="H50" s="24">
        <v>1.2563</v>
      </c>
      <c r="I50" s="24">
        <v>2.0059</v>
      </c>
      <c r="J50" s="25">
        <v>2.4538806000000002</v>
      </c>
      <c r="K50" s="24">
        <v>2.556</v>
      </c>
      <c r="L50" s="24">
        <v>3.0739999999999998</v>
      </c>
    </row>
    <row r="51" spans="1:12" x14ac:dyDescent="0.35">
      <c r="A51" s="31"/>
      <c r="B51" s="10"/>
      <c r="C51" s="10"/>
      <c r="D51" s="10"/>
      <c r="E51" s="10"/>
      <c r="F51" s="10"/>
      <c r="G51" s="10"/>
      <c r="H51" s="10"/>
      <c r="I51" s="10"/>
      <c r="J51" s="11"/>
      <c r="K51" s="10"/>
      <c r="L51" s="10"/>
    </row>
    <row r="52" spans="1:12" x14ac:dyDescent="0.35">
      <c r="A52" s="32" t="s">
        <v>106</v>
      </c>
      <c r="B52" s="32" t="s">
        <v>107</v>
      </c>
      <c r="C52" s="13">
        <v>4512.4399999999996</v>
      </c>
      <c r="D52" s="13">
        <v>4517.6499999999996</v>
      </c>
      <c r="E52" s="13">
        <v>4542.08</v>
      </c>
      <c r="F52" s="13">
        <v>4553.72</v>
      </c>
      <c r="G52" s="13">
        <v>4512.8999999999996</v>
      </c>
      <c r="H52" s="13">
        <v>4494.9799999999996</v>
      </c>
      <c r="I52" s="13">
        <v>4392.6099999999997</v>
      </c>
      <c r="J52" s="14">
        <v>4340.3900000000003</v>
      </c>
      <c r="K52" s="13"/>
      <c r="L52" s="13"/>
    </row>
    <row r="53" spans="1:12" x14ac:dyDescent="0.35">
      <c r="A53" s="31" t="s">
        <v>108</v>
      </c>
      <c r="B53" s="31" t="s">
        <v>109</v>
      </c>
      <c r="C53" s="24">
        <v>0.26800000000000002</v>
      </c>
      <c r="D53" s="24">
        <v>0.41299999999999998</v>
      </c>
      <c r="E53" s="24">
        <v>0.60799999999999998</v>
      </c>
      <c r="F53" s="24">
        <v>1.1240000000000001</v>
      </c>
      <c r="G53" s="24">
        <v>0.995</v>
      </c>
      <c r="H53" s="24">
        <v>1.2030000000000001</v>
      </c>
      <c r="I53" s="24">
        <v>1.9830000000000001</v>
      </c>
      <c r="J53" s="25">
        <v>2.3940000000000001</v>
      </c>
      <c r="K53" s="24">
        <v>2.5299999999999998</v>
      </c>
      <c r="L53" s="24">
        <v>3.2269999999999999</v>
      </c>
    </row>
    <row r="54" spans="1:12" x14ac:dyDescent="0.35">
      <c r="A54" s="31" t="s">
        <v>110</v>
      </c>
      <c r="B54" s="31" t="s">
        <v>111</v>
      </c>
      <c r="C54" s="24">
        <v>0.26800000000000002</v>
      </c>
      <c r="D54" s="24">
        <v>0.41299999999999998</v>
      </c>
      <c r="E54" s="24">
        <v>0.60799999999999998</v>
      </c>
      <c r="F54" s="24">
        <v>1.1240000000000001</v>
      </c>
      <c r="G54" s="24">
        <v>0.995</v>
      </c>
      <c r="H54" s="24">
        <v>1.2030000000000001</v>
      </c>
      <c r="I54" s="24">
        <v>1.9830000000000001</v>
      </c>
      <c r="J54" s="25">
        <v>2.3940000000000001</v>
      </c>
      <c r="K54" s="24">
        <v>2.5299999999999998</v>
      </c>
      <c r="L54" s="24">
        <v>3.2269999999999999</v>
      </c>
    </row>
    <row r="55" spans="1:12" x14ac:dyDescent="0.35">
      <c r="A55" s="31" t="s">
        <v>112</v>
      </c>
      <c r="B55" s="31" t="s">
        <v>113</v>
      </c>
      <c r="C55" s="24">
        <v>0.26800000000000002</v>
      </c>
      <c r="D55" s="24">
        <v>0.41299999999999998</v>
      </c>
      <c r="E55" s="24">
        <v>0.79430000000000001</v>
      </c>
      <c r="F55" s="24">
        <v>1.0751999999999999</v>
      </c>
      <c r="G55" s="24">
        <v>0.95940000000000003</v>
      </c>
      <c r="H55" s="24">
        <v>1.234</v>
      </c>
      <c r="I55" s="24">
        <v>1.9611000000000001</v>
      </c>
      <c r="J55" s="25">
        <v>2.3993468999999998</v>
      </c>
      <c r="K55" s="24">
        <v>2.556</v>
      </c>
      <c r="L55" s="24">
        <v>3.0739999999999998</v>
      </c>
    </row>
    <row r="56" spans="1:12" x14ac:dyDescent="0.35">
      <c r="A56" s="31"/>
      <c r="B56" s="10"/>
      <c r="C56" s="10"/>
      <c r="D56" s="10"/>
      <c r="E56" s="10"/>
      <c r="F56" s="10"/>
      <c r="G56" s="10"/>
      <c r="H56" s="10"/>
      <c r="I56" s="10"/>
      <c r="J56" s="11"/>
      <c r="K56" s="10"/>
      <c r="L56" s="10"/>
    </row>
    <row r="57" spans="1:12" x14ac:dyDescent="0.35">
      <c r="A57" s="31" t="s">
        <v>114</v>
      </c>
      <c r="B57" s="10"/>
      <c r="C57" s="10"/>
      <c r="D57" s="10"/>
      <c r="E57" s="10"/>
      <c r="F57" s="10"/>
      <c r="G57" s="10"/>
      <c r="H57" s="10"/>
      <c r="I57" s="10"/>
      <c r="J57" s="11"/>
      <c r="K57" s="10"/>
      <c r="L57" s="10"/>
    </row>
    <row r="58" spans="1:12" x14ac:dyDescent="0.35">
      <c r="A58" s="32" t="s">
        <v>115</v>
      </c>
      <c r="B58" s="32" t="s">
        <v>116</v>
      </c>
      <c r="C58" s="23" t="s">
        <v>117</v>
      </c>
      <c r="D58" s="23" t="s">
        <v>117</v>
      </c>
      <c r="E58" s="23" t="s">
        <v>117</v>
      </c>
      <c r="F58" s="23" t="s">
        <v>117</v>
      </c>
      <c r="G58" s="23" t="s">
        <v>117</v>
      </c>
      <c r="H58" s="23" t="s">
        <v>117</v>
      </c>
      <c r="I58" s="23" t="s">
        <v>117</v>
      </c>
      <c r="J58" s="26"/>
      <c r="K58" s="23"/>
      <c r="L58" s="23"/>
    </row>
    <row r="59" spans="1:12" x14ac:dyDescent="0.35">
      <c r="A59" s="32" t="s">
        <v>118</v>
      </c>
      <c r="B59" s="32" t="s">
        <v>118</v>
      </c>
      <c r="C59" s="13">
        <v>1688.383</v>
      </c>
      <c r="D59" s="13">
        <v>2925.9749999999999</v>
      </c>
      <c r="E59" s="13">
        <v>5024.9040000000005</v>
      </c>
      <c r="F59" s="13">
        <v>6792.7259999999997</v>
      </c>
      <c r="G59" s="13">
        <v>6383.1769999999997</v>
      </c>
      <c r="H59" s="13">
        <v>7741.8059999999996</v>
      </c>
      <c r="I59" s="13">
        <v>11214.81</v>
      </c>
      <c r="J59" s="14">
        <v>12969.651</v>
      </c>
      <c r="K59" s="13">
        <v>13866.9714285714</v>
      </c>
      <c r="L59" s="13">
        <v>17205.4054054054</v>
      </c>
    </row>
    <row r="60" spans="1:12" x14ac:dyDescent="0.35">
      <c r="A60" s="32" t="s">
        <v>119</v>
      </c>
      <c r="B60" s="32" t="s">
        <v>120</v>
      </c>
      <c r="C60" s="20">
        <v>10.6898</v>
      </c>
      <c r="D60" s="20">
        <v>14.516299999999999</v>
      </c>
      <c r="E60" s="20">
        <v>20.102799999999998</v>
      </c>
      <c r="F60" s="20">
        <v>22.872800000000002</v>
      </c>
      <c r="G60" s="20">
        <v>20.190000000000001</v>
      </c>
      <c r="H60" s="20">
        <v>22.956800000000001</v>
      </c>
      <c r="I60" s="20">
        <v>28.755199999999999</v>
      </c>
      <c r="J60" s="21">
        <v>29.898602282262999</v>
      </c>
      <c r="K60" s="20">
        <v>30.745785632404701</v>
      </c>
      <c r="L60" s="20">
        <v>33.778928526981403</v>
      </c>
    </row>
    <row r="61" spans="1:12" x14ac:dyDescent="0.35">
      <c r="A61" s="32" t="s">
        <v>121</v>
      </c>
      <c r="B61" s="32" t="s">
        <v>121</v>
      </c>
      <c r="C61" s="13">
        <v>1605.2260000000001</v>
      </c>
      <c r="D61" s="13">
        <v>2822.3960000000002</v>
      </c>
      <c r="E61" s="13">
        <v>4909.1940000000004</v>
      </c>
      <c r="F61" s="13">
        <v>6584.3140000000003</v>
      </c>
      <c r="G61" s="13">
        <v>6046.4949999999999</v>
      </c>
      <c r="H61" s="13">
        <v>7384.8590000000004</v>
      </c>
      <c r="I61" s="13">
        <v>10885.896000000001</v>
      </c>
      <c r="J61" s="14">
        <v>12642.706</v>
      </c>
      <c r="K61" s="13"/>
      <c r="L61" s="13"/>
    </row>
    <row r="62" spans="1:12" x14ac:dyDescent="0.35">
      <c r="A62" s="32" t="s">
        <v>122</v>
      </c>
      <c r="B62" s="32" t="s">
        <v>122</v>
      </c>
      <c r="C62" s="13">
        <v>1605.2260000000001</v>
      </c>
      <c r="D62" s="13">
        <v>2604.2539999999999</v>
      </c>
      <c r="E62" s="13">
        <v>4585.2889999999998</v>
      </c>
      <c r="F62" s="13">
        <v>6194.509</v>
      </c>
      <c r="G62" s="13">
        <v>5632.8310000000001</v>
      </c>
      <c r="H62" s="13">
        <v>6954.0029999999997</v>
      </c>
      <c r="I62" s="13">
        <v>10417.614</v>
      </c>
      <c r="J62" s="14">
        <v>12642.706</v>
      </c>
      <c r="K62" s="13">
        <v>13253.8780487805</v>
      </c>
      <c r="L62" s="13">
        <v>16565.933333333302</v>
      </c>
    </row>
    <row r="63" spans="1:12" x14ac:dyDescent="0.35">
      <c r="A63" s="32" t="s">
        <v>123</v>
      </c>
      <c r="B63" s="32" t="s">
        <v>124</v>
      </c>
      <c r="C63" s="20">
        <v>36.8917</v>
      </c>
      <c r="D63" s="20">
        <v>38.281700000000001</v>
      </c>
      <c r="E63" s="20">
        <v>38.885100000000001</v>
      </c>
      <c r="F63" s="20">
        <v>41.636600000000001</v>
      </c>
      <c r="G63" s="20">
        <v>39.370699999999999</v>
      </c>
      <c r="H63" s="20">
        <v>41.537799999999997</v>
      </c>
      <c r="I63" s="20">
        <v>46.056600000000003</v>
      </c>
      <c r="J63" s="21">
        <v>48.0850582567004</v>
      </c>
      <c r="K63" s="20"/>
      <c r="L63" s="20"/>
    </row>
    <row r="64" spans="1:12" x14ac:dyDescent="0.35">
      <c r="A64" s="32" t="s">
        <v>125</v>
      </c>
      <c r="B64" s="32" t="s">
        <v>126</v>
      </c>
      <c r="C64" s="20">
        <v>10.1633</v>
      </c>
      <c r="D64" s="20">
        <v>12.920199999999999</v>
      </c>
      <c r="E64" s="20">
        <v>18.344000000000001</v>
      </c>
      <c r="F64" s="20">
        <v>20.8584</v>
      </c>
      <c r="G64" s="20">
        <v>17.816600000000001</v>
      </c>
      <c r="H64" s="20">
        <v>20.620799999999999</v>
      </c>
      <c r="I64" s="20">
        <v>26.711200000000002</v>
      </c>
      <c r="J64" s="21">
        <v>29.144904397626402</v>
      </c>
      <c r="K64" s="20">
        <v>29.386438594704199</v>
      </c>
      <c r="L64" s="20">
        <v>32.523469618399801</v>
      </c>
    </row>
    <row r="65" spans="1:12" x14ac:dyDescent="0.35">
      <c r="A65" s="32" t="s">
        <v>127</v>
      </c>
      <c r="B65" s="32" t="s">
        <v>128</v>
      </c>
      <c r="C65" s="20">
        <v>7.6688000000000001</v>
      </c>
      <c r="D65" s="20">
        <v>9.2621000000000002</v>
      </c>
      <c r="E65" s="20">
        <v>11.0473</v>
      </c>
      <c r="F65" s="20">
        <v>17.227599999999999</v>
      </c>
      <c r="G65" s="20">
        <v>14.208</v>
      </c>
      <c r="H65" s="20">
        <v>16.0364</v>
      </c>
      <c r="I65" s="20">
        <v>22.337</v>
      </c>
      <c r="J65" s="21">
        <v>24.0469771549859</v>
      </c>
      <c r="K65" s="20">
        <v>24.652313814223199</v>
      </c>
      <c r="L65" s="20">
        <v>27.2700422274768</v>
      </c>
    </row>
    <row r="66" spans="1:12" x14ac:dyDescent="0.35">
      <c r="A66" s="32" t="s">
        <v>129</v>
      </c>
      <c r="B66" s="32" t="s">
        <v>130</v>
      </c>
      <c r="C66" s="20">
        <v>2224555.0704000001</v>
      </c>
      <c r="D66" s="20">
        <v>2343772.9070000001</v>
      </c>
      <c r="E66" s="20">
        <v>2659154.8936000001</v>
      </c>
      <c r="F66" s="20">
        <v>2628127.7875999999</v>
      </c>
      <c r="G66" s="20">
        <v>2469964.8437999999</v>
      </c>
      <c r="H66" s="20">
        <v>2594099.7692</v>
      </c>
      <c r="I66" s="20">
        <v>2785783.2856999999</v>
      </c>
      <c r="J66" s="21"/>
      <c r="K66" s="20"/>
      <c r="L66" s="20"/>
    </row>
    <row r="67" spans="1:12" x14ac:dyDescent="0.35">
      <c r="A67" s="32" t="s">
        <v>131</v>
      </c>
      <c r="B67" s="32" t="s">
        <v>132</v>
      </c>
      <c r="C67" s="20">
        <v>0</v>
      </c>
      <c r="D67" s="20">
        <v>0</v>
      </c>
      <c r="E67" s="20">
        <v>0</v>
      </c>
      <c r="F67" s="20">
        <v>0</v>
      </c>
      <c r="G67" s="20">
        <v>0</v>
      </c>
      <c r="H67" s="20">
        <v>0</v>
      </c>
      <c r="I67" s="20">
        <v>0</v>
      </c>
      <c r="J67" s="21">
        <v>0</v>
      </c>
      <c r="K67" s="20">
        <v>0</v>
      </c>
      <c r="L67" s="20">
        <v>0</v>
      </c>
    </row>
    <row r="68" spans="1:12" x14ac:dyDescent="0.35">
      <c r="A68" s="32" t="s">
        <v>133</v>
      </c>
      <c r="B68" s="32" t="s">
        <v>134</v>
      </c>
      <c r="C68" s="13">
        <v>0</v>
      </c>
      <c r="D68" s="13">
        <v>0</v>
      </c>
      <c r="E68" s="13">
        <v>0</v>
      </c>
      <c r="F68" s="13">
        <v>0</v>
      </c>
      <c r="G68" s="13">
        <v>0</v>
      </c>
      <c r="H68" s="13">
        <v>0</v>
      </c>
      <c r="I68" s="13">
        <v>0</v>
      </c>
      <c r="J68" s="14">
        <v>0</v>
      </c>
      <c r="K68" s="13"/>
      <c r="L68" s="13"/>
    </row>
    <row r="69" spans="1:12" x14ac:dyDescent="0.35">
      <c r="A69" s="32" t="s">
        <v>135</v>
      </c>
      <c r="B69" s="32" t="s">
        <v>136</v>
      </c>
      <c r="C69" s="13">
        <v>83.156999999999996</v>
      </c>
      <c r="D69" s="13">
        <v>103.57899999999999</v>
      </c>
      <c r="E69" s="13">
        <v>115.71</v>
      </c>
      <c r="F69" s="13">
        <v>208.41200000000001</v>
      </c>
      <c r="G69" s="13">
        <v>336.68200000000002</v>
      </c>
      <c r="H69" s="13">
        <v>356.947</v>
      </c>
      <c r="I69" s="13">
        <v>328.91399999999999</v>
      </c>
      <c r="J69" s="14">
        <v>326.94499999999999</v>
      </c>
      <c r="K69" s="13"/>
      <c r="L69" s="13"/>
    </row>
    <row r="70" spans="1:12" x14ac:dyDescent="0.35">
      <c r="A70" s="32" t="s">
        <v>137</v>
      </c>
      <c r="B70" s="32" t="s">
        <v>138</v>
      </c>
      <c r="C70" s="13">
        <v>107</v>
      </c>
      <c r="D70" s="13">
        <v>447.88900000000001</v>
      </c>
      <c r="E70" s="13">
        <v>440.51100000000002</v>
      </c>
      <c r="F70" s="13">
        <v>542.57000000000005</v>
      </c>
      <c r="G70" s="13">
        <v>608.428</v>
      </c>
      <c r="H70" s="13">
        <v>638.678</v>
      </c>
      <c r="I70" s="13">
        <v>665.97299999999996</v>
      </c>
      <c r="J70" s="14"/>
      <c r="K70" s="13"/>
      <c r="L70" s="13"/>
    </row>
    <row r="71" spans="1:12" x14ac:dyDescent="0.35">
      <c r="A71" s="22" t="s">
        <v>139</v>
      </c>
      <c r="B71" s="22"/>
      <c r="C71" s="22" t="s">
        <v>140</v>
      </c>
      <c r="D71" s="22"/>
      <c r="E71" s="22"/>
      <c r="F71" s="22"/>
      <c r="G71" s="22"/>
      <c r="H71" s="22"/>
      <c r="I71" s="22"/>
      <c r="J71" s="22"/>
      <c r="K71" s="22"/>
      <c r="L71" s="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5B6EA-DAC9-46EB-A908-21AB7E067047}">
  <sheetPr>
    <tabColor rgb="FFFF0000"/>
  </sheetPr>
  <dimension ref="A1:L96"/>
  <sheetViews>
    <sheetView topLeftCell="A84" workbookViewId="0">
      <selection activeCell="F96" sqref="F96"/>
    </sheetView>
  </sheetViews>
  <sheetFormatPr defaultColWidth="8.88671875" defaultRowHeight="17.399999999999999" x14ac:dyDescent="0.35"/>
  <cols>
    <col min="1" max="1" width="35.109375" style="2" customWidth="1"/>
    <col min="2" max="2" width="0" style="2" hidden="1" customWidth="1"/>
    <col min="3" max="12" width="11.88671875" style="2" customWidth="1"/>
    <col min="13" max="16384" width="8.88671875" style="2"/>
  </cols>
  <sheetData>
    <row r="1" spans="1:12" x14ac:dyDescent="0.35">
      <c r="A1" s="1"/>
      <c r="B1" s="1"/>
      <c r="C1" s="1"/>
      <c r="D1" s="1"/>
      <c r="E1" s="1"/>
      <c r="F1" s="1"/>
      <c r="G1" s="1"/>
      <c r="H1" s="1"/>
      <c r="I1" s="1"/>
      <c r="J1" s="1"/>
      <c r="K1" s="1"/>
      <c r="L1" s="1"/>
    </row>
    <row r="2" spans="1:12" x14ac:dyDescent="0.35">
      <c r="A2" s="3" t="s">
        <v>141</v>
      </c>
      <c r="B2" s="3"/>
      <c r="C2" s="3"/>
      <c r="D2" s="3"/>
      <c r="E2" s="3"/>
      <c r="F2" s="3"/>
      <c r="G2" s="3"/>
      <c r="H2" s="3"/>
      <c r="I2" s="3"/>
      <c r="J2" s="3"/>
      <c r="K2" s="3"/>
      <c r="L2" s="3"/>
    </row>
    <row r="3" spans="1:12" x14ac:dyDescent="0.35">
      <c r="A3" s="4"/>
      <c r="B3" s="4"/>
      <c r="C3" s="4"/>
      <c r="D3" s="4"/>
      <c r="E3" s="4"/>
      <c r="F3" s="4"/>
      <c r="G3" s="4"/>
      <c r="H3" s="4"/>
      <c r="I3" s="4"/>
      <c r="J3" s="4"/>
      <c r="K3" s="4"/>
      <c r="L3" s="4"/>
    </row>
    <row r="4" spans="1:12" x14ac:dyDescent="0.35">
      <c r="A4" s="5" t="s">
        <v>1</v>
      </c>
      <c r="B4" s="5"/>
      <c r="C4" s="6" t="s">
        <v>142</v>
      </c>
      <c r="D4" s="6" t="s">
        <v>143</v>
      </c>
      <c r="E4" s="6" t="s">
        <v>144</v>
      </c>
      <c r="F4" s="6" t="s">
        <v>2</v>
      </c>
      <c r="G4" s="6" t="s">
        <v>3</v>
      </c>
      <c r="H4" s="6" t="s">
        <v>4</v>
      </c>
      <c r="I4" s="6" t="s">
        <v>5</v>
      </c>
      <c r="J4" s="6" t="s">
        <v>6</v>
      </c>
      <c r="K4" s="6" t="s">
        <v>7</v>
      </c>
      <c r="L4" s="6" t="s">
        <v>8</v>
      </c>
    </row>
    <row r="5" spans="1:12" x14ac:dyDescent="0.35">
      <c r="A5" s="7" t="s">
        <v>12</v>
      </c>
      <c r="B5" s="7"/>
      <c r="C5" s="8" t="s">
        <v>145</v>
      </c>
      <c r="D5" s="8" t="s">
        <v>146</v>
      </c>
      <c r="E5" s="8" t="s">
        <v>147</v>
      </c>
      <c r="F5" s="8" t="s">
        <v>13</v>
      </c>
      <c r="G5" s="8" t="s">
        <v>14</v>
      </c>
      <c r="H5" s="8" t="s">
        <v>15</v>
      </c>
      <c r="I5" s="8" t="s">
        <v>16</v>
      </c>
      <c r="J5" s="8" t="s">
        <v>17</v>
      </c>
      <c r="K5" s="8" t="s">
        <v>18</v>
      </c>
      <c r="L5" s="8" t="s">
        <v>19</v>
      </c>
    </row>
    <row r="6" spans="1:12" x14ac:dyDescent="0.35">
      <c r="A6" s="9" t="s">
        <v>148</v>
      </c>
      <c r="B6" s="10"/>
      <c r="C6" s="10"/>
      <c r="D6" s="10"/>
      <c r="E6" s="10"/>
      <c r="F6" s="10"/>
      <c r="G6" s="10"/>
      <c r="H6" s="10"/>
      <c r="I6" s="10"/>
      <c r="J6" s="10"/>
      <c r="K6" s="10"/>
      <c r="L6" s="10"/>
    </row>
    <row r="7" spans="1:12" x14ac:dyDescent="0.35">
      <c r="A7" s="12" t="s">
        <v>149</v>
      </c>
      <c r="B7" s="12" t="s">
        <v>150</v>
      </c>
      <c r="C7" s="13">
        <v>2310.7150000000001</v>
      </c>
      <c r="D7" s="13">
        <v>1733.7819999999999</v>
      </c>
      <c r="E7" s="13">
        <v>2822.7950000000001</v>
      </c>
      <c r="F7" s="13">
        <v>3794.4830000000002</v>
      </c>
      <c r="G7" s="13">
        <v>5018.4369999999999</v>
      </c>
      <c r="H7" s="13">
        <v>8205.5499999999993</v>
      </c>
      <c r="I7" s="13">
        <v>6027.8040000000001</v>
      </c>
      <c r="J7" s="13">
        <v>6058.4520000000002</v>
      </c>
      <c r="K7" s="13">
        <v>7137.8860000000004</v>
      </c>
      <c r="L7" s="13">
        <v>9583.7389999999996</v>
      </c>
    </row>
    <row r="8" spans="1:12" x14ac:dyDescent="0.35">
      <c r="A8" s="12" t="s">
        <v>151</v>
      </c>
      <c r="B8" s="12" t="s">
        <v>152</v>
      </c>
      <c r="C8" s="13">
        <v>1809.33</v>
      </c>
      <c r="D8" s="13">
        <v>1467.576</v>
      </c>
      <c r="E8" s="13">
        <v>2822.7950000000001</v>
      </c>
      <c r="F8" s="13">
        <v>3794.4830000000002</v>
      </c>
      <c r="G8" s="13">
        <v>5018.4369999999999</v>
      </c>
      <c r="H8" s="13">
        <v>8205.5499999999993</v>
      </c>
      <c r="I8" s="13">
        <v>6027.8040000000001</v>
      </c>
      <c r="J8" s="13">
        <v>5147.1760000000004</v>
      </c>
      <c r="K8" s="13">
        <v>7116.9129999999996</v>
      </c>
      <c r="L8" s="13">
        <v>7804.7330000000002</v>
      </c>
    </row>
    <row r="9" spans="1:12" x14ac:dyDescent="0.35">
      <c r="A9" s="12" t="s">
        <v>153</v>
      </c>
      <c r="B9" s="12" t="s">
        <v>154</v>
      </c>
      <c r="C9" s="13">
        <v>501.38499999999999</v>
      </c>
      <c r="D9" s="13">
        <v>266.20600000000002</v>
      </c>
      <c r="E9" s="13">
        <v>0</v>
      </c>
      <c r="F9" s="13">
        <v>0</v>
      </c>
      <c r="G9" s="13">
        <v>0</v>
      </c>
      <c r="H9" s="13">
        <v>0</v>
      </c>
      <c r="I9" s="13">
        <v>0</v>
      </c>
      <c r="J9" s="13">
        <v>911.27599999999995</v>
      </c>
      <c r="K9" s="13">
        <v>20.972999999999999</v>
      </c>
      <c r="L9" s="13">
        <v>1779.0060000000001</v>
      </c>
    </row>
    <row r="10" spans="1:12" x14ac:dyDescent="0.35">
      <c r="A10" s="12" t="s">
        <v>155</v>
      </c>
      <c r="B10" s="12" t="s">
        <v>156</v>
      </c>
      <c r="C10" s="13">
        <v>0</v>
      </c>
      <c r="D10" s="13">
        <v>0</v>
      </c>
      <c r="E10" s="13">
        <v>0</v>
      </c>
      <c r="F10" s="13">
        <v>362.71199999999999</v>
      </c>
      <c r="G10" s="13">
        <v>454.399</v>
      </c>
      <c r="H10" s="13">
        <v>610.81899999999996</v>
      </c>
      <c r="I10" s="13">
        <v>804.32</v>
      </c>
      <c r="J10" s="13">
        <v>988.89800000000002</v>
      </c>
      <c r="K10" s="13">
        <v>1287.0540000000001</v>
      </c>
      <c r="L10" s="13">
        <v>1335.3040000000001</v>
      </c>
    </row>
    <row r="11" spans="1:12" x14ac:dyDescent="0.35">
      <c r="A11" s="12" t="s">
        <v>157</v>
      </c>
      <c r="B11" s="12" t="s">
        <v>158</v>
      </c>
      <c r="C11" s="13">
        <v>0</v>
      </c>
      <c r="D11" s="13">
        <v>0</v>
      </c>
      <c r="E11" s="13">
        <v>0</v>
      </c>
      <c r="F11" s="13">
        <v>362.71199999999999</v>
      </c>
      <c r="G11" s="13">
        <v>454.399</v>
      </c>
      <c r="H11" s="13">
        <v>610.81899999999996</v>
      </c>
      <c r="I11" s="13">
        <v>804.32</v>
      </c>
      <c r="J11" s="13">
        <v>988.89800000000002</v>
      </c>
      <c r="K11" s="13">
        <v>1287.0540000000001</v>
      </c>
      <c r="L11" s="13">
        <v>1335.3040000000001</v>
      </c>
    </row>
    <row r="12" spans="1:12" x14ac:dyDescent="0.35">
      <c r="A12" s="12" t="s">
        <v>159</v>
      </c>
      <c r="B12" s="12" t="s">
        <v>160</v>
      </c>
      <c r="C12" s="13">
        <v>0</v>
      </c>
      <c r="D12" s="13">
        <v>0</v>
      </c>
      <c r="E12" s="13">
        <v>0</v>
      </c>
      <c r="F12" s="13">
        <v>0</v>
      </c>
      <c r="G12" s="13">
        <v>0</v>
      </c>
      <c r="H12" s="13">
        <v>0</v>
      </c>
      <c r="I12" s="13">
        <v>0</v>
      </c>
      <c r="J12" s="13">
        <v>0</v>
      </c>
      <c r="K12" s="13">
        <v>0</v>
      </c>
      <c r="L12" s="13">
        <v>0</v>
      </c>
    </row>
    <row r="13" spans="1:12" x14ac:dyDescent="0.35">
      <c r="A13" s="12" t="s">
        <v>161</v>
      </c>
      <c r="B13" s="12" t="s">
        <v>162</v>
      </c>
      <c r="C13" s="13">
        <v>0</v>
      </c>
      <c r="D13" s="13">
        <v>0</v>
      </c>
      <c r="E13" s="13">
        <v>0</v>
      </c>
      <c r="F13" s="13">
        <v>0</v>
      </c>
      <c r="G13" s="13">
        <v>0</v>
      </c>
      <c r="H13" s="13">
        <v>0</v>
      </c>
      <c r="I13" s="13">
        <v>0</v>
      </c>
      <c r="J13" s="13">
        <v>0</v>
      </c>
      <c r="K13" s="13">
        <v>0</v>
      </c>
      <c r="L13" s="13">
        <v>0</v>
      </c>
    </row>
    <row r="14" spans="1:12" x14ac:dyDescent="0.35">
      <c r="A14" s="12" t="s">
        <v>163</v>
      </c>
      <c r="B14" s="12" t="s">
        <v>164</v>
      </c>
      <c r="C14" s="13">
        <v>0</v>
      </c>
      <c r="D14" s="13">
        <v>0</v>
      </c>
      <c r="E14" s="13">
        <v>0</v>
      </c>
      <c r="F14" s="13">
        <v>0</v>
      </c>
      <c r="G14" s="13">
        <v>0</v>
      </c>
      <c r="H14" s="13">
        <v>0</v>
      </c>
      <c r="I14" s="13">
        <v>0</v>
      </c>
      <c r="J14" s="13">
        <v>0</v>
      </c>
      <c r="K14" s="13">
        <v>0</v>
      </c>
      <c r="L14" s="13">
        <v>0</v>
      </c>
    </row>
    <row r="15" spans="1:12" x14ac:dyDescent="0.35">
      <c r="A15" s="12" t="s">
        <v>165</v>
      </c>
      <c r="B15" s="12" t="s">
        <v>166</v>
      </c>
      <c r="C15" s="13">
        <v>0</v>
      </c>
      <c r="D15" s="13">
        <v>0</v>
      </c>
      <c r="E15" s="13">
        <v>0</v>
      </c>
      <c r="F15" s="13">
        <v>0</v>
      </c>
      <c r="G15" s="13">
        <v>0</v>
      </c>
      <c r="H15" s="13">
        <v>0</v>
      </c>
      <c r="I15" s="13">
        <v>0</v>
      </c>
      <c r="J15" s="13">
        <v>0</v>
      </c>
      <c r="K15" s="13">
        <v>0</v>
      </c>
      <c r="L15" s="13">
        <v>0</v>
      </c>
    </row>
    <row r="16" spans="1:12" x14ac:dyDescent="0.35">
      <c r="A16" s="12" t="s">
        <v>167</v>
      </c>
      <c r="B16" s="12" t="s">
        <v>168</v>
      </c>
      <c r="C16" s="13">
        <v>0</v>
      </c>
      <c r="D16" s="13">
        <v>0</v>
      </c>
      <c r="E16" s="13">
        <v>0</v>
      </c>
      <c r="F16" s="13">
        <v>0</v>
      </c>
      <c r="G16" s="13">
        <v>0</v>
      </c>
      <c r="H16" s="13">
        <v>0</v>
      </c>
      <c r="I16" s="13">
        <v>0</v>
      </c>
      <c r="J16" s="13">
        <v>0</v>
      </c>
      <c r="K16" s="13">
        <v>0</v>
      </c>
      <c r="L16" s="13">
        <v>0</v>
      </c>
    </row>
    <row r="17" spans="1:12" x14ac:dyDescent="0.35">
      <c r="A17" s="12" t="s">
        <v>169</v>
      </c>
      <c r="B17" s="12" t="s">
        <v>170</v>
      </c>
      <c r="C17" s="13">
        <v>0</v>
      </c>
      <c r="D17" s="13">
        <v>0</v>
      </c>
      <c r="E17" s="13">
        <v>0</v>
      </c>
      <c r="F17" s="13">
        <v>0</v>
      </c>
      <c r="G17" s="13">
        <v>0</v>
      </c>
      <c r="H17" s="13">
        <v>0</v>
      </c>
      <c r="I17" s="13">
        <v>0</v>
      </c>
      <c r="J17" s="13">
        <v>0</v>
      </c>
      <c r="K17" s="13">
        <v>0</v>
      </c>
      <c r="L17" s="13">
        <v>0</v>
      </c>
    </row>
    <row r="18" spans="1:12" x14ac:dyDescent="0.35">
      <c r="A18" s="12" t="s">
        <v>171</v>
      </c>
      <c r="B18" s="12" t="s">
        <v>172</v>
      </c>
      <c r="C18" s="13">
        <v>3121.125</v>
      </c>
      <c r="D18" s="13">
        <v>3986.509</v>
      </c>
      <c r="E18" s="13">
        <v>4847.1790000000001</v>
      </c>
      <c r="F18" s="13">
        <v>5536.94</v>
      </c>
      <c r="G18" s="13">
        <v>705.66800000000001</v>
      </c>
      <c r="H18" s="13">
        <v>945.21100000000001</v>
      </c>
      <c r="I18" s="13">
        <v>1237.701</v>
      </c>
      <c r="J18" s="13">
        <v>2219.123</v>
      </c>
      <c r="K18" s="13">
        <v>1493.193</v>
      </c>
      <c r="L18" s="13">
        <v>2181.3359999999998</v>
      </c>
    </row>
    <row r="19" spans="1:12" x14ac:dyDescent="0.35">
      <c r="A19" s="12" t="s">
        <v>173</v>
      </c>
      <c r="B19" s="12" t="s">
        <v>174</v>
      </c>
      <c r="C19" s="13" t="s">
        <v>61</v>
      </c>
      <c r="D19" s="13" t="s">
        <v>61</v>
      </c>
      <c r="E19" s="13" t="s">
        <v>61</v>
      </c>
      <c r="F19" s="13">
        <v>178.833</v>
      </c>
      <c r="G19" s="13">
        <v>180.999</v>
      </c>
      <c r="H19" s="13">
        <v>203.042</v>
      </c>
      <c r="I19" s="13">
        <v>323.81799999999998</v>
      </c>
      <c r="J19" s="13">
        <v>392.73500000000001</v>
      </c>
      <c r="K19" s="13">
        <v>408.93599999999998</v>
      </c>
      <c r="L19" s="13">
        <v>431.92399999999998</v>
      </c>
    </row>
    <row r="20" spans="1:12" x14ac:dyDescent="0.35">
      <c r="A20" s="12" t="s">
        <v>175</v>
      </c>
      <c r="B20" s="12" t="s">
        <v>176</v>
      </c>
      <c r="C20" s="13">
        <v>0</v>
      </c>
      <c r="D20" s="13">
        <v>0</v>
      </c>
      <c r="E20" s="13">
        <v>0</v>
      </c>
      <c r="F20" s="13">
        <v>0</v>
      </c>
      <c r="G20" s="13">
        <v>0</v>
      </c>
      <c r="H20" s="13">
        <v>0</v>
      </c>
      <c r="I20" s="13">
        <v>0</v>
      </c>
      <c r="J20" s="13">
        <v>0</v>
      </c>
      <c r="K20" s="13">
        <v>0</v>
      </c>
      <c r="L20" s="13">
        <v>0</v>
      </c>
    </row>
    <row r="21" spans="1:12" x14ac:dyDescent="0.35">
      <c r="A21" s="12" t="s">
        <v>177</v>
      </c>
      <c r="B21" s="12" t="s">
        <v>178</v>
      </c>
      <c r="C21" s="13">
        <v>17.100000000000001</v>
      </c>
      <c r="D21" s="13">
        <v>19.7</v>
      </c>
      <c r="E21" s="13" t="s">
        <v>61</v>
      </c>
      <c r="F21" s="13" t="s">
        <v>61</v>
      </c>
      <c r="G21" s="13" t="s">
        <v>61</v>
      </c>
      <c r="H21" s="13" t="s">
        <v>61</v>
      </c>
      <c r="I21" s="13" t="s">
        <v>61</v>
      </c>
      <c r="J21" s="13" t="s">
        <v>61</v>
      </c>
      <c r="K21" s="13" t="s">
        <v>61</v>
      </c>
      <c r="L21" s="13" t="s">
        <v>61</v>
      </c>
    </row>
    <row r="22" spans="1:12" x14ac:dyDescent="0.35">
      <c r="A22" s="12" t="s">
        <v>179</v>
      </c>
      <c r="B22" s="12" t="s">
        <v>180</v>
      </c>
      <c r="C22" s="13">
        <v>3104.0250000000001</v>
      </c>
      <c r="D22" s="13">
        <v>3966.8090000000002</v>
      </c>
      <c r="E22" s="13">
        <v>4847.1790000000001</v>
      </c>
      <c r="F22" s="13">
        <v>5358.107</v>
      </c>
      <c r="G22" s="13">
        <v>524.66899999999998</v>
      </c>
      <c r="H22" s="13">
        <v>742.16899999999998</v>
      </c>
      <c r="I22" s="13">
        <v>913.88300000000004</v>
      </c>
      <c r="J22" s="13">
        <v>1826.3879999999999</v>
      </c>
      <c r="K22" s="13">
        <v>1084.2570000000001</v>
      </c>
      <c r="L22" s="13">
        <v>1749.412</v>
      </c>
    </row>
    <row r="23" spans="1:12" x14ac:dyDescent="0.35">
      <c r="A23" s="9" t="s">
        <v>181</v>
      </c>
      <c r="B23" s="9" t="s">
        <v>182</v>
      </c>
      <c r="C23" s="15">
        <v>5431.84</v>
      </c>
      <c r="D23" s="15">
        <v>5720.2910000000002</v>
      </c>
      <c r="E23" s="15">
        <v>7669.9740000000002</v>
      </c>
      <c r="F23" s="15">
        <v>9694.1350000000002</v>
      </c>
      <c r="G23" s="15">
        <v>6178.5039999999999</v>
      </c>
      <c r="H23" s="15">
        <v>9761.58</v>
      </c>
      <c r="I23" s="15">
        <v>8069.8249999999998</v>
      </c>
      <c r="J23" s="15">
        <v>9266.473</v>
      </c>
      <c r="K23" s="15">
        <v>9918.1329999999998</v>
      </c>
      <c r="L23" s="15">
        <v>13100.379000000001</v>
      </c>
    </row>
    <row r="24" spans="1:12" x14ac:dyDescent="0.35">
      <c r="A24" s="12" t="s">
        <v>183</v>
      </c>
      <c r="B24" s="12" t="s">
        <v>184</v>
      </c>
      <c r="C24" s="13">
        <v>173.41200000000001</v>
      </c>
      <c r="D24" s="13">
        <v>250.39500000000001</v>
      </c>
      <c r="E24" s="13">
        <v>319.404</v>
      </c>
      <c r="F24" s="13">
        <v>418.28100000000001</v>
      </c>
      <c r="G24" s="13">
        <v>2097.5059999999999</v>
      </c>
      <c r="H24" s="13">
        <v>2997.9090000000001</v>
      </c>
      <c r="I24" s="13">
        <v>3770.0259999999998</v>
      </c>
      <c r="J24" s="13">
        <v>3625.3789999999999</v>
      </c>
      <c r="K24" s="13">
        <v>3568.3429999999998</v>
      </c>
      <c r="L24" s="13">
        <v>3696.0659999999998</v>
      </c>
    </row>
    <row r="25" spans="1:12" x14ac:dyDescent="0.35">
      <c r="A25" s="12" t="s">
        <v>185</v>
      </c>
      <c r="B25" s="12" t="s">
        <v>186</v>
      </c>
      <c r="C25" s="13">
        <v>470.75799999999998</v>
      </c>
      <c r="D25" s="13">
        <v>544.60400000000004</v>
      </c>
      <c r="E25" s="13">
        <v>641.21799999999996</v>
      </c>
      <c r="F25" s="13">
        <v>786.8</v>
      </c>
      <c r="G25" s="13">
        <v>2513.511</v>
      </c>
      <c r="H25" s="13">
        <v>3492.6990000000001</v>
      </c>
      <c r="I25" s="13">
        <v>4386.3320000000003</v>
      </c>
      <c r="J25" s="13">
        <v>4379.12</v>
      </c>
      <c r="K25" s="13">
        <v>4423.3860000000004</v>
      </c>
      <c r="L25" s="13">
        <v>4613.6030000000001</v>
      </c>
    </row>
    <row r="26" spans="1:12" x14ac:dyDescent="0.35">
      <c r="A26" s="12" t="s">
        <v>187</v>
      </c>
      <c r="B26" s="12" t="s">
        <v>188</v>
      </c>
      <c r="C26" s="13">
        <v>297.346</v>
      </c>
      <c r="D26" s="13">
        <v>294.209</v>
      </c>
      <c r="E26" s="13">
        <v>321.81400000000002</v>
      </c>
      <c r="F26" s="13">
        <v>368.51900000000001</v>
      </c>
      <c r="G26" s="13">
        <v>416.005</v>
      </c>
      <c r="H26" s="13">
        <v>494.79</v>
      </c>
      <c r="I26" s="13">
        <v>616.30600000000004</v>
      </c>
      <c r="J26" s="13">
        <v>753.74099999999999</v>
      </c>
      <c r="K26" s="13">
        <v>855.04300000000001</v>
      </c>
      <c r="L26" s="13">
        <v>917.53700000000003</v>
      </c>
    </row>
    <row r="27" spans="1:12" x14ac:dyDescent="0.35">
      <c r="A27" s="12" t="s">
        <v>189</v>
      </c>
      <c r="B27" s="12" t="s">
        <v>190</v>
      </c>
      <c r="C27" s="13">
        <v>0</v>
      </c>
      <c r="D27" s="13">
        <v>0</v>
      </c>
      <c r="E27" s="13">
        <v>0</v>
      </c>
      <c r="F27" s="13">
        <v>0</v>
      </c>
      <c r="G27" s="13">
        <v>0</v>
      </c>
      <c r="H27" s="13">
        <v>0</v>
      </c>
      <c r="I27" s="13">
        <v>0</v>
      </c>
      <c r="J27" s="13">
        <v>0</v>
      </c>
      <c r="K27" s="13">
        <v>0</v>
      </c>
      <c r="L27" s="13">
        <v>0</v>
      </c>
    </row>
    <row r="28" spans="1:12" x14ac:dyDescent="0.35">
      <c r="A28" s="12" t="s">
        <v>191</v>
      </c>
      <c r="B28" s="12" t="s">
        <v>192</v>
      </c>
      <c r="C28" s="13">
        <v>4597.6189999999997</v>
      </c>
      <c r="D28" s="13">
        <v>7615.924</v>
      </c>
      <c r="E28" s="13">
        <v>11023.364</v>
      </c>
      <c r="F28" s="13">
        <v>15861.984</v>
      </c>
      <c r="G28" s="13">
        <v>25699.702000000001</v>
      </c>
      <c r="H28" s="13">
        <v>26520.87</v>
      </c>
      <c r="I28" s="13">
        <v>32744.812000000002</v>
      </c>
      <c r="J28" s="13">
        <v>35702.915999999997</v>
      </c>
      <c r="K28" s="13">
        <v>35245.516000000003</v>
      </c>
      <c r="L28" s="13">
        <v>36833.928999999996</v>
      </c>
    </row>
    <row r="29" spans="1:12" x14ac:dyDescent="0.35">
      <c r="A29" s="12" t="s">
        <v>193</v>
      </c>
      <c r="B29" s="12" t="s">
        <v>194</v>
      </c>
      <c r="C29" s="13">
        <v>0</v>
      </c>
      <c r="D29" s="13">
        <v>0</v>
      </c>
      <c r="E29" s="13">
        <v>1469.654</v>
      </c>
      <c r="F29" s="13">
        <v>3616.9679999999998</v>
      </c>
      <c r="G29" s="13">
        <v>24504.566999999999</v>
      </c>
      <c r="H29" s="13">
        <v>25383.95</v>
      </c>
      <c r="I29" s="13">
        <v>30919.539000000001</v>
      </c>
      <c r="J29" s="13">
        <v>32736.713</v>
      </c>
      <c r="K29" s="13">
        <v>31658.056</v>
      </c>
      <c r="L29" s="13">
        <v>32452.462</v>
      </c>
    </row>
    <row r="30" spans="1:12" x14ac:dyDescent="0.35">
      <c r="A30" s="17" t="s">
        <v>195</v>
      </c>
      <c r="B30" s="17" t="s">
        <v>196</v>
      </c>
      <c r="C30" s="18">
        <v>0</v>
      </c>
      <c r="D30" s="18">
        <v>0</v>
      </c>
      <c r="E30" s="18">
        <v>0</v>
      </c>
      <c r="F30" s="18">
        <v>0</v>
      </c>
      <c r="G30" s="18">
        <v>0</v>
      </c>
      <c r="H30" s="18">
        <v>0</v>
      </c>
      <c r="I30" s="18">
        <v>0</v>
      </c>
      <c r="J30" s="18">
        <v>0</v>
      </c>
      <c r="K30" s="18">
        <v>0</v>
      </c>
      <c r="L30" s="18">
        <v>0</v>
      </c>
    </row>
    <row r="31" spans="1:12" x14ac:dyDescent="0.35">
      <c r="A31" s="17" t="s">
        <v>197</v>
      </c>
      <c r="B31" s="17" t="s">
        <v>198</v>
      </c>
      <c r="C31" s="18">
        <v>0</v>
      </c>
      <c r="D31" s="18">
        <v>0</v>
      </c>
      <c r="E31" s="18">
        <v>1469.654</v>
      </c>
      <c r="F31" s="18">
        <v>3616.9679999999998</v>
      </c>
      <c r="G31" s="18">
        <v>24504.566999999999</v>
      </c>
      <c r="H31" s="18">
        <v>25383.95</v>
      </c>
      <c r="I31" s="18">
        <v>30919.539000000001</v>
      </c>
      <c r="J31" s="18">
        <v>32736.713</v>
      </c>
      <c r="K31" s="18">
        <v>31658.056</v>
      </c>
      <c r="L31" s="18">
        <v>32452.462</v>
      </c>
    </row>
    <row r="32" spans="1:12" x14ac:dyDescent="0.35">
      <c r="A32" s="12" t="s">
        <v>177</v>
      </c>
      <c r="B32" s="12" t="s">
        <v>199</v>
      </c>
      <c r="C32" s="13">
        <v>180.57300000000001</v>
      </c>
      <c r="D32" s="13">
        <v>227.24799999999999</v>
      </c>
      <c r="E32" s="13">
        <v>478.26600000000002</v>
      </c>
      <c r="F32" s="13">
        <v>564.42499999999995</v>
      </c>
      <c r="G32" s="13">
        <v>658.20600000000002</v>
      </c>
      <c r="H32" s="13">
        <v>589.09100000000001</v>
      </c>
      <c r="I32" s="13">
        <v>148.095</v>
      </c>
      <c r="J32" s="13">
        <v>261.541</v>
      </c>
      <c r="K32" s="13">
        <v>874.55</v>
      </c>
      <c r="L32" s="13">
        <v>1177.558</v>
      </c>
    </row>
    <row r="33" spans="1:12" x14ac:dyDescent="0.35">
      <c r="A33" s="12" t="s">
        <v>175</v>
      </c>
      <c r="B33" s="12" t="s">
        <v>200</v>
      </c>
      <c r="C33" s="13">
        <v>0</v>
      </c>
      <c r="D33" s="13">
        <v>0</v>
      </c>
      <c r="E33" s="13">
        <v>0</v>
      </c>
      <c r="F33" s="13">
        <v>0</v>
      </c>
      <c r="G33" s="13">
        <v>0</v>
      </c>
      <c r="H33" s="13">
        <v>0</v>
      </c>
      <c r="I33" s="13">
        <v>0</v>
      </c>
      <c r="J33" s="13">
        <v>0</v>
      </c>
      <c r="K33" s="13">
        <v>0</v>
      </c>
      <c r="L33" s="13">
        <v>0</v>
      </c>
    </row>
    <row r="34" spans="1:12" x14ac:dyDescent="0.35">
      <c r="A34" s="12" t="s">
        <v>201</v>
      </c>
      <c r="B34" s="12" t="s">
        <v>202</v>
      </c>
      <c r="C34" s="13">
        <v>4417.0460000000003</v>
      </c>
      <c r="D34" s="13">
        <v>7388.6760000000004</v>
      </c>
      <c r="E34" s="13">
        <v>9075.4439999999995</v>
      </c>
      <c r="F34" s="13">
        <v>11680.591</v>
      </c>
      <c r="G34" s="13">
        <v>536.92899999999997</v>
      </c>
      <c r="H34" s="13">
        <v>547.82899999999995</v>
      </c>
      <c r="I34" s="13">
        <v>1677.1780000000001</v>
      </c>
      <c r="J34" s="13">
        <v>2704.6619999999998</v>
      </c>
      <c r="K34" s="13">
        <v>2712.91</v>
      </c>
      <c r="L34" s="13">
        <v>3203.9090000000001</v>
      </c>
    </row>
    <row r="35" spans="1:12" x14ac:dyDescent="0.35">
      <c r="A35" s="9" t="s">
        <v>203</v>
      </c>
      <c r="B35" s="9" t="s">
        <v>204</v>
      </c>
      <c r="C35" s="15">
        <v>4771.0309999999999</v>
      </c>
      <c r="D35" s="15">
        <v>7866.3190000000004</v>
      </c>
      <c r="E35" s="15">
        <v>11342.768</v>
      </c>
      <c r="F35" s="15">
        <v>16280.264999999999</v>
      </c>
      <c r="G35" s="15">
        <v>27797.207999999999</v>
      </c>
      <c r="H35" s="15">
        <v>29518.778999999999</v>
      </c>
      <c r="I35" s="15">
        <v>36514.838000000003</v>
      </c>
      <c r="J35" s="15">
        <v>39328.294999999998</v>
      </c>
      <c r="K35" s="15">
        <v>38813.858999999997</v>
      </c>
      <c r="L35" s="15">
        <v>40529.995000000003</v>
      </c>
    </row>
    <row r="36" spans="1:12" x14ac:dyDescent="0.35">
      <c r="A36" s="9" t="s">
        <v>148</v>
      </c>
      <c r="B36" s="9" t="s">
        <v>205</v>
      </c>
      <c r="C36" s="15">
        <v>10202.870999999999</v>
      </c>
      <c r="D36" s="15">
        <v>13586.61</v>
      </c>
      <c r="E36" s="15">
        <v>19012.741999999998</v>
      </c>
      <c r="F36" s="15">
        <v>25974.400000000001</v>
      </c>
      <c r="G36" s="15">
        <v>33975.712</v>
      </c>
      <c r="H36" s="15">
        <v>39280.358999999997</v>
      </c>
      <c r="I36" s="15">
        <v>44584.663</v>
      </c>
      <c r="J36" s="15">
        <v>48594.767999999996</v>
      </c>
      <c r="K36" s="15">
        <v>48731.991999999998</v>
      </c>
      <c r="L36" s="15">
        <v>53630.374000000003</v>
      </c>
    </row>
    <row r="37" spans="1:12" x14ac:dyDescent="0.35">
      <c r="A37" s="9"/>
      <c r="B37" s="10"/>
      <c r="C37" s="10"/>
      <c r="D37" s="10"/>
      <c r="E37" s="10"/>
      <c r="F37" s="10"/>
      <c r="G37" s="10"/>
      <c r="H37" s="10"/>
      <c r="I37" s="10"/>
      <c r="J37" s="10"/>
      <c r="K37" s="10"/>
      <c r="L37" s="10"/>
    </row>
    <row r="38" spans="1:12" x14ac:dyDescent="0.35">
      <c r="A38" s="9" t="s">
        <v>206</v>
      </c>
      <c r="B38" s="10"/>
      <c r="C38" s="10"/>
      <c r="D38" s="10"/>
      <c r="E38" s="10"/>
      <c r="F38" s="10"/>
      <c r="G38" s="10"/>
      <c r="H38" s="10"/>
      <c r="I38" s="10"/>
      <c r="J38" s="10"/>
      <c r="K38" s="10"/>
      <c r="L38" s="10"/>
    </row>
    <row r="39" spans="1:12" x14ac:dyDescent="0.35">
      <c r="A39" s="12" t="s">
        <v>207</v>
      </c>
      <c r="B39" s="12" t="s">
        <v>208</v>
      </c>
      <c r="C39" s="13">
        <v>393.88</v>
      </c>
      <c r="D39" s="13">
        <v>510.47399999999999</v>
      </c>
      <c r="E39" s="13">
        <v>674.649</v>
      </c>
      <c r="F39" s="13">
        <v>1044.8589999999999</v>
      </c>
      <c r="G39" s="13">
        <v>1326.768</v>
      </c>
      <c r="H39" s="13">
        <v>1502.1569999999999</v>
      </c>
      <c r="I39" s="13">
        <v>1971.645</v>
      </c>
      <c r="J39" s="13">
        <v>1830.1780000000001</v>
      </c>
      <c r="K39" s="13">
        <v>2168.06</v>
      </c>
      <c r="L39" s="13">
        <v>2627.971</v>
      </c>
    </row>
    <row r="40" spans="1:12" x14ac:dyDescent="0.35">
      <c r="A40" s="12" t="s">
        <v>209</v>
      </c>
      <c r="B40" s="12" t="s">
        <v>210</v>
      </c>
      <c r="C40" s="13">
        <v>253.49100000000001</v>
      </c>
      <c r="D40" s="13">
        <v>312.84199999999998</v>
      </c>
      <c r="E40" s="13">
        <v>359.55500000000001</v>
      </c>
      <c r="F40" s="13">
        <v>562.98500000000001</v>
      </c>
      <c r="G40" s="13">
        <v>674.34699999999998</v>
      </c>
      <c r="H40" s="13">
        <v>656.18299999999999</v>
      </c>
      <c r="I40" s="13">
        <v>837.48299999999995</v>
      </c>
      <c r="J40" s="13">
        <v>671.51300000000003</v>
      </c>
      <c r="K40" s="13">
        <v>747.41200000000003</v>
      </c>
      <c r="L40" s="13">
        <v>899.90899999999999</v>
      </c>
    </row>
    <row r="41" spans="1:12" x14ac:dyDescent="0.35">
      <c r="A41" s="12" t="s">
        <v>211</v>
      </c>
      <c r="B41" s="12" t="s">
        <v>212</v>
      </c>
      <c r="C41" s="13">
        <v>0</v>
      </c>
      <c r="D41" s="13">
        <v>0</v>
      </c>
      <c r="E41" s="13">
        <v>0</v>
      </c>
      <c r="F41" s="13">
        <v>0</v>
      </c>
      <c r="G41" s="13" t="s">
        <v>61</v>
      </c>
      <c r="H41" s="13" t="s">
        <v>61</v>
      </c>
      <c r="I41" s="13" t="s">
        <v>61</v>
      </c>
      <c r="J41" s="13" t="s">
        <v>61</v>
      </c>
      <c r="K41" s="13" t="s">
        <v>61</v>
      </c>
      <c r="L41" s="13" t="s">
        <v>61</v>
      </c>
    </row>
    <row r="42" spans="1:12" x14ac:dyDescent="0.35">
      <c r="A42" s="12" t="s">
        <v>213</v>
      </c>
      <c r="B42" s="12" t="s">
        <v>214</v>
      </c>
      <c r="C42" s="13">
        <v>0</v>
      </c>
      <c r="D42" s="13">
        <v>0</v>
      </c>
      <c r="E42" s="13">
        <v>0</v>
      </c>
      <c r="F42" s="13">
        <v>0</v>
      </c>
      <c r="G42" s="13" t="s">
        <v>61</v>
      </c>
      <c r="H42" s="13" t="s">
        <v>61</v>
      </c>
      <c r="I42" s="13" t="s">
        <v>61</v>
      </c>
      <c r="J42" s="13" t="s">
        <v>61</v>
      </c>
      <c r="K42" s="13" t="s">
        <v>61</v>
      </c>
      <c r="L42" s="13" t="s">
        <v>61</v>
      </c>
    </row>
    <row r="43" spans="1:12" x14ac:dyDescent="0.35">
      <c r="A43" s="12" t="s">
        <v>215</v>
      </c>
      <c r="B43" s="12" t="s">
        <v>216</v>
      </c>
      <c r="C43" s="13">
        <v>140.38900000000001</v>
      </c>
      <c r="D43" s="13">
        <v>197.63200000000001</v>
      </c>
      <c r="E43" s="13">
        <v>315.09399999999999</v>
      </c>
      <c r="F43" s="13">
        <v>481.87400000000002</v>
      </c>
      <c r="G43" s="13">
        <v>652.42100000000005</v>
      </c>
      <c r="H43" s="13">
        <v>845.97400000000005</v>
      </c>
      <c r="I43" s="13">
        <v>1134.162</v>
      </c>
      <c r="J43" s="13">
        <v>1158.665</v>
      </c>
      <c r="K43" s="13">
        <v>1420.6479999999999</v>
      </c>
      <c r="L43" s="13">
        <v>1728.0619999999999</v>
      </c>
    </row>
    <row r="44" spans="1:12" x14ac:dyDescent="0.35">
      <c r="A44" s="12" t="s">
        <v>217</v>
      </c>
      <c r="B44" s="12" t="s">
        <v>218</v>
      </c>
      <c r="C44" s="13">
        <v>0</v>
      </c>
      <c r="D44" s="13">
        <v>0</v>
      </c>
      <c r="E44" s="13">
        <v>0</v>
      </c>
      <c r="F44" s="13">
        <v>0</v>
      </c>
      <c r="G44" s="13">
        <v>190.62200000000001</v>
      </c>
      <c r="H44" s="13">
        <v>756.1</v>
      </c>
      <c r="I44" s="13">
        <v>1015.0119999999999</v>
      </c>
      <c r="J44" s="13">
        <v>355.98500000000001</v>
      </c>
      <c r="K44" s="13">
        <v>783.15599999999995</v>
      </c>
      <c r="L44" s="13">
        <v>2212.9349999999999</v>
      </c>
    </row>
    <row r="45" spans="1:12" x14ac:dyDescent="0.35">
      <c r="A45" s="12" t="s">
        <v>219</v>
      </c>
      <c r="B45" s="12" t="s">
        <v>220</v>
      </c>
      <c r="C45" s="13">
        <v>0</v>
      </c>
      <c r="D45" s="13">
        <v>0</v>
      </c>
      <c r="E45" s="13">
        <v>0</v>
      </c>
      <c r="F45" s="13">
        <v>0</v>
      </c>
      <c r="G45" s="13">
        <v>0</v>
      </c>
      <c r="H45" s="13">
        <v>499.87799999999999</v>
      </c>
      <c r="I45" s="13">
        <v>699.82299999999998</v>
      </c>
      <c r="J45" s="13">
        <v>0</v>
      </c>
      <c r="K45" s="13">
        <v>399.84399999999999</v>
      </c>
      <c r="L45" s="13">
        <v>1784.453</v>
      </c>
    </row>
    <row r="46" spans="1:12" x14ac:dyDescent="0.35">
      <c r="A46" s="12" t="s">
        <v>221</v>
      </c>
      <c r="B46" s="12" t="s">
        <v>222</v>
      </c>
      <c r="C46" s="13" t="s">
        <v>61</v>
      </c>
      <c r="D46" s="13" t="s">
        <v>61</v>
      </c>
      <c r="E46" s="13" t="s">
        <v>61</v>
      </c>
      <c r="F46" s="13" t="s">
        <v>61</v>
      </c>
      <c r="G46" s="13">
        <v>190.62200000000001</v>
      </c>
      <c r="H46" s="13">
        <v>256.22199999999998</v>
      </c>
      <c r="I46" s="13">
        <v>315.18900000000002</v>
      </c>
      <c r="J46" s="13">
        <v>355.98500000000001</v>
      </c>
      <c r="K46" s="13">
        <v>383.31200000000001</v>
      </c>
      <c r="L46" s="13">
        <v>428.48200000000003</v>
      </c>
    </row>
    <row r="47" spans="1:12" x14ac:dyDescent="0.35">
      <c r="A47" s="17" t="s">
        <v>223</v>
      </c>
      <c r="B47" s="17" t="s">
        <v>224</v>
      </c>
      <c r="C47" s="18" t="s">
        <v>61</v>
      </c>
      <c r="D47" s="18" t="s">
        <v>61</v>
      </c>
      <c r="E47" s="18" t="s">
        <v>61</v>
      </c>
      <c r="F47" s="18" t="s">
        <v>61</v>
      </c>
      <c r="G47" s="18" t="s">
        <v>61</v>
      </c>
      <c r="H47" s="18">
        <v>0</v>
      </c>
      <c r="I47" s="18">
        <v>0</v>
      </c>
      <c r="J47" s="18">
        <v>0</v>
      </c>
      <c r="K47" s="18">
        <v>0</v>
      </c>
      <c r="L47" s="18">
        <v>0</v>
      </c>
    </row>
    <row r="48" spans="1:12" x14ac:dyDescent="0.35">
      <c r="A48" s="17" t="s">
        <v>225</v>
      </c>
      <c r="B48" s="17" t="s">
        <v>226</v>
      </c>
      <c r="C48" s="18" t="s">
        <v>61</v>
      </c>
      <c r="D48" s="18" t="s">
        <v>61</v>
      </c>
      <c r="E48" s="18" t="s">
        <v>61</v>
      </c>
      <c r="F48" s="18" t="s">
        <v>61</v>
      </c>
      <c r="G48" s="18">
        <v>190.62200000000001</v>
      </c>
      <c r="H48" s="18">
        <v>256.22199999999998</v>
      </c>
      <c r="I48" s="18">
        <v>315.18900000000002</v>
      </c>
      <c r="J48" s="18">
        <v>355.98500000000001</v>
      </c>
      <c r="K48" s="18">
        <v>383.31200000000001</v>
      </c>
      <c r="L48" s="18">
        <v>428.48200000000003</v>
      </c>
    </row>
    <row r="49" spans="1:12" x14ac:dyDescent="0.35">
      <c r="A49" s="12" t="s">
        <v>227</v>
      </c>
      <c r="B49" s="12" t="s">
        <v>228</v>
      </c>
      <c r="C49" s="13">
        <v>3135.7440000000001</v>
      </c>
      <c r="D49" s="13">
        <v>4076.183</v>
      </c>
      <c r="E49" s="13">
        <v>4791.6629999999996</v>
      </c>
      <c r="F49" s="13">
        <v>5442.4610000000002</v>
      </c>
      <c r="G49" s="13">
        <v>5338.3059999999996</v>
      </c>
      <c r="H49" s="13">
        <v>5547.5280000000002</v>
      </c>
      <c r="I49" s="13">
        <v>5502.3090000000002</v>
      </c>
      <c r="J49" s="13">
        <v>5744.8109999999997</v>
      </c>
      <c r="K49" s="13">
        <v>5909.4390000000003</v>
      </c>
      <c r="L49" s="13">
        <v>5914.4939999999997</v>
      </c>
    </row>
    <row r="50" spans="1:12" x14ac:dyDescent="0.35">
      <c r="A50" s="12" t="s">
        <v>229</v>
      </c>
      <c r="B50" s="12" t="s">
        <v>230</v>
      </c>
      <c r="C50" s="13">
        <v>346.721</v>
      </c>
      <c r="D50" s="13">
        <v>443.47199999999998</v>
      </c>
      <c r="E50" s="13">
        <v>618.62199999999996</v>
      </c>
      <c r="F50" s="13">
        <v>760.899</v>
      </c>
      <c r="G50" s="13">
        <v>924.745</v>
      </c>
      <c r="H50" s="13">
        <v>1117.992</v>
      </c>
      <c r="I50" s="13">
        <v>1209.3420000000001</v>
      </c>
      <c r="J50" s="13">
        <v>1264.6610000000001</v>
      </c>
      <c r="K50" s="13">
        <v>1442.9690000000001</v>
      </c>
      <c r="L50" s="13">
        <v>1520.8130000000001</v>
      </c>
    </row>
    <row r="51" spans="1:12" x14ac:dyDescent="0.35">
      <c r="A51" s="12" t="s">
        <v>231</v>
      </c>
      <c r="B51" s="12" t="s">
        <v>232</v>
      </c>
      <c r="C51" s="13">
        <v>0</v>
      </c>
      <c r="D51" s="13">
        <v>0</v>
      </c>
      <c r="E51" s="13">
        <v>0</v>
      </c>
      <c r="F51" s="13">
        <v>0</v>
      </c>
      <c r="G51" s="13">
        <v>0</v>
      </c>
      <c r="H51" s="13">
        <v>0</v>
      </c>
      <c r="I51" s="13">
        <v>0</v>
      </c>
      <c r="J51" s="13">
        <v>0</v>
      </c>
      <c r="K51" s="13">
        <v>0</v>
      </c>
      <c r="L51" s="13">
        <v>0</v>
      </c>
    </row>
    <row r="52" spans="1:12" x14ac:dyDescent="0.35">
      <c r="A52" s="12" t="s">
        <v>233</v>
      </c>
      <c r="B52" s="12" t="s">
        <v>234</v>
      </c>
      <c r="C52" s="13">
        <v>2789.0230000000001</v>
      </c>
      <c r="D52" s="13">
        <v>3632.7109999999998</v>
      </c>
      <c r="E52" s="13">
        <v>4173.0410000000002</v>
      </c>
      <c r="F52" s="13">
        <v>4681.5619999999999</v>
      </c>
      <c r="G52" s="13">
        <v>4413.5609999999997</v>
      </c>
      <c r="H52" s="13">
        <v>4429.5360000000001</v>
      </c>
      <c r="I52" s="13">
        <v>4292.9669999999996</v>
      </c>
      <c r="J52" s="13">
        <v>4480.1499999999996</v>
      </c>
      <c r="K52" s="13">
        <v>4466.47</v>
      </c>
      <c r="L52" s="13">
        <v>4393.6809999999996</v>
      </c>
    </row>
    <row r="53" spans="1:12" x14ac:dyDescent="0.35">
      <c r="A53" s="9" t="s">
        <v>235</v>
      </c>
      <c r="B53" s="9" t="s">
        <v>236</v>
      </c>
      <c r="C53" s="15">
        <v>3529.6239999999998</v>
      </c>
      <c r="D53" s="15">
        <v>4586.6570000000002</v>
      </c>
      <c r="E53" s="15">
        <v>5466.3119999999999</v>
      </c>
      <c r="F53" s="15">
        <v>6487.32</v>
      </c>
      <c r="G53" s="15">
        <v>6855.6959999999999</v>
      </c>
      <c r="H53" s="15">
        <v>7805.7849999999999</v>
      </c>
      <c r="I53" s="15">
        <v>8488.9660000000003</v>
      </c>
      <c r="J53" s="15">
        <v>7930.9740000000002</v>
      </c>
      <c r="K53" s="15">
        <v>8860.6550000000007</v>
      </c>
      <c r="L53" s="15">
        <v>10755.4</v>
      </c>
    </row>
    <row r="54" spans="1:12" x14ac:dyDescent="0.35">
      <c r="A54" s="12" t="s">
        <v>237</v>
      </c>
      <c r="B54" s="12" t="s">
        <v>238</v>
      </c>
      <c r="C54" s="13">
        <v>2371.3620000000001</v>
      </c>
      <c r="D54" s="13">
        <v>3364.3110000000001</v>
      </c>
      <c r="E54" s="13">
        <v>6499.4319999999998</v>
      </c>
      <c r="F54" s="13">
        <v>10360.058000000001</v>
      </c>
      <c r="G54" s="13">
        <v>16181.871999999999</v>
      </c>
      <c r="H54" s="13">
        <v>17754.725999999999</v>
      </c>
      <c r="I54" s="13">
        <v>17101.558000000001</v>
      </c>
      <c r="J54" s="13">
        <v>16575.579000000002</v>
      </c>
      <c r="K54" s="13">
        <v>16190.218000000001</v>
      </c>
      <c r="L54" s="13">
        <v>15782.039000000001</v>
      </c>
    </row>
    <row r="55" spans="1:12" x14ac:dyDescent="0.35">
      <c r="A55" s="12" t="s">
        <v>239</v>
      </c>
      <c r="B55" s="12" t="s">
        <v>240</v>
      </c>
      <c r="C55" s="13">
        <v>2342.3620000000001</v>
      </c>
      <c r="D55" s="13">
        <v>3335.1109999999999</v>
      </c>
      <c r="E55" s="13">
        <v>6483.8320000000003</v>
      </c>
      <c r="F55" s="13">
        <v>10349.058000000001</v>
      </c>
      <c r="G55" s="13">
        <v>14759.26</v>
      </c>
      <c r="H55" s="13">
        <v>15809.094999999999</v>
      </c>
      <c r="I55" s="13">
        <v>14693.072</v>
      </c>
      <c r="J55" s="13">
        <v>14353.075999999999</v>
      </c>
      <c r="K55" s="13">
        <v>14143.416999999999</v>
      </c>
      <c r="L55" s="13">
        <v>13798.351000000001</v>
      </c>
    </row>
    <row r="56" spans="1:12" x14ac:dyDescent="0.35">
      <c r="A56" s="12" t="s">
        <v>241</v>
      </c>
      <c r="B56" s="12" t="s">
        <v>242</v>
      </c>
      <c r="C56" s="13">
        <v>29</v>
      </c>
      <c r="D56" s="13">
        <v>29.2</v>
      </c>
      <c r="E56" s="13">
        <v>15.6</v>
      </c>
      <c r="F56" s="13">
        <v>11</v>
      </c>
      <c r="G56" s="13">
        <v>1422.6120000000001</v>
      </c>
      <c r="H56" s="13">
        <v>1945.6310000000001</v>
      </c>
      <c r="I56" s="13">
        <v>2408.4859999999999</v>
      </c>
      <c r="J56" s="13">
        <v>2222.5030000000002</v>
      </c>
      <c r="K56" s="13">
        <v>2046.8009999999999</v>
      </c>
      <c r="L56" s="13">
        <v>1983.6880000000001</v>
      </c>
    </row>
    <row r="57" spans="1:12" x14ac:dyDescent="0.35">
      <c r="A57" s="17" t="s">
        <v>243</v>
      </c>
      <c r="B57" s="17" t="s">
        <v>244</v>
      </c>
      <c r="C57" s="18">
        <v>29</v>
      </c>
      <c r="D57" s="18">
        <v>29.2</v>
      </c>
      <c r="E57" s="18">
        <v>15.6</v>
      </c>
      <c r="F57" s="18">
        <v>11</v>
      </c>
      <c r="G57" s="18" t="s">
        <v>61</v>
      </c>
      <c r="H57" s="18">
        <v>0</v>
      </c>
      <c r="I57" s="18">
        <v>0</v>
      </c>
      <c r="J57" s="18">
        <v>0</v>
      </c>
      <c r="K57" s="18">
        <v>0</v>
      </c>
      <c r="L57" s="18">
        <v>0</v>
      </c>
    </row>
    <row r="58" spans="1:12" x14ac:dyDescent="0.35">
      <c r="A58" s="17" t="s">
        <v>245</v>
      </c>
      <c r="B58" s="17" t="s">
        <v>246</v>
      </c>
      <c r="C58" s="18" t="s">
        <v>61</v>
      </c>
      <c r="D58" s="18" t="s">
        <v>61</v>
      </c>
      <c r="E58" s="18" t="s">
        <v>61</v>
      </c>
      <c r="F58" s="18" t="s">
        <v>61</v>
      </c>
      <c r="G58" s="18">
        <v>1422.6120000000001</v>
      </c>
      <c r="H58" s="18">
        <v>1945.6310000000001</v>
      </c>
      <c r="I58" s="18">
        <v>2408.4859999999999</v>
      </c>
      <c r="J58" s="18">
        <v>2222.5030000000002</v>
      </c>
      <c r="K58" s="18">
        <v>2046.8009999999999</v>
      </c>
      <c r="L58" s="18">
        <v>1983.6880000000001</v>
      </c>
    </row>
    <row r="59" spans="1:12" x14ac:dyDescent="0.35">
      <c r="A59" s="12" t="s">
        <v>247</v>
      </c>
      <c r="B59" s="12" t="s">
        <v>248</v>
      </c>
      <c r="C59" s="13">
        <v>2078.4589999999998</v>
      </c>
      <c r="D59" s="13">
        <v>2955.8420000000001</v>
      </c>
      <c r="E59" s="13">
        <v>3465.0419999999999</v>
      </c>
      <c r="F59" s="13">
        <v>3888.2570000000001</v>
      </c>
      <c r="G59" s="13">
        <v>3355.9870000000001</v>
      </c>
      <c r="H59" s="13">
        <v>2654.6080000000002</v>
      </c>
      <c r="I59" s="13">
        <v>3144.8910000000001</v>
      </c>
      <c r="J59" s="13">
        <v>3310.8139999999999</v>
      </c>
      <c r="K59" s="13">
        <v>3092.806</v>
      </c>
      <c r="L59" s="13">
        <v>2349.3679999999999</v>
      </c>
    </row>
    <row r="60" spans="1:12" x14ac:dyDescent="0.35">
      <c r="A60" s="12" t="s">
        <v>249</v>
      </c>
      <c r="B60" s="12" t="s">
        <v>250</v>
      </c>
      <c r="C60" s="13">
        <v>0</v>
      </c>
      <c r="D60" s="13">
        <v>0</v>
      </c>
      <c r="E60" s="13">
        <v>0</v>
      </c>
      <c r="F60" s="13">
        <v>0</v>
      </c>
      <c r="G60" s="13">
        <v>0</v>
      </c>
      <c r="H60" s="13">
        <v>0</v>
      </c>
      <c r="I60" s="13">
        <v>0</v>
      </c>
      <c r="J60" s="13">
        <v>0</v>
      </c>
      <c r="K60" s="13">
        <v>0</v>
      </c>
      <c r="L60" s="13">
        <v>0</v>
      </c>
    </row>
    <row r="61" spans="1:12" x14ac:dyDescent="0.35">
      <c r="A61" s="12" t="s">
        <v>251</v>
      </c>
      <c r="B61" s="12" t="s">
        <v>252</v>
      </c>
      <c r="C61" s="13">
        <v>0</v>
      </c>
      <c r="D61" s="13">
        <v>0</v>
      </c>
      <c r="E61" s="13">
        <v>0</v>
      </c>
      <c r="F61" s="13">
        <v>0</v>
      </c>
      <c r="G61" s="13">
        <v>0</v>
      </c>
      <c r="H61" s="13">
        <v>0</v>
      </c>
      <c r="I61" s="13">
        <v>0</v>
      </c>
      <c r="J61" s="13">
        <v>0</v>
      </c>
      <c r="K61" s="13">
        <v>0</v>
      </c>
      <c r="L61" s="13">
        <v>0</v>
      </c>
    </row>
    <row r="62" spans="1:12" x14ac:dyDescent="0.35">
      <c r="A62" s="17" t="s">
        <v>253</v>
      </c>
      <c r="B62" s="17" t="s">
        <v>254</v>
      </c>
      <c r="C62" s="18">
        <v>0</v>
      </c>
      <c r="D62" s="18">
        <v>0</v>
      </c>
      <c r="E62" s="18">
        <v>0</v>
      </c>
      <c r="F62" s="18">
        <v>0</v>
      </c>
      <c r="G62" s="18">
        <v>0</v>
      </c>
      <c r="H62" s="18">
        <v>0</v>
      </c>
      <c r="I62" s="18">
        <v>0</v>
      </c>
      <c r="J62" s="18">
        <v>0</v>
      </c>
      <c r="K62" s="18">
        <v>0</v>
      </c>
      <c r="L62" s="18">
        <v>0</v>
      </c>
    </row>
    <row r="63" spans="1:12" x14ac:dyDescent="0.35">
      <c r="A63" s="17" t="s">
        <v>255</v>
      </c>
      <c r="B63" s="17" t="s">
        <v>256</v>
      </c>
      <c r="C63" s="18">
        <v>0</v>
      </c>
      <c r="D63" s="18">
        <v>0</v>
      </c>
      <c r="E63" s="18">
        <v>0</v>
      </c>
      <c r="F63" s="18">
        <v>0</v>
      </c>
      <c r="G63" s="18">
        <v>0</v>
      </c>
      <c r="H63" s="18">
        <v>0</v>
      </c>
      <c r="I63" s="18">
        <v>0</v>
      </c>
      <c r="J63" s="18">
        <v>0</v>
      </c>
      <c r="K63" s="18">
        <v>0</v>
      </c>
      <c r="L63" s="18">
        <v>0</v>
      </c>
    </row>
    <row r="64" spans="1:12" x14ac:dyDescent="0.35">
      <c r="A64" s="12" t="s">
        <v>229</v>
      </c>
      <c r="B64" s="12" t="s">
        <v>257</v>
      </c>
      <c r="C64" s="13">
        <v>0</v>
      </c>
      <c r="D64" s="13">
        <v>0</v>
      </c>
      <c r="E64" s="13">
        <v>0</v>
      </c>
      <c r="F64" s="13">
        <v>0</v>
      </c>
      <c r="G64" s="13">
        <v>0</v>
      </c>
      <c r="H64" s="13">
        <v>0</v>
      </c>
      <c r="I64" s="13">
        <v>0</v>
      </c>
      <c r="J64" s="13">
        <v>0</v>
      </c>
      <c r="K64" s="13">
        <v>0</v>
      </c>
      <c r="L64" s="13">
        <v>0</v>
      </c>
    </row>
    <row r="65" spans="1:12" x14ac:dyDescent="0.35">
      <c r="A65" s="12" t="s">
        <v>231</v>
      </c>
      <c r="B65" s="12" t="s">
        <v>258</v>
      </c>
      <c r="C65" s="13">
        <v>0</v>
      </c>
      <c r="D65" s="13">
        <v>0</v>
      </c>
      <c r="E65" s="13">
        <v>0</v>
      </c>
      <c r="F65" s="13">
        <v>0</v>
      </c>
      <c r="G65" s="13">
        <v>0</v>
      </c>
      <c r="H65" s="13">
        <v>0</v>
      </c>
      <c r="I65" s="13">
        <v>0</v>
      </c>
      <c r="J65" s="13">
        <v>0</v>
      </c>
      <c r="K65" s="13">
        <v>0</v>
      </c>
      <c r="L65" s="13">
        <v>0</v>
      </c>
    </row>
    <row r="66" spans="1:12" x14ac:dyDescent="0.35">
      <c r="A66" s="12" t="s">
        <v>259</v>
      </c>
      <c r="B66" s="12" t="s">
        <v>260</v>
      </c>
      <c r="C66" s="13">
        <v>2078.4589999999998</v>
      </c>
      <c r="D66" s="13">
        <v>2955.8420000000001</v>
      </c>
      <c r="E66" s="13">
        <v>3465.0419999999999</v>
      </c>
      <c r="F66" s="13">
        <v>3888.2570000000001</v>
      </c>
      <c r="G66" s="13">
        <v>3355.9870000000001</v>
      </c>
      <c r="H66" s="13">
        <v>2654.6080000000002</v>
      </c>
      <c r="I66" s="13">
        <v>3144.8910000000001</v>
      </c>
      <c r="J66" s="13">
        <v>3310.8139999999999</v>
      </c>
      <c r="K66" s="13">
        <v>3092.806</v>
      </c>
      <c r="L66" s="13">
        <v>2349.3679999999999</v>
      </c>
    </row>
    <row r="67" spans="1:12" x14ac:dyDescent="0.35">
      <c r="A67" s="9" t="s">
        <v>261</v>
      </c>
      <c r="B67" s="9" t="s">
        <v>262</v>
      </c>
      <c r="C67" s="15">
        <v>4449.8209999999999</v>
      </c>
      <c r="D67" s="15">
        <v>6320.1530000000002</v>
      </c>
      <c r="E67" s="15">
        <v>9964.4740000000002</v>
      </c>
      <c r="F67" s="15">
        <v>14248.315000000001</v>
      </c>
      <c r="G67" s="15">
        <v>19537.859</v>
      </c>
      <c r="H67" s="15">
        <v>20409.333999999999</v>
      </c>
      <c r="I67" s="15">
        <v>20246.449000000001</v>
      </c>
      <c r="J67" s="15">
        <v>19886.393</v>
      </c>
      <c r="K67" s="15">
        <v>19283.024000000001</v>
      </c>
      <c r="L67" s="15">
        <v>18131.406999999999</v>
      </c>
    </row>
    <row r="68" spans="1:12" x14ac:dyDescent="0.35">
      <c r="A68" s="9" t="s">
        <v>263</v>
      </c>
      <c r="B68" s="9" t="s">
        <v>264</v>
      </c>
      <c r="C68" s="15">
        <v>7979.4449999999997</v>
      </c>
      <c r="D68" s="15">
        <v>10906.81</v>
      </c>
      <c r="E68" s="15">
        <v>15430.786</v>
      </c>
      <c r="F68" s="15">
        <v>20735.634999999998</v>
      </c>
      <c r="G68" s="15">
        <v>26393.555</v>
      </c>
      <c r="H68" s="15">
        <v>28215.118999999999</v>
      </c>
      <c r="I68" s="15">
        <v>28735.415000000001</v>
      </c>
      <c r="J68" s="15">
        <v>27817.366999999998</v>
      </c>
      <c r="K68" s="15">
        <v>28143.679</v>
      </c>
      <c r="L68" s="15">
        <v>28886.807000000001</v>
      </c>
    </row>
    <row r="69" spans="1:12" x14ac:dyDescent="0.35">
      <c r="A69" s="12" t="s">
        <v>265</v>
      </c>
      <c r="B69" s="12" t="s">
        <v>266</v>
      </c>
      <c r="C69" s="13">
        <v>0</v>
      </c>
      <c r="D69" s="13">
        <v>0</v>
      </c>
      <c r="E69" s="13">
        <v>0</v>
      </c>
      <c r="F69" s="13">
        <v>0</v>
      </c>
      <c r="G69" s="13">
        <v>0</v>
      </c>
      <c r="H69" s="13">
        <v>0</v>
      </c>
      <c r="I69" s="13">
        <v>0</v>
      </c>
      <c r="J69" s="13">
        <v>0</v>
      </c>
      <c r="K69" s="13">
        <v>0</v>
      </c>
      <c r="L69" s="13">
        <v>0</v>
      </c>
    </row>
    <row r="70" spans="1:12" x14ac:dyDescent="0.35">
      <c r="A70" s="12" t="s">
        <v>267</v>
      </c>
      <c r="B70" s="12" t="s">
        <v>268</v>
      </c>
      <c r="C70" s="13">
        <v>1324.809</v>
      </c>
      <c r="D70" s="13">
        <v>1599.7619999999999</v>
      </c>
      <c r="E70" s="13">
        <v>1871.396</v>
      </c>
      <c r="F70" s="13">
        <v>2315.9879999999998</v>
      </c>
      <c r="G70" s="13">
        <v>2793.9290000000001</v>
      </c>
      <c r="H70" s="13">
        <v>3447.6979999999999</v>
      </c>
      <c r="I70" s="13">
        <v>4024.5610000000001</v>
      </c>
      <c r="J70" s="13">
        <v>4637.6009999999997</v>
      </c>
      <c r="K70" s="13">
        <v>5145.1719999999996</v>
      </c>
      <c r="L70" s="13">
        <v>6252.1260000000002</v>
      </c>
    </row>
    <row r="71" spans="1:12" x14ac:dyDescent="0.35">
      <c r="A71" s="12" t="s">
        <v>269</v>
      </c>
      <c r="B71" s="12" t="s">
        <v>270</v>
      </c>
      <c r="C71" s="13">
        <v>0.4279</v>
      </c>
      <c r="D71" s="13">
        <v>0.43009999999999998</v>
      </c>
      <c r="E71" s="13">
        <v>0.43340000000000001</v>
      </c>
      <c r="F71" s="13">
        <v>0.43659999999999999</v>
      </c>
      <c r="G71" s="13">
        <v>0.43880000000000002</v>
      </c>
      <c r="H71" s="13">
        <v>0.44290000000000002</v>
      </c>
      <c r="I71" s="13">
        <v>0.44550000000000001</v>
      </c>
      <c r="J71" s="13">
        <v>0.44690000000000002</v>
      </c>
      <c r="K71" s="13">
        <v>0.44879999999999998</v>
      </c>
      <c r="L71" s="13">
        <v>0.45369999999999999</v>
      </c>
    </row>
    <row r="72" spans="1:12" x14ac:dyDescent="0.35">
      <c r="A72" s="12" t="s">
        <v>271</v>
      </c>
      <c r="B72" s="12" t="s">
        <v>272</v>
      </c>
      <c r="C72" s="13">
        <v>1324.3811000000001</v>
      </c>
      <c r="D72" s="13">
        <v>1599.3318999999999</v>
      </c>
      <c r="E72" s="13">
        <v>1870.9626000000001</v>
      </c>
      <c r="F72" s="13">
        <v>2315.5513999999998</v>
      </c>
      <c r="G72" s="13">
        <v>2793.4902000000002</v>
      </c>
      <c r="H72" s="13">
        <v>3447.2550999999999</v>
      </c>
      <c r="I72" s="13">
        <v>4024.1154999999999</v>
      </c>
      <c r="J72" s="13">
        <v>4637.1540999999997</v>
      </c>
      <c r="K72" s="13">
        <v>5144.7232000000004</v>
      </c>
      <c r="L72" s="13">
        <v>6251.6723000000002</v>
      </c>
    </row>
    <row r="73" spans="1:12" x14ac:dyDescent="0.35">
      <c r="A73" s="12" t="s">
        <v>273</v>
      </c>
      <c r="B73" s="12" t="s">
        <v>274</v>
      </c>
      <c r="C73" s="13">
        <v>0</v>
      </c>
      <c r="D73" s="13">
        <v>0</v>
      </c>
      <c r="E73" s="13">
        <v>0</v>
      </c>
      <c r="F73" s="13">
        <v>0</v>
      </c>
      <c r="G73" s="13">
        <v>0</v>
      </c>
      <c r="H73" s="13">
        <v>0</v>
      </c>
      <c r="I73" s="13">
        <v>824.19</v>
      </c>
      <c r="J73" s="13">
        <v>824.19</v>
      </c>
      <c r="K73" s="13">
        <v>6922.2</v>
      </c>
      <c r="L73" s="13">
        <v>13171.638000000001</v>
      </c>
    </row>
    <row r="74" spans="1:12" x14ac:dyDescent="0.35">
      <c r="A74" s="12" t="s">
        <v>275</v>
      </c>
      <c r="B74" s="12" t="s">
        <v>276</v>
      </c>
      <c r="C74" s="13">
        <v>941.92499999999995</v>
      </c>
      <c r="D74" s="13">
        <v>1128.6030000000001</v>
      </c>
      <c r="E74" s="13">
        <v>1731.117</v>
      </c>
      <c r="F74" s="13">
        <v>2942.3589999999999</v>
      </c>
      <c r="G74" s="13">
        <v>4811.7489999999998</v>
      </c>
      <c r="H74" s="13">
        <v>7573.1440000000002</v>
      </c>
      <c r="I74" s="13">
        <v>12689.371999999999</v>
      </c>
      <c r="J74" s="13">
        <v>17181.295999999998</v>
      </c>
      <c r="K74" s="13">
        <v>22589.286</v>
      </c>
      <c r="L74" s="13">
        <v>31300.917000000001</v>
      </c>
    </row>
    <row r="75" spans="1:12" x14ac:dyDescent="0.35">
      <c r="A75" s="12" t="s">
        <v>277</v>
      </c>
      <c r="B75" s="12" t="s">
        <v>278</v>
      </c>
      <c r="C75" s="13">
        <v>-43.308</v>
      </c>
      <c r="D75" s="13">
        <v>-48.564999999999998</v>
      </c>
      <c r="E75" s="13">
        <v>-20.556999999999999</v>
      </c>
      <c r="F75" s="13">
        <v>-19.582000000000001</v>
      </c>
      <c r="G75" s="13">
        <v>-23.521000000000001</v>
      </c>
      <c r="H75" s="13">
        <v>44.398000000000003</v>
      </c>
      <c r="I75" s="13">
        <v>-40.494999999999997</v>
      </c>
      <c r="J75" s="13">
        <v>-217.30600000000001</v>
      </c>
      <c r="K75" s="13">
        <v>-223.94499999999999</v>
      </c>
      <c r="L75" s="13">
        <v>362.16199999999998</v>
      </c>
    </row>
    <row r="76" spans="1:12" x14ac:dyDescent="0.35">
      <c r="A76" s="9" t="s">
        <v>279</v>
      </c>
      <c r="B76" s="9" t="s">
        <v>280</v>
      </c>
      <c r="C76" s="15">
        <v>2223.4259999999999</v>
      </c>
      <c r="D76" s="15">
        <v>2679.8</v>
      </c>
      <c r="E76" s="15">
        <v>3581.9560000000001</v>
      </c>
      <c r="F76" s="15">
        <v>5238.7650000000003</v>
      </c>
      <c r="G76" s="15">
        <v>7582.1570000000002</v>
      </c>
      <c r="H76" s="15">
        <v>11065.24</v>
      </c>
      <c r="I76" s="15">
        <v>15849.248</v>
      </c>
      <c r="J76" s="15">
        <v>20777.401000000002</v>
      </c>
      <c r="K76" s="15">
        <v>20588.312999999998</v>
      </c>
      <c r="L76" s="15">
        <v>24743.566999999999</v>
      </c>
    </row>
    <row r="77" spans="1:12" x14ac:dyDescent="0.35">
      <c r="A77" s="12" t="s">
        <v>281</v>
      </c>
      <c r="B77" s="12" t="s">
        <v>282</v>
      </c>
      <c r="C77" s="13">
        <v>0</v>
      </c>
      <c r="D77" s="13">
        <v>0</v>
      </c>
      <c r="E77" s="13">
        <v>0</v>
      </c>
      <c r="F77" s="13">
        <v>0</v>
      </c>
      <c r="G77" s="13">
        <v>0</v>
      </c>
      <c r="H77" s="13">
        <v>0</v>
      </c>
      <c r="I77" s="13">
        <v>0</v>
      </c>
      <c r="J77" s="13">
        <v>0</v>
      </c>
      <c r="K77" s="13">
        <v>0</v>
      </c>
      <c r="L77" s="13">
        <v>0</v>
      </c>
    </row>
    <row r="78" spans="1:12" x14ac:dyDescent="0.35">
      <c r="A78" s="9" t="s">
        <v>283</v>
      </c>
      <c r="B78" s="9" t="s">
        <v>284</v>
      </c>
      <c r="C78" s="15">
        <v>2223.4259999999999</v>
      </c>
      <c r="D78" s="15">
        <v>2679.8</v>
      </c>
      <c r="E78" s="15">
        <v>3581.9560000000001</v>
      </c>
      <c r="F78" s="15">
        <v>5238.7650000000003</v>
      </c>
      <c r="G78" s="15">
        <v>7582.1570000000002</v>
      </c>
      <c r="H78" s="15">
        <v>11065.24</v>
      </c>
      <c r="I78" s="15">
        <v>15849.248</v>
      </c>
      <c r="J78" s="15">
        <v>20777.401000000002</v>
      </c>
      <c r="K78" s="15">
        <v>20588.312999999998</v>
      </c>
      <c r="L78" s="15">
        <v>24743.566999999999</v>
      </c>
    </row>
    <row r="79" spans="1:12" x14ac:dyDescent="0.35">
      <c r="A79" s="9" t="s">
        <v>285</v>
      </c>
      <c r="B79" s="9" t="s">
        <v>286</v>
      </c>
      <c r="C79" s="15">
        <v>10202.870999999999</v>
      </c>
      <c r="D79" s="15">
        <v>13586.61</v>
      </c>
      <c r="E79" s="15">
        <v>19012.741999999998</v>
      </c>
      <c r="F79" s="15">
        <v>25974.400000000001</v>
      </c>
      <c r="G79" s="15">
        <v>33975.712</v>
      </c>
      <c r="H79" s="15">
        <v>39280.358999999997</v>
      </c>
      <c r="I79" s="15">
        <v>44584.663</v>
      </c>
      <c r="J79" s="15">
        <v>48594.767999999996</v>
      </c>
      <c r="K79" s="15">
        <v>48731.991999999998</v>
      </c>
      <c r="L79" s="15">
        <v>53630.374000000003</v>
      </c>
    </row>
    <row r="80" spans="1:12" x14ac:dyDescent="0.35">
      <c r="A80" s="9"/>
      <c r="B80" s="10"/>
      <c r="C80" s="10"/>
      <c r="D80" s="10"/>
      <c r="E80" s="10"/>
      <c r="F80" s="10"/>
      <c r="G80" s="10"/>
      <c r="H80" s="10"/>
      <c r="I80" s="10"/>
      <c r="J80" s="10"/>
      <c r="K80" s="10"/>
      <c r="L80" s="10"/>
    </row>
    <row r="81" spans="1:12" x14ac:dyDescent="0.35">
      <c r="A81" s="9" t="s">
        <v>114</v>
      </c>
      <c r="B81" s="10"/>
      <c r="C81" s="10"/>
      <c r="D81" s="10"/>
      <c r="E81" s="10"/>
      <c r="F81" s="10"/>
      <c r="G81" s="10"/>
      <c r="H81" s="10"/>
      <c r="I81" s="10"/>
      <c r="J81" s="10"/>
      <c r="K81" s="10"/>
      <c r="L81" s="10"/>
    </row>
    <row r="82" spans="1:12" x14ac:dyDescent="0.35">
      <c r="A82" s="12" t="s">
        <v>115</v>
      </c>
      <c r="B82" s="12" t="s">
        <v>116</v>
      </c>
      <c r="C82" s="23" t="s">
        <v>117</v>
      </c>
      <c r="D82" s="23" t="s">
        <v>117</v>
      </c>
      <c r="E82" s="23" t="s">
        <v>117</v>
      </c>
      <c r="F82" s="23" t="s">
        <v>117</v>
      </c>
      <c r="G82" s="23" t="s">
        <v>117</v>
      </c>
      <c r="H82" s="23" t="s">
        <v>117</v>
      </c>
      <c r="I82" s="23" t="s">
        <v>117</v>
      </c>
      <c r="J82" s="23" t="s">
        <v>117</v>
      </c>
      <c r="K82" s="23" t="s">
        <v>117</v>
      </c>
      <c r="L82" s="23" t="s">
        <v>117</v>
      </c>
    </row>
    <row r="83" spans="1:12" x14ac:dyDescent="0.35">
      <c r="A83" s="12" t="s">
        <v>287</v>
      </c>
      <c r="B83" s="12" t="s">
        <v>288</v>
      </c>
      <c r="C83" s="13">
        <v>4279.4044000000004</v>
      </c>
      <c r="D83" s="13">
        <v>4300.5420999999997</v>
      </c>
      <c r="E83" s="13">
        <v>4333.9269000000004</v>
      </c>
      <c r="F83" s="13">
        <v>4365.9859999999999</v>
      </c>
      <c r="G83" s="13">
        <v>4388.0664999999999</v>
      </c>
      <c r="H83" s="13">
        <v>4428.9525999999996</v>
      </c>
      <c r="I83" s="13">
        <v>4439.6310999999996</v>
      </c>
      <c r="J83" s="13">
        <v>4453.4678000000004</v>
      </c>
      <c r="K83" s="13">
        <v>4327.5958000000001</v>
      </c>
      <c r="L83" s="13">
        <v>4277.5709999999999</v>
      </c>
    </row>
    <row r="84" spans="1:12" x14ac:dyDescent="0.35">
      <c r="A84" s="12" t="s">
        <v>289</v>
      </c>
      <c r="B84" s="12" t="s">
        <v>290</v>
      </c>
      <c r="C84" s="13">
        <v>0</v>
      </c>
      <c r="D84" s="13">
        <v>0</v>
      </c>
      <c r="E84" s="13">
        <v>0</v>
      </c>
      <c r="F84" s="13">
        <v>0</v>
      </c>
      <c r="G84" s="13">
        <v>0</v>
      </c>
      <c r="H84" s="13">
        <v>0</v>
      </c>
      <c r="I84" s="13">
        <v>15.6448</v>
      </c>
      <c r="J84" s="13">
        <v>15.6448</v>
      </c>
      <c r="K84" s="13">
        <v>160.78270000000001</v>
      </c>
      <c r="L84" s="13">
        <v>259.53460000000001</v>
      </c>
    </row>
    <row r="85" spans="1:12" x14ac:dyDescent="0.35">
      <c r="A85" s="12" t="s">
        <v>291</v>
      </c>
      <c r="B85" s="12" t="s">
        <v>292</v>
      </c>
      <c r="C85" s="13">
        <v>0</v>
      </c>
      <c r="D85" s="13">
        <v>0</v>
      </c>
      <c r="E85" s="13">
        <v>0</v>
      </c>
      <c r="F85" s="13">
        <v>0</v>
      </c>
      <c r="G85" s="13">
        <v>0</v>
      </c>
      <c r="H85" s="13">
        <v>0</v>
      </c>
      <c r="I85" s="13">
        <v>0</v>
      </c>
      <c r="J85" s="13">
        <v>0</v>
      </c>
      <c r="K85" s="13">
        <v>0</v>
      </c>
      <c r="L85" s="13">
        <v>0</v>
      </c>
    </row>
    <row r="86" spans="1:12" x14ac:dyDescent="0.35">
      <c r="A86" s="12" t="s">
        <v>293</v>
      </c>
      <c r="B86" s="12" t="s">
        <v>294</v>
      </c>
      <c r="C86" s="13">
        <v>529.74400000000003</v>
      </c>
      <c r="D86" s="13">
        <v>640.84</v>
      </c>
      <c r="E86" s="13">
        <v>737.37800000000004</v>
      </c>
      <c r="F86" s="13">
        <v>1708.3679999999999</v>
      </c>
      <c r="G86" s="13">
        <v>2039.154</v>
      </c>
      <c r="H86" s="13">
        <v>2569.913</v>
      </c>
      <c r="I86" s="13">
        <v>3140.989</v>
      </c>
      <c r="J86" s="13">
        <v>2932.5569999999998</v>
      </c>
      <c r="K86" s="13">
        <v>2736.3829999999998</v>
      </c>
      <c r="L86" s="13">
        <v>2716.828</v>
      </c>
    </row>
    <row r="87" spans="1:12" x14ac:dyDescent="0.35">
      <c r="A87" s="12" t="s">
        <v>295</v>
      </c>
      <c r="B87" s="12" t="s">
        <v>296</v>
      </c>
      <c r="C87" s="13">
        <v>29</v>
      </c>
      <c r="D87" s="13">
        <v>29.2</v>
      </c>
      <c r="E87" s="13">
        <v>15.6</v>
      </c>
      <c r="F87" s="13">
        <v>11</v>
      </c>
      <c r="G87" s="13" t="s">
        <v>61</v>
      </c>
      <c r="H87" s="13">
        <v>0</v>
      </c>
      <c r="I87" s="13">
        <v>0</v>
      </c>
      <c r="J87" s="13">
        <v>0</v>
      </c>
      <c r="K87" s="13">
        <v>0</v>
      </c>
      <c r="L87" s="13">
        <v>0</v>
      </c>
    </row>
    <row r="88" spans="1:12" x14ac:dyDescent="0.35">
      <c r="A88" s="12" t="s">
        <v>297</v>
      </c>
      <c r="B88" s="12" t="s">
        <v>298</v>
      </c>
      <c r="C88" s="13">
        <v>31.7989</v>
      </c>
      <c r="D88" s="13">
        <v>35.553600000000003</v>
      </c>
      <c r="E88" s="13">
        <v>25.500399999999999</v>
      </c>
      <c r="F88" s="13">
        <v>20.399699999999999</v>
      </c>
      <c r="G88" s="13">
        <v>25.883800000000001</v>
      </c>
      <c r="H88" s="13">
        <v>19.094799999999999</v>
      </c>
      <c r="I88" s="13">
        <v>15.567299999999999</v>
      </c>
      <c r="J88" s="13">
        <v>36.912599999999998</v>
      </c>
      <c r="K88" s="13">
        <v>17.292200000000001</v>
      </c>
      <c r="L88" s="13">
        <v>5.7586000000000004</v>
      </c>
    </row>
    <row r="89" spans="1:12" x14ac:dyDescent="0.35">
      <c r="A89" s="12" t="s">
        <v>299</v>
      </c>
      <c r="B89" s="12" t="s">
        <v>300</v>
      </c>
      <c r="C89" s="13">
        <v>209.95760000000001</v>
      </c>
      <c r="D89" s="13">
        <v>224.37350000000001</v>
      </c>
      <c r="E89" s="13">
        <v>216.4735</v>
      </c>
      <c r="F89" s="13">
        <v>204.7928</v>
      </c>
      <c r="G89" s="13">
        <v>208.5933</v>
      </c>
      <c r="H89" s="13">
        <v>186.7681</v>
      </c>
      <c r="I89" s="13">
        <v>175.95849999999999</v>
      </c>
      <c r="J89" s="13">
        <v>198.96860000000001</v>
      </c>
      <c r="K89" s="13">
        <v>196.9511</v>
      </c>
      <c r="L89" s="13">
        <v>154.19</v>
      </c>
    </row>
    <row r="90" spans="1:12" x14ac:dyDescent="0.35">
      <c r="A90" s="12" t="s">
        <v>301</v>
      </c>
      <c r="B90" s="12" t="s">
        <v>302</v>
      </c>
      <c r="C90" s="13">
        <v>60.646999999999998</v>
      </c>
      <c r="D90" s="13">
        <v>1630.529</v>
      </c>
      <c r="E90" s="13">
        <v>3676.6370000000002</v>
      </c>
      <c r="F90" s="13">
        <v>6565.5749999999998</v>
      </c>
      <c r="G90" s="13">
        <v>11354.057000000001</v>
      </c>
      <c r="H90" s="13">
        <v>10305.276</v>
      </c>
      <c r="I90" s="13">
        <v>12088.766</v>
      </c>
      <c r="J90" s="13">
        <v>10873.111999999999</v>
      </c>
      <c r="K90" s="13">
        <v>9835.4879999999994</v>
      </c>
      <c r="L90" s="13">
        <v>8411.2350000000006</v>
      </c>
    </row>
    <row r="91" spans="1:12" x14ac:dyDescent="0.35">
      <c r="A91" s="12" t="s">
        <v>303</v>
      </c>
      <c r="B91" s="12" t="s">
        <v>304</v>
      </c>
      <c r="C91" s="20">
        <v>2.7275999999999998</v>
      </c>
      <c r="D91" s="20">
        <v>60.845199999999998</v>
      </c>
      <c r="E91" s="20">
        <v>102.6433</v>
      </c>
      <c r="F91" s="20">
        <v>125.32680000000001</v>
      </c>
      <c r="G91" s="20">
        <v>149.74709999999999</v>
      </c>
      <c r="H91" s="20">
        <v>93.132000000000005</v>
      </c>
      <c r="I91" s="20">
        <v>76.273399999999995</v>
      </c>
      <c r="J91" s="20">
        <v>52.331400000000002</v>
      </c>
      <c r="K91" s="20">
        <v>47.772199999999998</v>
      </c>
      <c r="L91" s="20">
        <v>33.993600000000001</v>
      </c>
    </row>
    <row r="92" spans="1:12" x14ac:dyDescent="0.35">
      <c r="A92" s="12" t="s">
        <v>305</v>
      </c>
      <c r="B92" s="12" t="s">
        <v>306</v>
      </c>
      <c r="C92" s="20">
        <v>21.792200000000001</v>
      </c>
      <c r="D92" s="20">
        <v>19.723800000000001</v>
      </c>
      <c r="E92" s="20">
        <v>12.040699999999999</v>
      </c>
      <c r="F92" s="20">
        <v>7.2539999999999996</v>
      </c>
      <c r="G92" s="20">
        <v>-178.67330000000001</v>
      </c>
      <c r="H92" s="20">
        <v>-103.0389</v>
      </c>
      <c r="I92" s="20">
        <v>-110.2829</v>
      </c>
      <c r="J92" s="20">
        <v>-75.414699999999996</v>
      </c>
      <c r="K92" s="20">
        <v>-64.834199999999996</v>
      </c>
      <c r="L92" s="20">
        <v>-36.400599999999997</v>
      </c>
    </row>
    <row r="93" spans="1:12" x14ac:dyDescent="0.35">
      <c r="A93" s="12" t="s">
        <v>307</v>
      </c>
      <c r="B93" s="12" t="s">
        <v>308</v>
      </c>
      <c r="C93" s="20">
        <v>1.5388999999999999</v>
      </c>
      <c r="D93" s="20">
        <v>1.2472000000000001</v>
      </c>
      <c r="E93" s="20">
        <v>1.4031</v>
      </c>
      <c r="F93" s="20">
        <v>1.4943</v>
      </c>
      <c r="G93" s="20">
        <v>0.9012</v>
      </c>
      <c r="H93" s="20">
        <v>1.2505999999999999</v>
      </c>
      <c r="I93" s="20">
        <v>0.9506</v>
      </c>
      <c r="J93" s="20">
        <v>1.1684000000000001</v>
      </c>
      <c r="K93" s="20">
        <v>1.1193</v>
      </c>
      <c r="L93" s="20">
        <v>1.218</v>
      </c>
    </row>
    <row r="94" spans="1:12" x14ac:dyDescent="0.35">
      <c r="A94" s="12" t="s">
        <v>309</v>
      </c>
      <c r="B94" s="12" t="s">
        <v>310</v>
      </c>
      <c r="C94" s="13">
        <v>200.3</v>
      </c>
      <c r="D94" s="13">
        <v>278.5</v>
      </c>
      <c r="E94" s="13">
        <v>611.29999999999995</v>
      </c>
      <c r="F94" s="13" t="s">
        <v>61</v>
      </c>
      <c r="G94" s="13">
        <v>300</v>
      </c>
      <c r="H94" s="13">
        <v>300</v>
      </c>
      <c r="I94" s="13">
        <v>300</v>
      </c>
      <c r="J94" s="13" t="s">
        <v>61</v>
      </c>
      <c r="K94" s="13" t="s">
        <v>61</v>
      </c>
      <c r="L94" s="13" t="s">
        <v>61</v>
      </c>
    </row>
    <row r="95" spans="1:12" x14ac:dyDescent="0.35">
      <c r="A95" s="12" t="s">
        <v>311</v>
      </c>
      <c r="B95" s="12" t="s">
        <v>312</v>
      </c>
      <c r="C95" s="20">
        <v>3500</v>
      </c>
      <c r="D95" s="20">
        <v>4700</v>
      </c>
      <c r="E95" s="20">
        <v>5400</v>
      </c>
      <c r="F95" s="20">
        <v>7100</v>
      </c>
      <c r="G95" s="20">
        <v>8600</v>
      </c>
      <c r="H95" s="20">
        <v>9400</v>
      </c>
      <c r="I95" s="20">
        <v>11300</v>
      </c>
      <c r="J95" s="20">
        <v>12800</v>
      </c>
      <c r="K95" s="20">
        <v>13000</v>
      </c>
      <c r="L95" s="20">
        <v>14000</v>
      </c>
    </row>
    <row r="96" spans="1:12" x14ac:dyDescent="0.35">
      <c r="A96" s="22" t="s">
        <v>139</v>
      </c>
      <c r="B96" s="22"/>
      <c r="C96" s="22" t="s">
        <v>140</v>
      </c>
      <c r="D96" s="22"/>
      <c r="E96" s="22"/>
      <c r="F96" s="22"/>
      <c r="G96" s="22"/>
      <c r="H96" s="22"/>
      <c r="I96" s="22"/>
      <c r="J96" s="22"/>
      <c r="K96" s="22"/>
      <c r="L96" s="2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03AAC-E48C-4119-8EA9-5B8633D7C92E}">
  <sheetPr>
    <tabColor rgb="FFFF0000"/>
  </sheetPr>
  <dimension ref="A1:L71"/>
  <sheetViews>
    <sheetView topLeftCell="A58" workbookViewId="0">
      <selection activeCell="F19" sqref="F19"/>
    </sheetView>
  </sheetViews>
  <sheetFormatPr defaultColWidth="8.88671875" defaultRowHeight="17.399999999999999" x14ac:dyDescent="0.35"/>
  <cols>
    <col min="1" max="1" width="35.109375" style="2" customWidth="1"/>
    <col min="2" max="2" width="0" style="2" hidden="1" customWidth="1"/>
    <col min="3" max="12" width="11.88671875" style="2" customWidth="1"/>
    <col min="13" max="16384" width="8.88671875" style="2"/>
  </cols>
  <sheetData>
    <row r="1" spans="1:12" x14ac:dyDescent="0.35">
      <c r="A1" s="1"/>
      <c r="B1" s="1"/>
      <c r="C1" s="1"/>
      <c r="D1" s="1"/>
      <c r="E1" s="1"/>
      <c r="F1" s="1"/>
      <c r="G1" s="1"/>
      <c r="H1" s="1"/>
      <c r="I1" s="1"/>
      <c r="J1" s="1"/>
      <c r="K1" s="1"/>
      <c r="L1" s="1"/>
    </row>
    <row r="2" spans="1:12" x14ac:dyDescent="0.35">
      <c r="A2" s="3" t="s">
        <v>141</v>
      </c>
      <c r="B2" s="3"/>
      <c r="C2" s="3"/>
      <c r="D2" s="3"/>
      <c r="E2" s="3"/>
      <c r="F2" s="3"/>
      <c r="G2" s="3"/>
      <c r="H2" s="3"/>
      <c r="I2" s="3"/>
      <c r="J2" s="3"/>
      <c r="K2" s="3"/>
      <c r="L2" s="3"/>
    </row>
    <row r="3" spans="1:12" x14ac:dyDescent="0.35">
      <c r="A3" s="4"/>
      <c r="B3" s="4"/>
      <c r="C3" s="4"/>
      <c r="D3" s="4"/>
      <c r="E3" s="4"/>
      <c r="F3" s="4"/>
      <c r="G3" s="4"/>
      <c r="H3" s="4"/>
      <c r="I3" s="4"/>
      <c r="J3" s="4"/>
      <c r="K3" s="4"/>
      <c r="L3" s="4"/>
    </row>
    <row r="4" spans="1:12" x14ac:dyDescent="0.35">
      <c r="A4" s="5" t="s">
        <v>1</v>
      </c>
      <c r="B4" s="5"/>
      <c r="C4" s="6" t="s">
        <v>143</v>
      </c>
      <c r="D4" s="6" t="s">
        <v>144</v>
      </c>
      <c r="E4" s="6" t="s">
        <v>2</v>
      </c>
      <c r="F4" s="6" t="s">
        <v>3</v>
      </c>
      <c r="G4" s="6" t="s">
        <v>4</v>
      </c>
      <c r="H4" s="6" t="s">
        <v>5</v>
      </c>
      <c r="I4" s="6" t="s">
        <v>6</v>
      </c>
      <c r="J4" s="6" t="s">
        <v>7</v>
      </c>
      <c r="K4" s="6" t="s">
        <v>8</v>
      </c>
      <c r="L4" s="6" t="s">
        <v>9</v>
      </c>
    </row>
    <row r="5" spans="1:12" x14ac:dyDescent="0.35">
      <c r="A5" s="7" t="s">
        <v>12</v>
      </c>
      <c r="B5" s="7"/>
      <c r="C5" s="8" t="s">
        <v>146</v>
      </c>
      <c r="D5" s="8" t="s">
        <v>147</v>
      </c>
      <c r="E5" s="8" t="s">
        <v>13</v>
      </c>
      <c r="F5" s="8" t="s">
        <v>14</v>
      </c>
      <c r="G5" s="8" t="s">
        <v>15</v>
      </c>
      <c r="H5" s="8" t="s">
        <v>16</v>
      </c>
      <c r="I5" s="8" t="s">
        <v>17</v>
      </c>
      <c r="J5" s="8" t="s">
        <v>18</v>
      </c>
      <c r="K5" s="8" t="s">
        <v>19</v>
      </c>
      <c r="L5" s="8" t="s">
        <v>20</v>
      </c>
    </row>
    <row r="6" spans="1:12" x14ac:dyDescent="0.35">
      <c r="A6" s="9" t="s">
        <v>313</v>
      </c>
      <c r="B6" s="10"/>
      <c r="C6" s="10"/>
      <c r="D6" s="10"/>
      <c r="E6" s="10"/>
      <c r="F6" s="10"/>
      <c r="G6" s="10"/>
      <c r="H6" s="10"/>
      <c r="I6" s="10"/>
      <c r="J6" s="10"/>
      <c r="K6" s="10"/>
      <c r="L6" s="11"/>
    </row>
    <row r="7" spans="1:12" x14ac:dyDescent="0.35">
      <c r="A7" s="12" t="s">
        <v>314</v>
      </c>
      <c r="B7" s="12" t="s">
        <v>315</v>
      </c>
      <c r="C7" s="13">
        <v>186.678</v>
      </c>
      <c r="D7" s="13">
        <v>558.92899999999997</v>
      </c>
      <c r="E7" s="13">
        <v>1211.242</v>
      </c>
      <c r="F7" s="13">
        <v>1866.9159999999999</v>
      </c>
      <c r="G7" s="13">
        <v>2761.395</v>
      </c>
      <c r="H7" s="13">
        <v>5116.2280000000001</v>
      </c>
      <c r="I7" s="13">
        <v>4491.924</v>
      </c>
      <c r="J7" s="13">
        <v>5407.99</v>
      </c>
      <c r="K7" s="13">
        <v>8711.6309999999994</v>
      </c>
      <c r="L7" s="14">
        <v>10431.287</v>
      </c>
    </row>
    <row r="8" spans="1:12" x14ac:dyDescent="0.35">
      <c r="A8" s="12" t="s">
        <v>316</v>
      </c>
      <c r="B8" s="12" t="s">
        <v>317</v>
      </c>
      <c r="C8" s="13">
        <v>57.527999999999999</v>
      </c>
      <c r="D8" s="13">
        <v>71.911000000000001</v>
      </c>
      <c r="E8" s="13">
        <v>83.156999999999996</v>
      </c>
      <c r="F8" s="13">
        <v>103.57899999999999</v>
      </c>
      <c r="G8" s="13">
        <v>115.71</v>
      </c>
      <c r="H8" s="13">
        <v>208.41200000000001</v>
      </c>
      <c r="I8" s="13">
        <v>336.68200000000002</v>
      </c>
      <c r="J8" s="13">
        <v>356.947</v>
      </c>
      <c r="K8" s="13">
        <v>328.91399999999999</v>
      </c>
      <c r="L8" s="14">
        <v>326.94499999999999</v>
      </c>
    </row>
    <row r="9" spans="1:12" x14ac:dyDescent="0.35">
      <c r="A9" s="12" t="s">
        <v>318</v>
      </c>
      <c r="B9" s="12" t="s">
        <v>319</v>
      </c>
      <c r="C9" s="13">
        <v>-1962.864</v>
      </c>
      <c r="D9" s="13">
        <v>-2488.9110000000001</v>
      </c>
      <c r="E9" s="13">
        <v>-4266.5829999999996</v>
      </c>
      <c r="F9" s="13">
        <v>-5023.3909999999996</v>
      </c>
      <c r="G9" s="13">
        <v>-612.23</v>
      </c>
      <c r="H9" s="13">
        <v>-4979.152</v>
      </c>
      <c r="I9" s="13">
        <v>-2261.8150000000001</v>
      </c>
      <c r="J9" s="13">
        <v>1314.5920000000001</v>
      </c>
      <c r="K9" s="13">
        <v>-2092.4569999999999</v>
      </c>
      <c r="L9" s="14">
        <v>-1627.009</v>
      </c>
    </row>
    <row r="10" spans="1:12" x14ac:dyDescent="0.35">
      <c r="A10" s="12" t="s">
        <v>320</v>
      </c>
      <c r="B10" s="12" t="s">
        <v>321</v>
      </c>
      <c r="C10" s="13">
        <v>108.554</v>
      </c>
      <c r="D10" s="13">
        <v>182.209</v>
      </c>
      <c r="E10" s="13">
        <v>320.65699999999998</v>
      </c>
      <c r="F10" s="13">
        <v>405.37599999999998</v>
      </c>
      <c r="G10" s="13">
        <v>415.18</v>
      </c>
      <c r="H10" s="13">
        <v>403.22</v>
      </c>
      <c r="I10" s="13">
        <v>575.452</v>
      </c>
      <c r="J10" s="13">
        <v>339.36799999999999</v>
      </c>
      <c r="K10" s="13">
        <v>272.58800000000002</v>
      </c>
      <c r="L10" s="14">
        <v>295.65199999999999</v>
      </c>
    </row>
    <row r="11" spans="1:12" x14ac:dyDescent="0.35">
      <c r="A11" s="12" t="s">
        <v>322</v>
      </c>
      <c r="B11" s="12" t="s">
        <v>323</v>
      </c>
      <c r="C11" s="13">
        <v>-46.847000000000001</v>
      </c>
      <c r="D11" s="13">
        <v>-208.68799999999999</v>
      </c>
      <c r="E11" s="13">
        <v>-85.52</v>
      </c>
      <c r="F11" s="13">
        <v>-94.442999999999998</v>
      </c>
      <c r="G11" s="13">
        <v>70.066000000000003</v>
      </c>
      <c r="H11" s="13">
        <v>199.548</v>
      </c>
      <c r="I11" s="13">
        <v>-166.55</v>
      </c>
      <c r="J11" s="13">
        <v>-459.35899999999998</v>
      </c>
      <c r="K11" s="13">
        <v>-590.69799999999998</v>
      </c>
      <c r="L11" s="14">
        <v>-352.39600000000002</v>
      </c>
    </row>
    <row r="12" spans="1:12" x14ac:dyDescent="0.35">
      <c r="A12" s="12" t="s">
        <v>324</v>
      </c>
      <c r="B12" s="12" t="s">
        <v>325</v>
      </c>
      <c r="C12" s="13">
        <v>-2024.5709999999999</v>
      </c>
      <c r="D12" s="13">
        <v>-2462.4319999999998</v>
      </c>
      <c r="E12" s="13">
        <v>-4501.72</v>
      </c>
      <c r="F12" s="13">
        <v>-5334.3239999999996</v>
      </c>
      <c r="G12" s="13">
        <v>-1097.4760000000001</v>
      </c>
      <c r="H12" s="13">
        <v>-5581.92</v>
      </c>
      <c r="I12" s="13">
        <v>-2670.7170000000001</v>
      </c>
      <c r="J12" s="13">
        <v>1434.5830000000001</v>
      </c>
      <c r="K12" s="13">
        <v>-1774.347</v>
      </c>
      <c r="L12" s="14">
        <v>-1570.2650000000001</v>
      </c>
    </row>
    <row r="13" spans="1:12" x14ac:dyDescent="0.35">
      <c r="A13" s="12" t="s">
        <v>326</v>
      </c>
      <c r="B13" s="12" t="s">
        <v>327</v>
      </c>
      <c r="C13" s="13">
        <v>244.67400000000001</v>
      </c>
      <c r="D13" s="13">
        <v>132.78</v>
      </c>
      <c r="E13" s="13">
        <v>291.70499999999998</v>
      </c>
      <c r="F13" s="13">
        <v>165.57400000000001</v>
      </c>
      <c r="G13" s="13">
        <v>162.202</v>
      </c>
      <c r="H13" s="13">
        <v>47.122</v>
      </c>
      <c r="I13" s="13">
        <v>-540.53399999999999</v>
      </c>
      <c r="J13" s="13">
        <v>194.77199999999999</v>
      </c>
      <c r="K13" s="13">
        <v>413.27600000000001</v>
      </c>
      <c r="L13" s="14">
        <v>443.30200000000002</v>
      </c>
    </row>
    <row r="14" spans="1:12" x14ac:dyDescent="0.35">
      <c r="A14" s="12" t="s">
        <v>328</v>
      </c>
      <c r="B14" s="12" t="s">
        <v>329</v>
      </c>
      <c r="C14" s="13">
        <v>0</v>
      </c>
      <c r="D14" s="13">
        <v>0</v>
      </c>
      <c r="E14" s="13">
        <v>0</v>
      </c>
      <c r="F14" s="13">
        <v>0</v>
      </c>
      <c r="G14" s="13">
        <v>0</v>
      </c>
      <c r="H14" s="13">
        <v>0</v>
      </c>
      <c r="I14" s="13">
        <v>0</v>
      </c>
      <c r="J14" s="13">
        <v>0</v>
      </c>
      <c r="K14" s="13">
        <v>0</v>
      </c>
      <c r="L14" s="14">
        <v>0</v>
      </c>
    </row>
    <row r="15" spans="1:12" x14ac:dyDescent="0.35">
      <c r="A15" s="12" t="s">
        <v>330</v>
      </c>
      <c r="B15" s="12" t="s">
        <v>331</v>
      </c>
      <c r="C15" s="13">
        <v>0</v>
      </c>
      <c r="D15" s="13">
        <v>0</v>
      </c>
      <c r="E15" s="13">
        <v>0</v>
      </c>
      <c r="F15" s="13">
        <v>0</v>
      </c>
      <c r="G15" s="13">
        <v>0</v>
      </c>
      <c r="H15" s="13">
        <v>0</v>
      </c>
      <c r="I15" s="13">
        <v>0</v>
      </c>
      <c r="J15" s="13">
        <v>0</v>
      </c>
      <c r="K15" s="13">
        <v>0</v>
      </c>
      <c r="L15" s="14">
        <v>0</v>
      </c>
    </row>
    <row r="16" spans="1:12" x14ac:dyDescent="0.35">
      <c r="A16" s="12" t="s">
        <v>332</v>
      </c>
      <c r="B16" s="12" t="s">
        <v>333</v>
      </c>
      <c r="C16" s="13">
        <v>32.247</v>
      </c>
      <c r="D16" s="13">
        <v>74.558999999999997</v>
      </c>
      <c r="E16" s="13">
        <v>199.19800000000001</v>
      </c>
      <c r="F16" s="13">
        <v>96.063000000000002</v>
      </c>
      <c r="G16" s="13">
        <v>-41.604999999999997</v>
      </c>
      <c r="H16" s="13">
        <v>145.11500000000001</v>
      </c>
      <c r="I16" s="13">
        <v>-158.54300000000001</v>
      </c>
      <c r="J16" s="13">
        <v>93.501999999999995</v>
      </c>
      <c r="K16" s="13">
        <v>121.35299999999999</v>
      </c>
      <c r="L16" s="14">
        <v>129.44999999999999</v>
      </c>
    </row>
    <row r="17" spans="1:12" x14ac:dyDescent="0.35">
      <c r="A17" s="12" t="s">
        <v>334</v>
      </c>
      <c r="B17" s="12" t="s">
        <v>335</v>
      </c>
      <c r="C17" s="13">
        <v>212.42699999999999</v>
      </c>
      <c r="D17" s="13">
        <v>58.220999999999997</v>
      </c>
      <c r="E17" s="13">
        <v>92.507000000000005</v>
      </c>
      <c r="F17" s="13">
        <v>69.510999999999996</v>
      </c>
      <c r="G17" s="13">
        <v>203.80699999999999</v>
      </c>
      <c r="H17" s="13">
        <v>-97.992999999999995</v>
      </c>
      <c r="I17" s="13">
        <v>-381.99099999999999</v>
      </c>
      <c r="J17" s="13">
        <v>101.27</v>
      </c>
      <c r="K17" s="13">
        <v>291.923</v>
      </c>
      <c r="L17" s="14">
        <v>313.85199999999998</v>
      </c>
    </row>
    <row r="18" spans="1:12" x14ac:dyDescent="0.35">
      <c r="A18" s="12" t="s">
        <v>336</v>
      </c>
      <c r="B18" s="12" t="s">
        <v>337</v>
      </c>
      <c r="C18" s="13">
        <v>0</v>
      </c>
      <c r="D18" s="13">
        <v>0</v>
      </c>
      <c r="E18" s="13">
        <v>0</v>
      </c>
      <c r="F18" s="13">
        <v>0</v>
      </c>
      <c r="G18" s="13">
        <v>0</v>
      </c>
      <c r="H18" s="13">
        <v>0</v>
      </c>
      <c r="I18" s="13">
        <v>0</v>
      </c>
      <c r="J18" s="13">
        <v>0</v>
      </c>
      <c r="K18" s="13">
        <v>0</v>
      </c>
      <c r="L18" s="14">
        <v>0</v>
      </c>
    </row>
    <row r="19" spans="1:12" x14ac:dyDescent="0.35">
      <c r="A19" s="9" t="s">
        <v>313</v>
      </c>
      <c r="B19" s="9" t="s">
        <v>338</v>
      </c>
      <c r="C19" s="15">
        <v>-1473.9839999999999</v>
      </c>
      <c r="D19" s="15">
        <v>-1725.2909999999999</v>
      </c>
      <c r="E19" s="15">
        <v>-2680.4789999999998</v>
      </c>
      <c r="F19" s="15">
        <v>-2887.3220000000001</v>
      </c>
      <c r="G19" s="15">
        <v>2427.0770000000002</v>
      </c>
      <c r="H19" s="15">
        <v>392.61</v>
      </c>
      <c r="I19" s="15">
        <v>2026.2570000000001</v>
      </c>
      <c r="J19" s="15">
        <v>7274.3010000000004</v>
      </c>
      <c r="K19" s="15">
        <v>7361.3639999999996</v>
      </c>
      <c r="L19" s="16">
        <v>9574.5249999999996</v>
      </c>
    </row>
    <row r="20" spans="1:12" x14ac:dyDescent="0.35">
      <c r="A20" s="9"/>
      <c r="B20" s="10"/>
      <c r="C20" s="10"/>
      <c r="D20" s="10"/>
      <c r="E20" s="10"/>
      <c r="F20" s="10"/>
      <c r="G20" s="10"/>
      <c r="H20" s="10"/>
      <c r="I20" s="10"/>
      <c r="J20" s="10"/>
      <c r="K20" s="10"/>
      <c r="L20" s="11"/>
    </row>
    <row r="21" spans="1:12" x14ac:dyDescent="0.35">
      <c r="A21" s="9" t="s">
        <v>339</v>
      </c>
      <c r="B21" s="10"/>
      <c r="C21" s="10"/>
      <c r="D21" s="10"/>
      <c r="E21" s="10"/>
      <c r="F21" s="10"/>
      <c r="G21" s="10"/>
      <c r="H21" s="10"/>
      <c r="I21" s="10"/>
      <c r="J21" s="10"/>
      <c r="K21" s="10"/>
      <c r="L21" s="11"/>
    </row>
    <row r="22" spans="1:12" x14ac:dyDescent="0.35">
      <c r="A22" s="12" t="s">
        <v>340</v>
      </c>
      <c r="B22" s="12" t="s">
        <v>341</v>
      </c>
      <c r="C22" s="13">
        <v>-184.83</v>
      </c>
      <c r="D22" s="13">
        <v>-173.30199999999999</v>
      </c>
      <c r="E22" s="13">
        <v>-173.946</v>
      </c>
      <c r="F22" s="13">
        <v>-253.035</v>
      </c>
      <c r="G22" s="13">
        <v>-497.923</v>
      </c>
      <c r="H22" s="13">
        <v>-524.58500000000004</v>
      </c>
      <c r="I22" s="13">
        <v>-407.72899999999998</v>
      </c>
      <c r="J22" s="13">
        <v>-348.55200000000002</v>
      </c>
      <c r="K22" s="13">
        <v>-439.53800000000001</v>
      </c>
      <c r="L22" s="14">
        <v>-607.55899999999997</v>
      </c>
    </row>
    <row r="23" spans="1:12" x14ac:dyDescent="0.35">
      <c r="A23" s="12" t="s">
        <v>342</v>
      </c>
      <c r="B23" s="12" t="s">
        <v>343</v>
      </c>
      <c r="C23" s="13">
        <v>0</v>
      </c>
      <c r="D23" s="13">
        <v>0</v>
      </c>
      <c r="E23" s="13">
        <v>0</v>
      </c>
      <c r="F23" s="13">
        <v>0</v>
      </c>
      <c r="G23" s="13">
        <v>0</v>
      </c>
      <c r="H23" s="13">
        <v>0</v>
      </c>
      <c r="I23" s="13">
        <v>0</v>
      </c>
      <c r="J23" s="13">
        <v>0</v>
      </c>
      <c r="K23" s="13">
        <v>0</v>
      </c>
      <c r="L23" s="14">
        <v>0</v>
      </c>
    </row>
    <row r="24" spans="1:12" x14ac:dyDescent="0.35">
      <c r="A24" s="17" t="s">
        <v>344</v>
      </c>
      <c r="B24" s="17" t="s">
        <v>345</v>
      </c>
      <c r="C24" s="18">
        <v>0</v>
      </c>
      <c r="D24" s="18">
        <v>0</v>
      </c>
      <c r="E24" s="18">
        <v>0</v>
      </c>
      <c r="F24" s="18">
        <v>0</v>
      </c>
      <c r="G24" s="18">
        <v>0</v>
      </c>
      <c r="H24" s="18">
        <v>0</v>
      </c>
      <c r="I24" s="18">
        <v>0</v>
      </c>
      <c r="J24" s="18">
        <v>0</v>
      </c>
      <c r="K24" s="18">
        <v>0</v>
      </c>
      <c r="L24" s="19">
        <v>0</v>
      </c>
    </row>
    <row r="25" spans="1:12" x14ac:dyDescent="0.35">
      <c r="A25" s="17" t="s">
        <v>346</v>
      </c>
      <c r="B25" s="17" t="s">
        <v>347</v>
      </c>
      <c r="C25" s="18">
        <v>0</v>
      </c>
      <c r="D25" s="18">
        <v>0</v>
      </c>
      <c r="E25" s="18">
        <v>0</v>
      </c>
      <c r="F25" s="18">
        <v>0</v>
      </c>
      <c r="G25" s="18">
        <v>0</v>
      </c>
      <c r="H25" s="18">
        <v>0</v>
      </c>
      <c r="I25" s="18">
        <v>0</v>
      </c>
      <c r="J25" s="18">
        <v>0</v>
      </c>
      <c r="K25" s="18">
        <v>0</v>
      </c>
      <c r="L25" s="19">
        <v>0</v>
      </c>
    </row>
    <row r="26" spans="1:12" x14ac:dyDescent="0.35">
      <c r="A26" s="12" t="s">
        <v>348</v>
      </c>
      <c r="B26" s="12" t="s">
        <v>349</v>
      </c>
      <c r="C26" s="13">
        <v>-184.83</v>
      </c>
      <c r="D26" s="13">
        <v>-173.30199999999999</v>
      </c>
      <c r="E26" s="13">
        <v>-173.946</v>
      </c>
      <c r="F26" s="13">
        <v>-253.035</v>
      </c>
      <c r="G26" s="13">
        <v>-497.923</v>
      </c>
      <c r="H26" s="13">
        <v>-524.58500000000004</v>
      </c>
      <c r="I26" s="13">
        <v>-407.72899999999998</v>
      </c>
      <c r="J26" s="13">
        <v>-348.55200000000002</v>
      </c>
      <c r="K26" s="13">
        <v>-439.53800000000001</v>
      </c>
      <c r="L26" s="14">
        <v>-607.55899999999997</v>
      </c>
    </row>
    <row r="27" spans="1:12" x14ac:dyDescent="0.35">
      <c r="A27" s="17" t="s">
        <v>350</v>
      </c>
      <c r="B27" s="17" t="s">
        <v>351</v>
      </c>
      <c r="C27" s="18">
        <v>-107.65300000000001</v>
      </c>
      <c r="D27" s="18">
        <v>-173.30199999999999</v>
      </c>
      <c r="E27" s="18">
        <v>-173.946</v>
      </c>
      <c r="F27" s="18">
        <v>-253.035</v>
      </c>
      <c r="G27" s="18">
        <v>-497.923</v>
      </c>
      <c r="H27" s="18">
        <v>-524.58500000000004</v>
      </c>
      <c r="I27" s="18">
        <v>-407.72899999999998</v>
      </c>
      <c r="J27" s="18">
        <v>-348.55200000000002</v>
      </c>
      <c r="K27" s="18">
        <v>-439.53800000000001</v>
      </c>
      <c r="L27" s="19">
        <v>-607.55899999999997</v>
      </c>
    </row>
    <row r="28" spans="1:12" x14ac:dyDescent="0.35">
      <c r="A28" s="17" t="s">
        <v>352</v>
      </c>
      <c r="B28" s="17" t="s">
        <v>353</v>
      </c>
      <c r="C28" s="18">
        <v>-77.177000000000007</v>
      </c>
      <c r="D28" s="18">
        <v>0</v>
      </c>
      <c r="E28" s="18">
        <v>0</v>
      </c>
      <c r="F28" s="18">
        <v>0</v>
      </c>
      <c r="G28" s="18">
        <v>0</v>
      </c>
      <c r="H28" s="18">
        <v>0</v>
      </c>
      <c r="I28" s="18">
        <v>0</v>
      </c>
      <c r="J28" s="18">
        <v>0</v>
      </c>
      <c r="K28" s="18">
        <v>0</v>
      </c>
      <c r="L28" s="19">
        <v>0</v>
      </c>
    </row>
    <row r="29" spans="1:12" x14ac:dyDescent="0.35">
      <c r="A29" s="12" t="s">
        <v>354</v>
      </c>
      <c r="B29" s="12" t="s">
        <v>355</v>
      </c>
      <c r="C29" s="13">
        <v>0</v>
      </c>
      <c r="D29" s="13">
        <v>0</v>
      </c>
      <c r="E29" s="13">
        <v>0</v>
      </c>
      <c r="F29" s="13">
        <v>0</v>
      </c>
      <c r="G29" s="13">
        <v>0</v>
      </c>
      <c r="H29" s="13">
        <v>0</v>
      </c>
      <c r="I29" s="13">
        <v>0</v>
      </c>
      <c r="J29" s="13">
        <v>0</v>
      </c>
      <c r="K29" s="13">
        <v>0</v>
      </c>
      <c r="L29" s="14">
        <v>0</v>
      </c>
    </row>
    <row r="30" spans="1:12" x14ac:dyDescent="0.35">
      <c r="A30" s="12" t="s">
        <v>356</v>
      </c>
      <c r="B30" s="12" t="s">
        <v>357</v>
      </c>
      <c r="C30" s="13">
        <v>0</v>
      </c>
      <c r="D30" s="13">
        <v>0</v>
      </c>
      <c r="E30" s="13">
        <v>0</v>
      </c>
      <c r="F30" s="13">
        <v>0</v>
      </c>
      <c r="G30" s="13">
        <v>0</v>
      </c>
      <c r="H30" s="13">
        <v>0</v>
      </c>
      <c r="I30" s="13">
        <v>0</v>
      </c>
      <c r="J30" s="13">
        <v>0</v>
      </c>
      <c r="K30" s="13">
        <v>0</v>
      </c>
      <c r="L30" s="14">
        <v>0</v>
      </c>
    </row>
    <row r="31" spans="1:12" x14ac:dyDescent="0.35">
      <c r="A31" s="12" t="s">
        <v>358</v>
      </c>
      <c r="B31" s="12" t="s">
        <v>359</v>
      </c>
      <c r="C31" s="13">
        <v>0</v>
      </c>
      <c r="D31" s="13">
        <v>0</v>
      </c>
      <c r="E31" s="13">
        <v>0</v>
      </c>
      <c r="F31" s="13">
        <v>0</v>
      </c>
      <c r="G31" s="13">
        <v>0</v>
      </c>
      <c r="H31" s="13">
        <v>0</v>
      </c>
      <c r="I31" s="13">
        <v>0</v>
      </c>
      <c r="J31" s="13">
        <v>0</v>
      </c>
      <c r="K31" s="13">
        <v>0</v>
      </c>
      <c r="L31" s="14">
        <v>0</v>
      </c>
    </row>
    <row r="32" spans="1:12" x14ac:dyDescent="0.35">
      <c r="A32" s="12" t="s">
        <v>360</v>
      </c>
      <c r="B32" s="12" t="s">
        <v>361</v>
      </c>
      <c r="C32" s="13">
        <v>0</v>
      </c>
      <c r="D32" s="13">
        <v>0</v>
      </c>
      <c r="E32" s="13">
        <v>0</v>
      </c>
      <c r="F32" s="13">
        <v>0</v>
      </c>
      <c r="G32" s="13">
        <v>0</v>
      </c>
      <c r="H32" s="13">
        <v>-788.34900000000005</v>
      </c>
      <c r="I32" s="13">
        <v>-757.38699999999994</v>
      </c>
      <c r="J32" s="13">
        <v>0</v>
      </c>
      <c r="K32" s="13">
        <v>0</v>
      </c>
      <c r="L32" s="14">
        <v>0</v>
      </c>
    </row>
    <row r="33" spans="1:12" x14ac:dyDescent="0.35">
      <c r="A33" s="12" t="s">
        <v>362</v>
      </c>
      <c r="B33" s="12" t="s">
        <v>363</v>
      </c>
      <c r="C33" s="13">
        <v>0</v>
      </c>
      <c r="D33" s="13">
        <v>0</v>
      </c>
      <c r="E33" s="13">
        <v>0</v>
      </c>
      <c r="F33" s="13">
        <v>0</v>
      </c>
      <c r="G33" s="13">
        <v>0</v>
      </c>
      <c r="H33" s="13">
        <v>0</v>
      </c>
      <c r="I33" s="13">
        <v>0</v>
      </c>
      <c r="J33" s="13">
        <v>0</v>
      </c>
      <c r="K33" s="13">
        <v>0</v>
      </c>
      <c r="L33" s="14">
        <v>0</v>
      </c>
    </row>
    <row r="34" spans="1:12" x14ac:dyDescent="0.35">
      <c r="A34" s="12" t="s">
        <v>364</v>
      </c>
      <c r="B34" s="12" t="s">
        <v>365</v>
      </c>
      <c r="C34" s="13">
        <v>0</v>
      </c>
      <c r="D34" s="13">
        <v>0</v>
      </c>
      <c r="E34" s="13">
        <v>0</v>
      </c>
      <c r="F34" s="13">
        <v>0</v>
      </c>
      <c r="G34" s="13">
        <v>0</v>
      </c>
      <c r="H34" s="13">
        <v>-788.34900000000005</v>
      </c>
      <c r="I34" s="13">
        <v>-757.38699999999994</v>
      </c>
      <c r="J34" s="13">
        <v>0</v>
      </c>
      <c r="K34" s="13">
        <v>0</v>
      </c>
      <c r="L34" s="14">
        <v>0</v>
      </c>
    </row>
    <row r="35" spans="1:12" x14ac:dyDescent="0.35">
      <c r="A35" s="12" t="s">
        <v>366</v>
      </c>
      <c r="B35" s="12" t="s">
        <v>367</v>
      </c>
      <c r="C35" s="13">
        <v>0</v>
      </c>
      <c r="D35" s="13">
        <v>0</v>
      </c>
      <c r="E35" s="13">
        <v>0</v>
      </c>
      <c r="F35" s="13">
        <v>0</v>
      </c>
      <c r="G35" s="13">
        <v>0</v>
      </c>
      <c r="H35" s="13">
        <v>0</v>
      </c>
      <c r="I35" s="13">
        <v>0</v>
      </c>
      <c r="J35" s="13">
        <v>0</v>
      </c>
      <c r="K35" s="13">
        <v>0</v>
      </c>
      <c r="L35" s="14">
        <v>0</v>
      </c>
    </row>
    <row r="36" spans="1:12" x14ac:dyDescent="0.35">
      <c r="A36" s="12" t="s">
        <v>368</v>
      </c>
      <c r="B36" s="12" t="s">
        <v>369</v>
      </c>
      <c r="C36" s="13">
        <v>234.595</v>
      </c>
      <c r="D36" s="13">
        <v>207.631</v>
      </c>
      <c r="E36" s="13">
        <v>-165.17400000000001</v>
      </c>
      <c r="F36" s="13">
        <v>-134.029</v>
      </c>
      <c r="G36" s="13">
        <v>-7.431</v>
      </c>
      <c r="H36" s="13">
        <v>-26.919</v>
      </c>
      <c r="I36" s="13">
        <v>-911.27599999999995</v>
      </c>
      <c r="J36" s="13">
        <v>890.303</v>
      </c>
      <c r="K36" s="13">
        <v>-1742.2460000000001</v>
      </c>
      <c r="L36" s="14">
        <v>1747.1020000000001</v>
      </c>
    </row>
    <row r="37" spans="1:12" x14ac:dyDescent="0.35">
      <c r="A37" s="12" t="s">
        <v>336</v>
      </c>
      <c r="B37" s="12" t="s">
        <v>370</v>
      </c>
      <c r="C37" s="13">
        <v>0</v>
      </c>
      <c r="D37" s="13">
        <v>0</v>
      </c>
      <c r="E37" s="13">
        <v>0</v>
      </c>
      <c r="F37" s="13">
        <v>0</v>
      </c>
      <c r="G37" s="13">
        <v>0</v>
      </c>
      <c r="H37" s="13">
        <v>0</v>
      </c>
      <c r="I37" s="13">
        <v>0</v>
      </c>
      <c r="J37" s="13">
        <v>0</v>
      </c>
      <c r="K37" s="13">
        <v>0</v>
      </c>
      <c r="L37" s="14">
        <v>0</v>
      </c>
    </row>
    <row r="38" spans="1:12" x14ac:dyDescent="0.35">
      <c r="A38" s="9" t="s">
        <v>339</v>
      </c>
      <c r="B38" s="9" t="s">
        <v>371</v>
      </c>
      <c r="C38" s="15">
        <v>49.765000000000001</v>
      </c>
      <c r="D38" s="15">
        <v>34.329000000000001</v>
      </c>
      <c r="E38" s="15">
        <v>-339.12</v>
      </c>
      <c r="F38" s="15">
        <v>-387.06400000000002</v>
      </c>
      <c r="G38" s="15">
        <v>-505.35399999999998</v>
      </c>
      <c r="H38" s="15">
        <v>-1339.8530000000001</v>
      </c>
      <c r="I38" s="15">
        <v>-2076.3919999999998</v>
      </c>
      <c r="J38" s="15">
        <v>541.75099999999998</v>
      </c>
      <c r="K38" s="15">
        <v>-2181.7840000000001</v>
      </c>
      <c r="L38" s="16">
        <v>1139.5429999999999</v>
      </c>
    </row>
    <row r="39" spans="1:12" x14ac:dyDescent="0.35">
      <c r="A39" s="9"/>
      <c r="B39" s="10"/>
      <c r="C39" s="10"/>
      <c r="D39" s="10"/>
      <c r="E39" s="10"/>
      <c r="F39" s="10"/>
      <c r="G39" s="10"/>
      <c r="H39" s="10"/>
      <c r="I39" s="10"/>
      <c r="J39" s="10"/>
      <c r="K39" s="10"/>
      <c r="L39" s="11"/>
    </row>
    <row r="40" spans="1:12" x14ac:dyDescent="0.35">
      <c r="A40" s="9" t="s">
        <v>372</v>
      </c>
      <c r="B40" s="10"/>
      <c r="C40" s="10"/>
      <c r="D40" s="10"/>
      <c r="E40" s="10"/>
      <c r="F40" s="10"/>
      <c r="G40" s="10"/>
      <c r="H40" s="10"/>
      <c r="I40" s="10"/>
      <c r="J40" s="10"/>
      <c r="K40" s="10"/>
      <c r="L40" s="11"/>
    </row>
    <row r="41" spans="1:12" x14ac:dyDescent="0.35">
      <c r="A41" s="12" t="s">
        <v>373</v>
      </c>
      <c r="B41" s="12" t="s">
        <v>374</v>
      </c>
      <c r="C41" s="13">
        <v>0</v>
      </c>
      <c r="D41" s="13">
        <v>0</v>
      </c>
      <c r="E41" s="13">
        <v>0</v>
      </c>
      <c r="F41" s="13">
        <v>0</v>
      </c>
      <c r="G41" s="13">
        <v>0</v>
      </c>
      <c r="H41" s="13">
        <v>0</v>
      </c>
      <c r="I41" s="13">
        <v>0</v>
      </c>
      <c r="J41" s="13">
        <v>0</v>
      </c>
      <c r="K41" s="13">
        <v>0</v>
      </c>
      <c r="L41" s="14">
        <v>0</v>
      </c>
    </row>
    <row r="42" spans="1:12" x14ac:dyDescent="0.35">
      <c r="A42" s="12" t="s">
        <v>375</v>
      </c>
      <c r="B42" s="12" t="s">
        <v>376</v>
      </c>
      <c r="C42" s="13">
        <v>1000</v>
      </c>
      <c r="D42" s="13">
        <v>3020.51</v>
      </c>
      <c r="E42" s="13">
        <v>3961.8519999999999</v>
      </c>
      <c r="F42" s="13">
        <v>4469.3059999999996</v>
      </c>
      <c r="G42" s="13">
        <v>1009.4640000000001</v>
      </c>
      <c r="H42" s="13">
        <v>-500</v>
      </c>
      <c r="I42" s="13">
        <v>-700</v>
      </c>
      <c r="J42" s="13">
        <v>0</v>
      </c>
      <c r="K42" s="13">
        <v>1394.46</v>
      </c>
      <c r="L42" s="14">
        <v>-38.99</v>
      </c>
    </row>
    <row r="43" spans="1:12" x14ac:dyDescent="0.35">
      <c r="A43" s="12" t="s">
        <v>377</v>
      </c>
      <c r="B43" s="12" t="s">
        <v>378</v>
      </c>
      <c r="C43" s="13">
        <v>0</v>
      </c>
      <c r="D43" s="13">
        <v>0</v>
      </c>
      <c r="E43" s="13">
        <v>0</v>
      </c>
      <c r="F43" s="13">
        <v>0</v>
      </c>
      <c r="G43" s="13">
        <v>0</v>
      </c>
      <c r="H43" s="13">
        <v>0</v>
      </c>
      <c r="I43" s="13">
        <v>0</v>
      </c>
      <c r="J43" s="13">
        <v>0</v>
      </c>
      <c r="K43" s="13">
        <v>0</v>
      </c>
      <c r="L43" s="14">
        <v>0</v>
      </c>
    </row>
    <row r="44" spans="1:12" x14ac:dyDescent="0.35">
      <c r="A44" s="12" t="s">
        <v>379</v>
      </c>
      <c r="B44" s="12" t="s">
        <v>380</v>
      </c>
      <c r="C44" s="13">
        <v>1000</v>
      </c>
      <c r="D44" s="13">
        <v>3020.51</v>
      </c>
      <c r="E44" s="13">
        <v>3961.8519999999999</v>
      </c>
      <c r="F44" s="13">
        <v>4469.3059999999996</v>
      </c>
      <c r="G44" s="13">
        <v>1009.4640000000001</v>
      </c>
      <c r="H44" s="13">
        <v>0</v>
      </c>
      <c r="I44" s="13">
        <v>0</v>
      </c>
      <c r="J44" s="13">
        <v>0</v>
      </c>
      <c r="K44" s="13">
        <v>1794.46</v>
      </c>
      <c r="L44" s="14">
        <v>1794.46</v>
      </c>
    </row>
    <row r="45" spans="1:12" x14ac:dyDescent="0.35">
      <c r="A45" s="12" t="s">
        <v>381</v>
      </c>
      <c r="B45" s="12" t="s">
        <v>382</v>
      </c>
      <c r="C45" s="13">
        <v>0</v>
      </c>
      <c r="D45" s="13">
        <v>0</v>
      </c>
      <c r="E45" s="13">
        <v>0</v>
      </c>
      <c r="F45" s="13">
        <v>0</v>
      </c>
      <c r="G45" s="13">
        <v>0</v>
      </c>
      <c r="H45" s="13">
        <v>-500</v>
      </c>
      <c r="I45" s="13">
        <v>-700</v>
      </c>
      <c r="J45" s="13">
        <v>0</v>
      </c>
      <c r="K45" s="13">
        <v>-400</v>
      </c>
      <c r="L45" s="14">
        <v>-1833.45</v>
      </c>
    </row>
    <row r="46" spans="1:12" x14ac:dyDescent="0.35">
      <c r="A46" s="12" t="s">
        <v>383</v>
      </c>
      <c r="B46" s="12" t="s">
        <v>384</v>
      </c>
      <c r="C46" s="13">
        <v>102.1</v>
      </c>
      <c r="D46" s="13">
        <v>88.378</v>
      </c>
      <c r="E46" s="13">
        <v>124.502</v>
      </c>
      <c r="F46" s="13">
        <v>72.489999999999995</v>
      </c>
      <c r="G46" s="13">
        <v>235.40600000000001</v>
      </c>
      <c r="H46" s="13">
        <v>-649.77599999999995</v>
      </c>
      <c r="I46" s="13">
        <v>35.746000000000002</v>
      </c>
      <c r="J46" s="13">
        <v>-5875.357</v>
      </c>
      <c r="K46" s="13">
        <v>-5439.1440000000002</v>
      </c>
      <c r="L46" s="14">
        <v>-7163.0190000000002</v>
      </c>
    </row>
    <row r="47" spans="1:12" x14ac:dyDescent="0.35">
      <c r="A47" s="12" t="s">
        <v>385</v>
      </c>
      <c r="B47" s="12" t="s">
        <v>386</v>
      </c>
      <c r="C47" s="13">
        <v>102.1</v>
      </c>
      <c r="D47" s="13">
        <v>88.378</v>
      </c>
      <c r="E47" s="13">
        <v>124.502</v>
      </c>
      <c r="F47" s="13">
        <v>72.489999999999995</v>
      </c>
      <c r="G47" s="13">
        <v>235.40600000000001</v>
      </c>
      <c r="H47" s="13">
        <v>174.41399999999999</v>
      </c>
      <c r="I47" s="13">
        <v>35.746000000000002</v>
      </c>
      <c r="J47" s="13">
        <v>169.99</v>
      </c>
      <c r="K47" s="13">
        <v>832.88699999999994</v>
      </c>
      <c r="L47" s="14">
        <v>892.89499999999998</v>
      </c>
    </row>
    <row r="48" spans="1:12" x14ac:dyDescent="0.35">
      <c r="A48" s="12" t="s">
        <v>387</v>
      </c>
      <c r="B48" s="12" t="s">
        <v>388</v>
      </c>
      <c r="C48" s="13">
        <v>0</v>
      </c>
      <c r="D48" s="13">
        <v>0</v>
      </c>
      <c r="E48" s="13">
        <v>0</v>
      </c>
      <c r="F48" s="13">
        <v>0</v>
      </c>
      <c r="G48" s="13">
        <v>0</v>
      </c>
      <c r="H48" s="13">
        <v>-824.19</v>
      </c>
      <c r="I48" s="13">
        <v>0</v>
      </c>
      <c r="J48" s="13">
        <v>-6045.3469999999998</v>
      </c>
      <c r="K48" s="13">
        <v>-6272.0309999999999</v>
      </c>
      <c r="L48" s="14">
        <v>-8055.9139999999998</v>
      </c>
    </row>
    <row r="49" spans="1:12" x14ac:dyDescent="0.35">
      <c r="A49" s="12" t="s">
        <v>389</v>
      </c>
      <c r="B49" s="12" t="s">
        <v>390</v>
      </c>
      <c r="C49" s="13">
        <v>-10.47</v>
      </c>
      <c r="D49" s="13">
        <v>-31.898</v>
      </c>
      <c r="E49" s="13">
        <v>-37.826999999999998</v>
      </c>
      <c r="F49" s="13">
        <v>-36.134</v>
      </c>
      <c r="G49" s="13">
        <v>-7.5590000000000002</v>
      </c>
      <c r="H49" s="13">
        <v>0</v>
      </c>
      <c r="I49" s="13">
        <v>0</v>
      </c>
      <c r="J49" s="13">
        <v>-75.445999999999998</v>
      </c>
      <c r="K49" s="13">
        <v>-29.742999999999999</v>
      </c>
      <c r="L49" s="14">
        <v>49.558</v>
      </c>
    </row>
    <row r="50" spans="1:12" x14ac:dyDescent="0.35">
      <c r="A50" s="12" t="s">
        <v>336</v>
      </c>
      <c r="B50" s="12" t="s">
        <v>391</v>
      </c>
      <c r="C50" s="13">
        <v>0</v>
      </c>
      <c r="D50" s="13">
        <v>0</v>
      </c>
      <c r="E50" s="13">
        <v>0</v>
      </c>
      <c r="F50" s="13">
        <v>0</v>
      </c>
      <c r="G50" s="13">
        <v>0</v>
      </c>
      <c r="H50" s="13">
        <v>0</v>
      </c>
      <c r="I50" s="13">
        <v>0</v>
      </c>
      <c r="J50" s="13">
        <v>0</v>
      </c>
      <c r="K50" s="13">
        <v>0</v>
      </c>
      <c r="L50" s="14">
        <v>0</v>
      </c>
    </row>
    <row r="51" spans="1:12" x14ac:dyDescent="0.35">
      <c r="A51" s="9" t="s">
        <v>372</v>
      </c>
      <c r="B51" s="9" t="s">
        <v>392</v>
      </c>
      <c r="C51" s="15">
        <v>1091.6300000000001</v>
      </c>
      <c r="D51" s="15">
        <v>3076.99</v>
      </c>
      <c r="E51" s="15">
        <v>4048.527</v>
      </c>
      <c r="F51" s="15">
        <v>4505.6620000000003</v>
      </c>
      <c r="G51" s="15">
        <v>1237.3109999999999</v>
      </c>
      <c r="H51" s="15">
        <v>-1149.7760000000001</v>
      </c>
      <c r="I51" s="15">
        <v>-664.25400000000002</v>
      </c>
      <c r="J51" s="15">
        <v>-5950.8029999999999</v>
      </c>
      <c r="K51" s="15">
        <v>-4074.4270000000001</v>
      </c>
      <c r="L51" s="16">
        <v>-8946.9110000000001</v>
      </c>
    </row>
    <row r="52" spans="1:12" x14ac:dyDescent="0.35">
      <c r="A52" s="9"/>
      <c r="B52" s="10"/>
      <c r="C52" s="10"/>
      <c r="D52" s="10"/>
      <c r="E52" s="10"/>
      <c r="F52" s="10"/>
      <c r="G52" s="10"/>
      <c r="H52" s="10"/>
      <c r="I52" s="10"/>
      <c r="J52" s="10"/>
      <c r="K52" s="10"/>
      <c r="L52" s="11"/>
    </row>
    <row r="53" spans="1:12" x14ac:dyDescent="0.35">
      <c r="A53" s="12" t="s">
        <v>393</v>
      </c>
      <c r="B53" s="12" t="s">
        <v>394</v>
      </c>
      <c r="C53" s="13">
        <v>-9.1649999999999991</v>
      </c>
      <c r="D53" s="13">
        <v>0</v>
      </c>
      <c r="E53" s="13">
        <v>-39.682000000000002</v>
      </c>
      <c r="F53" s="13">
        <v>0.46899999999999997</v>
      </c>
      <c r="G53" s="13">
        <v>36.049999999999997</v>
      </c>
      <c r="H53" s="13">
        <v>-86.74</v>
      </c>
      <c r="I53" s="13">
        <v>-170.14</v>
      </c>
      <c r="J53" s="13">
        <v>82.683999999999997</v>
      </c>
      <c r="K53" s="13">
        <v>-416.33100000000002</v>
      </c>
      <c r="L53" s="14">
        <v>64.626000000000005</v>
      </c>
    </row>
    <row r="54" spans="1:12" x14ac:dyDescent="0.35">
      <c r="A54" s="9"/>
      <c r="B54" s="10"/>
      <c r="C54" s="10"/>
      <c r="D54" s="10"/>
      <c r="E54" s="10"/>
      <c r="F54" s="10"/>
      <c r="G54" s="10"/>
      <c r="H54" s="10"/>
      <c r="I54" s="10"/>
      <c r="J54" s="10"/>
      <c r="K54" s="10"/>
      <c r="L54" s="11"/>
    </row>
    <row r="55" spans="1:12" x14ac:dyDescent="0.35">
      <c r="A55" s="9" t="s">
        <v>395</v>
      </c>
      <c r="B55" s="9" t="s">
        <v>396</v>
      </c>
      <c r="C55" s="15">
        <v>-341.75400000000002</v>
      </c>
      <c r="D55" s="15">
        <v>1386.028</v>
      </c>
      <c r="E55" s="15">
        <v>989.24599999999998</v>
      </c>
      <c r="F55" s="15">
        <v>1231.7449999999999</v>
      </c>
      <c r="G55" s="15">
        <v>3195.0839999999998</v>
      </c>
      <c r="H55" s="15">
        <v>-2183.759</v>
      </c>
      <c r="I55" s="15">
        <v>-884.529</v>
      </c>
      <c r="J55" s="15">
        <v>1947.933</v>
      </c>
      <c r="K55" s="15">
        <v>688.822</v>
      </c>
      <c r="L55" s="16">
        <v>1831.7829999999999</v>
      </c>
    </row>
    <row r="56" spans="1:12" x14ac:dyDescent="0.35">
      <c r="A56" s="9"/>
      <c r="B56" s="10"/>
      <c r="C56" s="10"/>
      <c r="D56" s="10"/>
      <c r="E56" s="10"/>
      <c r="F56" s="10"/>
      <c r="G56" s="10"/>
      <c r="H56" s="10"/>
      <c r="I56" s="10"/>
      <c r="J56" s="10"/>
      <c r="K56" s="10"/>
      <c r="L56" s="11"/>
    </row>
    <row r="57" spans="1:12" x14ac:dyDescent="0.35">
      <c r="A57" s="9" t="s">
        <v>397</v>
      </c>
      <c r="B57" s="9" t="s">
        <v>398</v>
      </c>
      <c r="C57" s="15">
        <v>26.806000000000001</v>
      </c>
      <c r="D57" s="15">
        <v>113.59099999999999</v>
      </c>
      <c r="E57" s="15">
        <v>131.06899999999999</v>
      </c>
      <c r="F57" s="15">
        <v>599.13199999999995</v>
      </c>
      <c r="G57" s="15">
        <v>291.58199999999999</v>
      </c>
      <c r="H57" s="15">
        <v>509.26499999999999</v>
      </c>
      <c r="I57" s="15">
        <v>811.72</v>
      </c>
      <c r="J57" s="15">
        <v>1154.973</v>
      </c>
      <c r="K57" s="15">
        <v>1641.53</v>
      </c>
      <c r="L57" s="16"/>
    </row>
    <row r="58" spans="1:12" x14ac:dyDescent="0.35">
      <c r="A58" s="9" t="s">
        <v>399</v>
      </c>
      <c r="B58" s="9" t="s">
        <v>400</v>
      </c>
      <c r="C58" s="15">
        <v>138.566</v>
      </c>
      <c r="D58" s="15">
        <v>213.31299999999999</v>
      </c>
      <c r="E58" s="15">
        <v>375.83100000000002</v>
      </c>
      <c r="F58" s="15">
        <v>400.65800000000002</v>
      </c>
      <c r="G58" s="15">
        <v>762.904</v>
      </c>
      <c r="H58" s="15">
        <v>763.43200000000002</v>
      </c>
      <c r="I58" s="15">
        <v>701.69299999999998</v>
      </c>
      <c r="J58" s="15">
        <v>684.50400000000002</v>
      </c>
      <c r="K58" s="15">
        <v>674.50199999999995</v>
      </c>
      <c r="L58" s="16"/>
    </row>
    <row r="59" spans="1:12" x14ac:dyDescent="0.35">
      <c r="A59" s="9"/>
      <c r="B59" s="10"/>
      <c r="C59" s="10"/>
      <c r="D59" s="10"/>
      <c r="E59" s="10"/>
      <c r="F59" s="10"/>
      <c r="G59" s="10"/>
      <c r="H59" s="10"/>
      <c r="I59" s="10"/>
      <c r="J59" s="10"/>
      <c r="K59" s="10"/>
      <c r="L59" s="11"/>
    </row>
    <row r="60" spans="1:12" x14ac:dyDescent="0.35">
      <c r="A60" s="9" t="s">
        <v>114</v>
      </c>
      <c r="B60" s="10"/>
      <c r="C60" s="10"/>
      <c r="D60" s="10"/>
      <c r="E60" s="10"/>
      <c r="F60" s="10"/>
      <c r="G60" s="10"/>
      <c r="H60" s="10"/>
      <c r="I60" s="10"/>
      <c r="J60" s="10"/>
      <c r="K60" s="10"/>
      <c r="L60" s="11"/>
    </row>
    <row r="61" spans="1:12" x14ac:dyDescent="0.35">
      <c r="A61" s="12" t="s">
        <v>118</v>
      </c>
      <c r="B61" s="12" t="s">
        <v>118</v>
      </c>
      <c r="C61" s="13">
        <v>437.32100000000003</v>
      </c>
      <c r="D61" s="13">
        <v>910.59</v>
      </c>
      <c r="E61" s="13">
        <v>1688.383</v>
      </c>
      <c r="F61" s="13">
        <v>2925.9749999999999</v>
      </c>
      <c r="G61" s="13">
        <v>5024.9040000000005</v>
      </c>
      <c r="H61" s="13">
        <v>6792.7259999999997</v>
      </c>
      <c r="I61" s="13">
        <v>6383.1769999999997</v>
      </c>
      <c r="J61" s="13">
        <v>7741.8059999999996</v>
      </c>
      <c r="K61" s="13">
        <v>11214.81</v>
      </c>
      <c r="L61" s="14">
        <v>12969.651</v>
      </c>
    </row>
    <row r="62" spans="1:12" x14ac:dyDescent="0.35">
      <c r="A62" s="12" t="s">
        <v>401</v>
      </c>
      <c r="B62" s="12" t="s">
        <v>120</v>
      </c>
      <c r="C62" s="20">
        <v>4.9523000000000001</v>
      </c>
      <c r="D62" s="20">
        <v>7.7877000000000001</v>
      </c>
      <c r="E62" s="20">
        <v>10.6898</v>
      </c>
      <c r="F62" s="20">
        <v>14.516299999999999</v>
      </c>
      <c r="G62" s="20">
        <v>20.102799999999998</v>
      </c>
      <c r="H62" s="20">
        <v>22.872800000000002</v>
      </c>
      <c r="I62" s="20">
        <v>20.190000000000001</v>
      </c>
      <c r="J62" s="20">
        <v>22.956800000000001</v>
      </c>
      <c r="K62" s="20">
        <v>28.755199999999999</v>
      </c>
      <c r="L62" s="21">
        <v>29.898602282262999</v>
      </c>
    </row>
    <row r="63" spans="1:12" x14ac:dyDescent="0.35">
      <c r="A63" s="12" t="s">
        <v>402</v>
      </c>
      <c r="B63" s="12" t="s">
        <v>403</v>
      </c>
      <c r="C63" s="13">
        <v>0</v>
      </c>
      <c r="D63" s="13">
        <v>0</v>
      </c>
      <c r="E63" s="13">
        <v>0</v>
      </c>
      <c r="F63" s="13" t="s">
        <v>61</v>
      </c>
      <c r="G63" s="13">
        <v>0</v>
      </c>
      <c r="H63" s="13">
        <v>788.34900000000005</v>
      </c>
      <c r="I63" s="13">
        <v>757.38699999999994</v>
      </c>
      <c r="J63" s="13">
        <v>0</v>
      </c>
      <c r="K63" s="13">
        <v>0</v>
      </c>
      <c r="L63" s="14"/>
    </row>
    <row r="64" spans="1:12" x14ac:dyDescent="0.35">
      <c r="A64" s="12" t="s">
        <v>404</v>
      </c>
      <c r="B64" s="12" t="s">
        <v>405</v>
      </c>
      <c r="C64" s="13">
        <v>65.120999999999995</v>
      </c>
      <c r="D64" s="13">
        <v>0</v>
      </c>
      <c r="E64" s="13">
        <v>0</v>
      </c>
      <c r="F64" s="13" t="s">
        <v>61</v>
      </c>
      <c r="G64" s="13" t="s">
        <v>61</v>
      </c>
      <c r="H64" s="13" t="s">
        <v>61</v>
      </c>
      <c r="I64" s="13">
        <v>0</v>
      </c>
      <c r="J64" s="13">
        <v>0</v>
      </c>
      <c r="K64" s="13">
        <v>0</v>
      </c>
      <c r="L64" s="14"/>
    </row>
    <row r="65" spans="1:12" x14ac:dyDescent="0.35">
      <c r="A65" s="12" t="s">
        <v>406</v>
      </c>
      <c r="B65" s="12" t="s">
        <v>407</v>
      </c>
      <c r="C65" s="13">
        <v>-1581.6369999999999</v>
      </c>
      <c r="D65" s="13">
        <v>-1898.5930000000001</v>
      </c>
      <c r="E65" s="13">
        <v>-2854.4250000000002</v>
      </c>
      <c r="F65" s="13">
        <v>-3140.357</v>
      </c>
      <c r="G65" s="13">
        <v>1929.154</v>
      </c>
      <c r="H65" s="13">
        <v>-131.97499999999999</v>
      </c>
      <c r="I65" s="13">
        <v>1618.528</v>
      </c>
      <c r="J65" s="13">
        <v>6925.7489999999998</v>
      </c>
      <c r="K65" s="13">
        <v>6921.826</v>
      </c>
      <c r="L65" s="14">
        <v>8966.9660000000003</v>
      </c>
    </row>
    <row r="66" spans="1:12" x14ac:dyDescent="0.35">
      <c r="A66" s="12" t="s">
        <v>408</v>
      </c>
      <c r="B66" s="12" t="s">
        <v>409</v>
      </c>
      <c r="C66" s="13">
        <v>-1474.0661</v>
      </c>
      <c r="D66" s="13" t="s">
        <v>61</v>
      </c>
      <c r="E66" s="13">
        <v>-2439.1487999999999</v>
      </c>
      <c r="F66" s="13">
        <v>-2573.625</v>
      </c>
      <c r="G66" s="13">
        <v>2591.5911999999998</v>
      </c>
      <c r="H66" s="13">
        <v>538.74720000000002</v>
      </c>
      <c r="I66" s="13">
        <v>2221.1673000000001</v>
      </c>
      <c r="J66" s="13">
        <v>7535.6450999999997</v>
      </c>
      <c r="K66" s="13">
        <v>7550.1174000000001</v>
      </c>
      <c r="L66" s="14">
        <v>9602.0055895481491</v>
      </c>
    </row>
    <row r="67" spans="1:12" x14ac:dyDescent="0.35">
      <c r="A67" s="12" t="s">
        <v>410</v>
      </c>
      <c r="B67" s="12" t="s">
        <v>411</v>
      </c>
      <c r="C67" s="13">
        <v>-581.63699999999994</v>
      </c>
      <c r="D67" s="13">
        <v>1121.9169999999999</v>
      </c>
      <c r="E67" s="13">
        <v>1107.4269999999999</v>
      </c>
      <c r="F67" s="13">
        <v>1328.9490000000001</v>
      </c>
      <c r="G67" s="13">
        <v>2938.6179999999999</v>
      </c>
      <c r="H67" s="13">
        <v>-631.97500000000002</v>
      </c>
      <c r="I67" s="13">
        <v>918.52800000000002</v>
      </c>
      <c r="J67" s="13">
        <v>6925.7489999999998</v>
      </c>
      <c r="K67" s="13">
        <v>8316.2860000000001</v>
      </c>
      <c r="L67" s="14">
        <v>8927.9760000000006</v>
      </c>
    </row>
    <row r="68" spans="1:12" x14ac:dyDescent="0.35">
      <c r="A68" s="12" t="s">
        <v>412</v>
      </c>
      <c r="B68" s="12" t="s">
        <v>413</v>
      </c>
      <c r="C68" s="20">
        <v>-0.36880000000000002</v>
      </c>
      <c r="D68" s="20">
        <v>-0.43959999999999999</v>
      </c>
      <c r="E68" s="20">
        <v>-0.65559999999999996</v>
      </c>
      <c r="F68" s="20">
        <v>-0.71730000000000005</v>
      </c>
      <c r="G68" s="20">
        <v>0.4375</v>
      </c>
      <c r="H68" s="20">
        <v>-2.98E-2</v>
      </c>
      <c r="I68" s="20">
        <v>0.36399999999999999</v>
      </c>
      <c r="J68" s="20">
        <v>1.5684</v>
      </c>
      <c r="K68" s="20">
        <v>1.6114999999999999</v>
      </c>
      <c r="L68" s="21">
        <v>2.1050278224475201</v>
      </c>
    </row>
    <row r="69" spans="1:12" x14ac:dyDescent="0.35">
      <c r="A69" s="12" t="s">
        <v>414</v>
      </c>
      <c r="B69" s="12" t="s">
        <v>415</v>
      </c>
      <c r="C69" s="20" t="s">
        <v>61</v>
      </c>
      <c r="D69" s="20" t="s">
        <v>61</v>
      </c>
      <c r="E69" s="20" t="s">
        <v>61</v>
      </c>
      <c r="F69" s="20" t="s">
        <v>61</v>
      </c>
      <c r="G69" s="20">
        <v>123.5877</v>
      </c>
      <c r="H69" s="20" t="s">
        <v>61</v>
      </c>
      <c r="I69" s="20">
        <v>81.019599999999997</v>
      </c>
      <c r="J69" s="20">
        <v>31.042400000000001</v>
      </c>
      <c r="K69" s="20">
        <v>55.308900000000001</v>
      </c>
      <c r="L69" s="21">
        <v>44.248819730451999</v>
      </c>
    </row>
    <row r="70" spans="1:12" x14ac:dyDescent="0.35">
      <c r="A70" s="12" t="s">
        <v>416</v>
      </c>
      <c r="B70" s="12" t="s">
        <v>417</v>
      </c>
      <c r="C70" s="20">
        <v>-7.8959000000000001</v>
      </c>
      <c r="D70" s="20">
        <v>-3.0868000000000002</v>
      </c>
      <c r="E70" s="20">
        <v>-2.2130000000000001</v>
      </c>
      <c r="F70" s="20">
        <v>-1.5466</v>
      </c>
      <c r="G70" s="20">
        <v>0.87890000000000001</v>
      </c>
      <c r="H70" s="20">
        <v>7.6700000000000004E-2</v>
      </c>
      <c r="I70" s="20">
        <v>0.4511</v>
      </c>
      <c r="J70" s="20">
        <v>1.3451</v>
      </c>
      <c r="K70" s="20">
        <v>0.84499999999999997</v>
      </c>
      <c r="L70" s="21">
        <v>1.10925291607576</v>
      </c>
    </row>
    <row r="71" spans="1:12" x14ac:dyDescent="0.35">
      <c r="A71" s="22" t="s">
        <v>139</v>
      </c>
      <c r="B71" s="22"/>
      <c r="C71" s="22" t="s">
        <v>140</v>
      </c>
      <c r="D71" s="22"/>
      <c r="E71" s="22"/>
      <c r="F71" s="22"/>
      <c r="G71" s="22"/>
      <c r="H71" s="22"/>
      <c r="I71" s="22"/>
      <c r="J71" s="22"/>
      <c r="K71" s="22"/>
      <c r="L71" s="2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FBBD1-9F25-44CB-A3B9-D7256DF23BE5}">
  <sheetPr>
    <tabColor rgb="FFFF0000"/>
  </sheetPr>
  <dimension ref="A1:M18"/>
  <sheetViews>
    <sheetView topLeftCell="I1" workbookViewId="0">
      <selection activeCell="G12" sqref="G12"/>
    </sheetView>
  </sheetViews>
  <sheetFormatPr defaultColWidth="8.88671875" defaultRowHeight="17.399999999999999" x14ac:dyDescent="0.35"/>
  <cols>
    <col min="1" max="1" width="15.44140625" style="2" bestFit="1" customWidth="1"/>
    <col min="2" max="2" width="17.88671875" style="2" bestFit="1" customWidth="1"/>
    <col min="3" max="3" width="25.44140625" style="2" bestFit="1" customWidth="1"/>
    <col min="4" max="4" width="20.88671875" style="2" bestFit="1" customWidth="1"/>
    <col min="5" max="5" width="11.44140625" style="2" bestFit="1" customWidth="1"/>
    <col min="6" max="6" width="13.6640625" style="2" bestFit="1" customWidth="1"/>
    <col min="7" max="7" width="20.6640625" style="2" bestFit="1" customWidth="1"/>
    <col min="8" max="8" width="12.109375" style="2" bestFit="1" customWidth="1"/>
    <col min="9" max="9" width="8.44140625" style="2" bestFit="1" customWidth="1"/>
    <col min="10" max="10" width="9.33203125" style="2" bestFit="1" customWidth="1"/>
    <col min="11" max="11" width="26.109375" style="2" bestFit="1" customWidth="1"/>
    <col min="12" max="12" width="11.88671875" style="2" bestFit="1" customWidth="1"/>
    <col min="13" max="13" width="23" style="2" bestFit="1" customWidth="1"/>
    <col min="14" max="16384" width="8.88671875" style="2"/>
  </cols>
  <sheetData>
    <row r="1" spans="1:13" x14ac:dyDescent="0.35">
      <c r="A1" s="1" t="s">
        <v>418</v>
      </c>
      <c r="B1" s="1" t="s">
        <v>419</v>
      </c>
      <c r="C1" s="1" t="s">
        <v>420</v>
      </c>
      <c r="D1" s="1" t="s">
        <v>421</v>
      </c>
      <c r="E1" s="1" t="s">
        <v>422</v>
      </c>
      <c r="F1" s="1" t="s">
        <v>423</v>
      </c>
      <c r="G1" s="1" t="s">
        <v>424</v>
      </c>
      <c r="H1" s="1" t="s">
        <v>425</v>
      </c>
      <c r="I1" s="1" t="s">
        <v>426</v>
      </c>
      <c r="J1" s="1" t="s">
        <v>427</v>
      </c>
      <c r="K1" s="1" t="s">
        <v>428</v>
      </c>
      <c r="L1" s="1" t="s">
        <v>429</v>
      </c>
      <c r="M1" s="1" t="s">
        <v>430</v>
      </c>
    </row>
    <row r="2" spans="1:13" x14ac:dyDescent="0.35">
      <c r="A2" s="2" t="s">
        <v>431</v>
      </c>
      <c r="B2" s="2" t="s">
        <v>432</v>
      </c>
      <c r="C2" s="2" t="s">
        <v>433</v>
      </c>
      <c r="D2" s="2" t="s">
        <v>434</v>
      </c>
      <c r="E2" s="2" t="s">
        <v>435</v>
      </c>
      <c r="F2" s="2">
        <v>1000000000</v>
      </c>
      <c r="G2" s="2">
        <v>1000000000</v>
      </c>
      <c r="H2" s="2">
        <v>43750000</v>
      </c>
      <c r="I2" s="2">
        <v>4.375</v>
      </c>
      <c r="J2" s="2" t="s">
        <v>436</v>
      </c>
      <c r="K2" s="2" t="s">
        <v>437</v>
      </c>
      <c r="L2" s="2">
        <v>100.52800000000001</v>
      </c>
      <c r="M2" s="2">
        <v>3.8499429158037595</v>
      </c>
    </row>
    <row r="3" spans="1:13" x14ac:dyDescent="0.35">
      <c r="A3" s="2" t="s">
        <v>438</v>
      </c>
      <c r="B3" s="2" t="s">
        <v>439</v>
      </c>
      <c r="C3" s="2" t="s">
        <v>433</v>
      </c>
      <c r="D3" s="2" t="s">
        <v>440</v>
      </c>
      <c r="E3" s="2" t="s">
        <v>441</v>
      </c>
      <c r="F3" s="2">
        <v>1513070000</v>
      </c>
      <c r="G3" s="2">
        <f>1.17*1300000000</f>
        <v>1521000000</v>
      </c>
      <c r="H3" s="2">
        <v>82273181.25</v>
      </c>
      <c r="I3" s="2">
        <v>3.625</v>
      </c>
      <c r="J3" s="2" t="s">
        <v>442</v>
      </c>
      <c r="K3" s="2" t="s">
        <v>437</v>
      </c>
      <c r="L3" s="2">
        <f>1.17*101.609</f>
        <v>118.88252999999999</v>
      </c>
      <c r="M3" s="2">
        <v>2.544718047454249</v>
      </c>
    </row>
    <row r="4" spans="1:13" x14ac:dyDescent="0.35">
      <c r="A4" s="2" t="s">
        <v>443</v>
      </c>
      <c r="B4" s="2" t="s">
        <v>444</v>
      </c>
      <c r="C4" s="2" t="s">
        <v>433</v>
      </c>
      <c r="D4" s="2" t="s">
        <v>445</v>
      </c>
      <c r="E4" s="2" t="s">
        <v>446</v>
      </c>
      <c r="F4" s="2">
        <v>1600000000</v>
      </c>
      <c r="G4" s="2">
        <v>1600000000</v>
      </c>
      <c r="H4" s="2">
        <v>195000000</v>
      </c>
      <c r="I4" s="2">
        <v>4.875</v>
      </c>
      <c r="J4" s="2" t="s">
        <v>436</v>
      </c>
      <c r="K4" s="2" t="s">
        <v>437</v>
      </c>
      <c r="L4" s="2">
        <v>101.99299999999999</v>
      </c>
      <c r="M4" s="2">
        <v>3.9991234486686733</v>
      </c>
    </row>
    <row r="5" spans="1:13" x14ac:dyDescent="0.35">
      <c r="A5" s="2" t="s">
        <v>447</v>
      </c>
      <c r="B5" s="2" t="s">
        <v>448</v>
      </c>
      <c r="C5" s="2" t="s">
        <v>433</v>
      </c>
      <c r="D5" s="2" t="s">
        <v>449</v>
      </c>
      <c r="E5" s="2" t="s">
        <v>450</v>
      </c>
      <c r="F5" s="2">
        <v>1900000000</v>
      </c>
      <c r="G5" s="2">
        <v>1900000000</v>
      </c>
      <c r="H5" s="2">
        <v>334875000</v>
      </c>
      <c r="I5" s="2">
        <v>5.875</v>
      </c>
      <c r="J5" s="2" t="s">
        <v>436</v>
      </c>
      <c r="K5" s="2" t="s">
        <v>437</v>
      </c>
      <c r="L5" s="2">
        <v>105.113</v>
      </c>
      <c r="M5" s="2">
        <v>4.0241076386095349</v>
      </c>
    </row>
    <row r="6" spans="1:13" x14ac:dyDescent="0.35">
      <c r="A6" s="2" t="s">
        <v>451</v>
      </c>
      <c r="B6" s="2" t="s">
        <v>452</v>
      </c>
      <c r="C6" s="2" t="s">
        <v>433</v>
      </c>
      <c r="D6" s="2" t="s">
        <v>453</v>
      </c>
      <c r="E6" s="2" t="s">
        <v>454</v>
      </c>
      <c r="F6" s="2">
        <v>800000000</v>
      </c>
      <c r="G6" s="2">
        <v>800000000</v>
      </c>
      <c r="H6" s="2">
        <v>178500000</v>
      </c>
      <c r="I6" s="2">
        <v>6.375</v>
      </c>
      <c r="J6" s="2" t="s">
        <v>436</v>
      </c>
      <c r="K6" s="2" t="s">
        <v>437</v>
      </c>
      <c r="L6" s="2">
        <v>107.18</v>
      </c>
      <c r="M6" s="2">
        <v>4.1245107527136415</v>
      </c>
    </row>
    <row r="7" spans="1:13" x14ac:dyDescent="0.35">
      <c r="A7" s="2" t="s">
        <v>455</v>
      </c>
      <c r="B7" s="2" t="s">
        <v>456</v>
      </c>
      <c r="C7" s="2" t="s">
        <v>433</v>
      </c>
      <c r="D7" s="2" t="s">
        <v>457</v>
      </c>
      <c r="E7" s="2" t="s">
        <v>454</v>
      </c>
      <c r="F7" s="2">
        <v>1280290000</v>
      </c>
      <c r="G7" s="2">
        <f>1.17*1100000000</f>
        <v>1287000000</v>
      </c>
      <c r="H7" s="2">
        <v>207246943.75</v>
      </c>
      <c r="I7" s="2">
        <v>4.625</v>
      </c>
      <c r="J7" s="2" t="s">
        <v>442</v>
      </c>
      <c r="K7" s="2" t="s">
        <v>437</v>
      </c>
      <c r="L7" s="2">
        <f>1.17*105.57</f>
        <v>123.51689999999998</v>
      </c>
      <c r="M7" s="2">
        <v>2.9645392388595524</v>
      </c>
    </row>
    <row r="8" spans="1:13" x14ac:dyDescent="0.35">
      <c r="A8" s="2" t="s">
        <v>458</v>
      </c>
      <c r="B8" s="2" t="s">
        <v>459</v>
      </c>
      <c r="C8" s="2" t="s">
        <v>433</v>
      </c>
      <c r="D8" s="2" t="s">
        <v>460</v>
      </c>
      <c r="E8" s="2" t="s">
        <v>461</v>
      </c>
      <c r="F8" s="2">
        <v>900000000</v>
      </c>
      <c r="G8" s="2">
        <v>900000000</v>
      </c>
      <c r="H8" s="2">
        <v>213656250</v>
      </c>
      <c r="I8" s="2">
        <v>5.375</v>
      </c>
      <c r="J8" s="2" t="s">
        <v>436</v>
      </c>
      <c r="K8" s="2" t="s">
        <v>437</v>
      </c>
      <c r="L8" s="2">
        <v>104.21299999999999</v>
      </c>
      <c r="M8" s="2">
        <v>4.2131188321545805</v>
      </c>
    </row>
    <row r="9" spans="1:13" x14ac:dyDescent="0.35">
      <c r="A9" s="2" t="s">
        <v>462</v>
      </c>
      <c r="B9" s="2" t="s">
        <v>463</v>
      </c>
      <c r="C9" s="2" t="s">
        <v>433</v>
      </c>
      <c r="D9" s="2" t="s">
        <v>464</v>
      </c>
      <c r="E9" s="2" t="s">
        <v>461</v>
      </c>
      <c r="F9" s="2">
        <v>1396680000</v>
      </c>
      <c r="G9" s="2">
        <f>1.17*1200000000</f>
        <v>1404000000</v>
      </c>
      <c r="H9" s="2">
        <v>239035962.5</v>
      </c>
      <c r="I9" s="2">
        <v>3.875</v>
      </c>
      <c r="J9" s="2" t="s">
        <v>442</v>
      </c>
      <c r="K9" s="2" t="s">
        <v>437</v>
      </c>
      <c r="L9" s="2">
        <f>1.17*103.296</f>
        <v>120.85632</v>
      </c>
      <c r="M9" s="2">
        <v>3.0356056155589668</v>
      </c>
    </row>
    <row r="10" spans="1:13" x14ac:dyDescent="0.35">
      <c r="A10" s="2" t="s">
        <v>465</v>
      </c>
      <c r="B10" s="2" t="s">
        <v>466</v>
      </c>
      <c r="C10" s="2" t="s">
        <v>467</v>
      </c>
      <c r="D10" s="2" t="s">
        <v>468</v>
      </c>
      <c r="E10" s="2" t="s">
        <v>469</v>
      </c>
      <c r="F10" s="2">
        <v>1000000000</v>
      </c>
      <c r="G10" s="2">
        <v>1000000000</v>
      </c>
      <c r="H10" s="2">
        <v>243750000</v>
      </c>
      <c r="I10" s="2">
        <v>4.875</v>
      </c>
      <c r="J10" s="2" t="s">
        <v>436</v>
      </c>
      <c r="K10" s="2" t="s">
        <v>437</v>
      </c>
      <c r="L10" s="2">
        <v>102.333</v>
      </c>
      <c r="M10" s="2">
        <v>4.3109542554371965</v>
      </c>
    </row>
    <row r="11" spans="1:13" x14ac:dyDescent="0.35">
      <c r="A11" s="2" t="s">
        <v>470</v>
      </c>
      <c r="B11" s="2" t="s">
        <v>471</v>
      </c>
      <c r="C11" s="2" t="s">
        <v>467</v>
      </c>
      <c r="D11" s="2" t="s">
        <v>472</v>
      </c>
      <c r="E11" s="2" t="s">
        <v>469</v>
      </c>
      <c r="F11" s="2">
        <v>1280290000</v>
      </c>
      <c r="G11" s="2">
        <f>1.17*1100000000</f>
        <v>1287000000</v>
      </c>
      <c r="H11" s="2">
        <v>232052562.5</v>
      </c>
      <c r="I11" s="2">
        <v>3.625</v>
      </c>
      <c r="J11" s="2" t="s">
        <v>442</v>
      </c>
      <c r="K11" s="2" t="s">
        <v>437</v>
      </c>
      <c r="L11" s="2">
        <f>1.17*102.303</f>
        <v>119.69450999999999</v>
      </c>
      <c r="M11" s="2">
        <v>3.1199597497106852</v>
      </c>
    </row>
    <row r="12" spans="1:13" x14ac:dyDescent="0.35">
      <c r="A12" s="2" t="s">
        <v>473</v>
      </c>
      <c r="B12" s="2" t="s">
        <v>474</v>
      </c>
      <c r="C12" s="2" t="s">
        <v>467</v>
      </c>
      <c r="D12" s="2" t="s">
        <v>475</v>
      </c>
      <c r="E12" s="2" t="s">
        <v>476</v>
      </c>
      <c r="F12" s="2">
        <v>1000000000</v>
      </c>
      <c r="G12" s="2">
        <v>1000000000</v>
      </c>
      <c r="H12" s="2">
        <v>441000000</v>
      </c>
      <c r="I12" s="2">
        <v>4.9000000000000004</v>
      </c>
      <c r="J12" s="2" t="s">
        <v>436</v>
      </c>
      <c r="K12" s="2" t="s">
        <v>437</v>
      </c>
      <c r="L12" s="2">
        <v>102.46299999999999</v>
      </c>
      <c r="M12" s="2">
        <v>4.5597149617700028</v>
      </c>
    </row>
    <row r="13" spans="1:13" x14ac:dyDescent="0.35">
      <c r="A13" s="2" t="s">
        <v>477</v>
      </c>
      <c r="B13" s="2" t="s">
        <v>478</v>
      </c>
      <c r="C13" s="2" t="s">
        <v>467</v>
      </c>
      <c r="D13" s="2" t="s">
        <v>479</v>
      </c>
      <c r="E13" s="2" t="s">
        <v>480</v>
      </c>
      <c r="F13" s="2">
        <v>800000000</v>
      </c>
      <c r="G13" s="2">
        <v>800000000</v>
      </c>
      <c r="H13" s="2">
        <v>1252800000</v>
      </c>
      <c r="I13" s="2">
        <v>5.4</v>
      </c>
      <c r="J13" s="2" t="s">
        <v>436</v>
      </c>
      <c r="K13" s="2" t="s">
        <v>437</v>
      </c>
      <c r="L13" s="2">
        <v>97.835999999999999</v>
      </c>
      <c r="M13" s="2">
        <v>5.5611685714712333</v>
      </c>
    </row>
    <row r="16" spans="1:13" x14ac:dyDescent="0.35">
      <c r="C16" s="427" t="s">
        <v>481</v>
      </c>
      <c r="D16" s="2">
        <f>SUMPRODUCT(G2:G13,L2:L13,M2:M13)/10000</f>
        <v>586284806.5521425</v>
      </c>
    </row>
    <row r="17" spans="3:4" x14ac:dyDescent="0.35">
      <c r="C17" s="427" t="s">
        <v>482</v>
      </c>
      <c r="D17" s="2">
        <f>SUMPRODUCT(G2:G13,L2:L13)/100</f>
        <v>15895476860.799999</v>
      </c>
    </row>
    <row r="18" spans="3:4" x14ac:dyDescent="0.35">
      <c r="C18" s="427" t="s">
        <v>483</v>
      </c>
      <c r="D18" s="426">
        <f>D16/D17</f>
        <v>3.688375074786121E-2</v>
      </c>
    </row>
  </sheetData>
  <conditionalFormatting sqref="J2:J13">
    <cfRule type="notContainsText" dxfId="1" priority="1" operator="notContains" text="USD">
      <formula>ISERROR(SEARCH("USD",J2))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0B382-52EF-F343-B9CD-4C748C552AAA}">
  <sheetPr>
    <tabColor rgb="FF0070C0"/>
  </sheetPr>
  <dimension ref="A1:G67"/>
  <sheetViews>
    <sheetView topLeftCell="A64" workbookViewId="0">
      <selection activeCell="G14" sqref="G14"/>
    </sheetView>
  </sheetViews>
  <sheetFormatPr defaultColWidth="8.88671875" defaultRowHeight="17.399999999999999" x14ac:dyDescent="0.35"/>
  <cols>
    <col min="1" max="1" width="35.109375" style="2" customWidth="1"/>
    <col min="2" max="2" width="0" style="2" hidden="1" customWidth="1"/>
    <col min="3" max="7" width="11.88671875" style="2" customWidth="1"/>
    <col min="8" max="16384" width="8.88671875" style="2"/>
  </cols>
  <sheetData>
    <row r="1" spans="1:7" x14ac:dyDescent="0.35">
      <c r="A1" s="1"/>
      <c r="B1" s="1"/>
      <c r="C1" s="1"/>
      <c r="D1" s="1"/>
      <c r="E1" s="1"/>
      <c r="F1" s="1"/>
      <c r="G1" s="1"/>
    </row>
    <row r="2" spans="1:7" x14ac:dyDescent="0.35">
      <c r="A2" s="3" t="s">
        <v>484</v>
      </c>
      <c r="B2" s="3"/>
      <c r="C2" s="3"/>
      <c r="D2" s="3"/>
      <c r="E2" s="3"/>
      <c r="F2" s="3"/>
      <c r="G2" s="3"/>
    </row>
    <row r="3" spans="1:7" x14ac:dyDescent="0.35">
      <c r="A3" s="4"/>
      <c r="B3" s="4"/>
      <c r="C3" s="4"/>
      <c r="D3" s="4"/>
      <c r="E3" s="4"/>
      <c r="F3" s="4"/>
      <c r="G3" s="4"/>
    </row>
    <row r="4" spans="1:7" x14ac:dyDescent="0.35">
      <c r="A4" s="5" t="s">
        <v>1</v>
      </c>
      <c r="B4" s="5"/>
      <c r="C4" s="6" t="s">
        <v>7</v>
      </c>
      <c r="D4" s="6" t="s">
        <v>8</v>
      </c>
      <c r="E4" s="6" t="s">
        <v>9</v>
      </c>
      <c r="F4" s="6" t="s">
        <v>10</v>
      </c>
      <c r="G4" s="6" t="s">
        <v>11</v>
      </c>
    </row>
    <row r="5" spans="1:7" x14ac:dyDescent="0.35">
      <c r="A5" s="7" t="s">
        <v>12</v>
      </c>
      <c r="B5" s="7"/>
      <c r="C5" s="8" t="s">
        <v>18</v>
      </c>
      <c r="D5" s="8" t="s">
        <v>19</v>
      </c>
      <c r="E5" s="8" t="s">
        <v>20</v>
      </c>
      <c r="F5" s="8" t="s">
        <v>21</v>
      </c>
      <c r="G5" s="8" t="s">
        <v>22</v>
      </c>
    </row>
    <row r="6" spans="1:7" x14ac:dyDescent="0.35">
      <c r="A6" s="9" t="s">
        <v>23</v>
      </c>
      <c r="B6" s="9" t="s">
        <v>24</v>
      </c>
      <c r="C6" s="15">
        <v>29652</v>
      </c>
      <c r="D6" s="15">
        <v>29213</v>
      </c>
      <c r="E6" s="16">
        <v>28727</v>
      </c>
      <c r="F6" s="15">
        <v>28954.388888888901</v>
      </c>
      <c r="G6" s="15">
        <v>29969.777777777799</v>
      </c>
    </row>
    <row r="7" spans="1:7" x14ac:dyDescent="0.35">
      <c r="A7" s="12" t="s">
        <v>25</v>
      </c>
      <c r="B7" s="12" t="s">
        <v>26</v>
      </c>
      <c r="C7" s="13">
        <v>23007</v>
      </c>
      <c r="D7" s="13">
        <v>23448</v>
      </c>
      <c r="E7" s="14">
        <v>24289</v>
      </c>
      <c r="F7" s="13"/>
      <c r="G7" s="13"/>
    </row>
    <row r="8" spans="1:7" x14ac:dyDescent="0.35">
      <c r="A8" s="12" t="s">
        <v>485</v>
      </c>
      <c r="B8" s="12" t="s">
        <v>486</v>
      </c>
      <c r="C8" s="13">
        <v>6645</v>
      </c>
      <c r="D8" s="13">
        <v>5765</v>
      </c>
      <c r="E8" s="14"/>
      <c r="F8" s="13"/>
      <c r="G8" s="13"/>
    </row>
    <row r="9" spans="1:7" x14ac:dyDescent="0.35">
      <c r="A9" s="12" t="s">
        <v>27</v>
      </c>
      <c r="B9" s="12" t="s">
        <v>28</v>
      </c>
      <c r="C9" s="13">
        <v>20017</v>
      </c>
      <c r="D9" s="13">
        <v>19437</v>
      </c>
      <c r="E9" s="14">
        <v>19620</v>
      </c>
      <c r="F9" s="13"/>
      <c r="G9" s="13"/>
    </row>
    <row r="10" spans="1:7" x14ac:dyDescent="0.35">
      <c r="A10" s="12" t="s">
        <v>29</v>
      </c>
      <c r="B10" s="12" t="s">
        <v>30</v>
      </c>
      <c r="C10" s="13">
        <v>20017</v>
      </c>
      <c r="D10" s="13">
        <v>19437</v>
      </c>
      <c r="E10" s="14">
        <v>19620</v>
      </c>
      <c r="F10" s="13"/>
      <c r="G10" s="13"/>
    </row>
    <row r="11" spans="1:7" x14ac:dyDescent="0.35">
      <c r="A11" s="9" t="s">
        <v>31</v>
      </c>
      <c r="B11" s="9" t="s">
        <v>32</v>
      </c>
      <c r="C11" s="15">
        <v>9635</v>
      </c>
      <c r="D11" s="15">
        <v>9776</v>
      </c>
      <c r="E11" s="16">
        <v>9107</v>
      </c>
      <c r="F11" s="15">
        <v>2924.39327777778</v>
      </c>
      <c r="G11" s="15">
        <v>3543.6265244444398</v>
      </c>
    </row>
    <row r="12" spans="1:7" x14ac:dyDescent="0.35">
      <c r="A12" s="12" t="s">
        <v>33</v>
      </c>
      <c r="B12" s="12" t="s">
        <v>34</v>
      </c>
      <c r="C12" s="13">
        <v>0</v>
      </c>
      <c r="D12" s="13">
        <v>0</v>
      </c>
      <c r="E12" s="14">
        <v>0</v>
      </c>
      <c r="F12" s="13"/>
      <c r="G12" s="13"/>
    </row>
    <row r="13" spans="1:7" x14ac:dyDescent="0.35">
      <c r="A13" s="12" t="s">
        <v>35</v>
      </c>
      <c r="B13" s="12" t="s">
        <v>36</v>
      </c>
      <c r="C13" s="13">
        <v>10086</v>
      </c>
      <c r="D13" s="13">
        <v>15045</v>
      </c>
      <c r="E13" s="14">
        <v>7705</v>
      </c>
      <c r="F13" s="13"/>
      <c r="G13" s="13"/>
    </row>
    <row r="14" spans="1:7" x14ac:dyDescent="0.35">
      <c r="A14" s="12" t="s">
        <v>37</v>
      </c>
      <c r="B14" s="12" t="s">
        <v>38</v>
      </c>
      <c r="C14" s="13">
        <v>7245</v>
      </c>
      <c r="D14" s="13">
        <v>6658</v>
      </c>
      <c r="E14" s="14">
        <v>6237</v>
      </c>
      <c r="F14" s="13"/>
      <c r="G14" s="13"/>
    </row>
    <row r="15" spans="1:7" x14ac:dyDescent="0.35">
      <c r="A15" s="12" t="s">
        <v>43</v>
      </c>
      <c r="B15" s="12" t="s">
        <v>44</v>
      </c>
      <c r="C15" s="13">
        <v>0</v>
      </c>
      <c r="D15" s="13" t="s">
        <v>61</v>
      </c>
      <c r="E15" s="14"/>
      <c r="F15" s="13"/>
      <c r="G15" s="13"/>
    </row>
    <row r="16" spans="1:7" x14ac:dyDescent="0.35">
      <c r="A16" s="12" t="s">
        <v>487</v>
      </c>
      <c r="B16" s="12" t="s">
        <v>488</v>
      </c>
      <c r="C16" s="13">
        <v>418</v>
      </c>
      <c r="D16" s="13">
        <v>392</v>
      </c>
      <c r="E16" s="14">
        <v>525</v>
      </c>
      <c r="F16" s="13"/>
      <c r="G16" s="13"/>
    </row>
    <row r="17" spans="1:7" x14ac:dyDescent="0.35">
      <c r="A17" s="12" t="s">
        <v>45</v>
      </c>
      <c r="B17" s="12" t="s">
        <v>46</v>
      </c>
      <c r="C17" s="13">
        <v>2423</v>
      </c>
      <c r="D17" s="13">
        <v>7995</v>
      </c>
      <c r="E17" s="14">
        <v>943</v>
      </c>
      <c r="F17" s="13"/>
      <c r="G17" s="13"/>
    </row>
    <row r="18" spans="1:7" x14ac:dyDescent="0.35">
      <c r="A18" s="9" t="s">
        <v>47</v>
      </c>
      <c r="B18" s="9" t="s">
        <v>48</v>
      </c>
      <c r="C18" s="15">
        <v>-451</v>
      </c>
      <c r="D18" s="15">
        <v>-5269</v>
      </c>
      <c r="E18" s="16">
        <v>1402</v>
      </c>
      <c r="F18" s="15">
        <v>2188.7777777777801</v>
      </c>
      <c r="G18" s="15">
        <v>2412.3000000000002</v>
      </c>
    </row>
    <row r="19" spans="1:7" x14ac:dyDescent="0.35">
      <c r="A19" s="12" t="s">
        <v>49</v>
      </c>
      <c r="B19" s="12" t="s">
        <v>50</v>
      </c>
      <c r="C19" s="13">
        <v>802</v>
      </c>
      <c r="D19" s="13">
        <v>908</v>
      </c>
      <c r="E19" s="14">
        <v>891</v>
      </c>
      <c r="F19" s="13"/>
      <c r="G19" s="13"/>
    </row>
    <row r="20" spans="1:7" x14ac:dyDescent="0.35">
      <c r="A20" s="12" t="s">
        <v>51</v>
      </c>
      <c r="B20" s="12" t="s">
        <v>52</v>
      </c>
      <c r="C20" s="13">
        <v>783</v>
      </c>
      <c r="D20" s="13">
        <v>709</v>
      </c>
      <c r="E20" s="14">
        <v>722</v>
      </c>
      <c r="F20" s="13"/>
      <c r="G20" s="13"/>
    </row>
    <row r="21" spans="1:7" x14ac:dyDescent="0.35">
      <c r="A21" s="17" t="s">
        <v>53</v>
      </c>
      <c r="B21" s="17" t="s">
        <v>54</v>
      </c>
      <c r="C21" s="18">
        <v>920</v>
      </c>
      <c r="D21" s="18">
        <v>860</v>
      </c>
      <c r="E21" s="19">
        <v>869</v>
      </c>
      <c r="F21" s="18"/>
      <c r="G21" s="18"/>
    </row>
    <row r="22" spans="1:7" x14ac:dyDescent="0.35">
      <c r="A22" s="17" t="s">
        <v>55</v>
      </c>
      <c r="B22" s="17" t="s">
        <v>56</v>
      </c>
      <c r="C22" s="18">
        <v>137</v>
      </c>
      <c r="D22" s="18">
        <v>151</v>
      </c>
      <c r="E22" s="19">
        <v>147</v>
      </c>
      <c r="F22" s="18"/>
      <c r="G22" s="18"/>
    </row>
    <row r="23" spans="1:7" x14ac:dyDescent="0.35">
      <c r="A23" s="12" t="s">
        <v>57</v>
      </c>
      <c r="B23" s="12" t="s">
        <v>58</v>
      </c>
      <c r="C23" s="13">
        <v>0</v>
      </c>
      <c r="D23" s="13">
        <v>0</v>
      </c>
      <c r="E23" s="14"/>
      <c r="F23" s="13"/>
      <c r="G23" s="13"/>
    </row>
    <row r="24" spans="1:7" x14ac:dyDescent="0.35">
      <c r="A24" s="12" t="s">
        <v>62</v>
      </c>
      <c r="B24" s="12" t="s">
        <v>63</v>
      </c>
      <c r="C24" s="13">
        <v>19</v>
      </c>
      <c r="D24" s="13">
        <v>199</v>
      </c>
      <c r="E24" s="14">
        <v>169</v>
      </c>
      <c r="F24" s="13"/>
      <c r="G24" s="13"/>
    </row>
    <row r="25" spans="1:7" x14ac:dyDescent="0.35">
      <c r="A25" s="9" t="s">
        <v>64</v>
      </c>
      <c r="B25" s="9" t="s">
        <v>65</v>
      </c>
      <c r="C25" s="15">
        <v>-1253</v>
      </c>
      <c r="D25" s="15">
        <v>-6177</v>
      </c>
      <c r="E25" s="16">
        <v>511</v>
      </c>
      <c r="F25" s="15">
        <v>678.36400000000003</v>
      </c>
      <c r="G25" s="15">
        <v>1371.133</v>
      </c>
    </row>
    <row r="26" spans="1:7" x14ac:dyDescent="0.35">
      <c r="A26" s="12" t="s">
        <v>66</v>
      </c>
      <c r="B26" s="12" t="s">
        <v>67</v>
      </c>
      <c r="C26" s="13">
        <v>-361</v>
      </c>
      <c r="D26" s="13">
        <v>-305</v>
      </c>
      <c r="E26" s="14">
        <v>43</v>
      </c>
      <c r="F26" s="13"/>
      <c r="G26" s="13"/>
    </row>
    <row r="27" spans="1:7" x14ac:dyDescent="0.35">
      <c r="A27" s="12" t="s">
        <v>68</v>
      </c>
      <c r="B27" s="12" t="s">
        <v>69</v>
      </c>
      <c r="C27" s="13">
        <v>289</v>
      </c>
      <c r="D27" s="13">
        <v>325</v>
      </c>
      <c r="E27" s="14"/>
      <c r="F27" s="13"/>
      <c r="G27" s="13"/>
    </row>
    <row r="28" spans="1:7" x14ac:dyDescent="0.35">
      <c r="A28" s="12" t="s">
        <v>70</v>
      </c>
      <c r="B28" s="12" t="s">
        <v>71</v>
      </c>
      <c r="C28" s="13">
        <v>-650</v>
      </c>
      <c r="D28" s="13">
        <v>-630</v>
      </c>
      <c r="E28" s="14"/>
      <c r="F28" s="13"/>
      <c r="G28" s="13"/>
    </row>
    <row r="29" spans="1:7" x14ac:dyDescent="0.35">
      <c r="A29" s="12" t="s">
        <v>489</v>
      </c>
      <c r="B29" s="12" t="s">
        <v>490</v>
      </c>
      <c r="C29" s="13">
        <v>360</v>
      </c>
      <c r="D29" s="13">
        <v>291</v>
      </c>
      <c r="E29" s="14">
        <v>274</v>
      </c>
      <c r="F29" s="13"/>
      <c r="G29" s="13"/>
    </row>
    <row r="30" spans="1:7" x14ac:dyDescent="0.35">
      <c r="A30" s="9" t="s">
        <v>74</v>
      </c>
      <c r="B30" s="9" t="s">
        <v>75</v>
      </c>
      <c r="C30" s="15">
        <v>-1252</v>
      </c>
      <c r="D30" s="15">
        <v>-6163</v>
      </c>
      <c r="E30" s="16">
        <v>194</v>
      </c>
      <c r="F30" s="15">
        <v>-296.46199999999999</v>
      </c>
      <c r="G30" s="15">
        <v>620.74599999999998</v>
      </c>
    </row>
    <row r="31" spans="1:7" x14ac:dyDescent="0.35">
      <c r="A31" s="12" t="s">
        <v>76</v>
      </c>
      <c r="B31" s="12" t="s">
        <v>77</v>
      </c>
      <c r="C31" s="13">
        <v>-676</v>
      </c>
      <c r="D31" s="13">
        <v>-14</v>
      </c>
      <c r="E31" s="14">
        <v>0</v>
      </c>
      <c r="F31" s="13"/>
      <c r="G31" s="13"/>
    </row>
    <row r="32" spans="1:7" x14ac:dyDescent="0.35">
      <c r="A32" s="12" t="s">
        <v>78</v>
      </c>
      <c r="B32" s="12" t="s">
        <v>79</v>
      </c>
      <c r="C32" s="13">
        <v>-676</v>
      </c>
      <c r="D32" s="13">
        <v>-14</v>
      </c>
      <c r="E32" s="14">
        <v>0</v>
      </c>
      <c r="F32" s="13"/>
      <c r="G32" s="13"/>
    </row>
    <row r="33" spans="1:7" x14ac:dyDescent="0.35">
      <c r="A33" s="12" t="s">
        <v>80</v>
      </c>
      <c r="B33" s="12" t="s">
        <v>81</v>
      </c>
      <c r="C33" s="13">
        <v>0</v>
      </c>
      <c r="D33" s="13">
        <v>0</v>
      </c>
      <c r="E33" s="14">
        <v>0</v>
      </c>
      <c r="F33" s="13"/>
      <c r="G33" s="13"/>
    </row>
    <row r="34" spans="1:7" x14ac:dyDescent="0.35">
      <c r="A34" s="9" t="s">
        <v>82</v>
      </c>
      <c r="B34" s="9" t="s">
        <v>83</v>
      </c>
      <c r="C34" s="15">
        <v>-576</v>
      </c>
      <c r="D34" s="15">
        <v>-6149</v>
      </c>
      <c r="E34" s="16">
        <v>194</v>
      </c>
      <c r="F34" s="15"/>
      <c r="G34" s="15"/>
    </row>
    <row r="35" spans="1:7" x14ac:dyDescent="0.35">
      <c r="A35" s="12" t="s">
        <v>84</v>
      </c>
      <c r="B35" s="12" t="s">
        <v>85</v>
      </c>
      <c r="C35" s="13">
        <v>32</v>
      </c>
      <c r="D35" s="13">
        <v>41</v>
      </c>
      <c r="E35" s="14">
        <v>466</v>
      </c>
      <c r="F35" s="13"/>
      <c r="G35" s="13"/>
    </row>
    <row r="36" spans="1:7" x14ac:dyDescent="0.35">
      <c r="A36" s="9" t="s">
        <v>86</v>
      </c>
      <c r="B36" s="9" t="s">
        <v>87</v>
      </c>
      <c r="C36" s="15">
        <v>-608</v>
      </c>
      <c r="D36" s="15">
        <v>-6190</v>
      </c>
      <c r="E36" s="16">
        <v>-272</v>
      </c>
      <c r="F36" s="15">
        <v>-296.46199999999999</v>
      </c>
      <c r="G36" s="15">
        <v>620.74599999999998</v>
      </c>
    </row>
    <row r="37" spans="1:7" x14ac:dyDescent="0.35">
      <c r="A37" s="12" t="s">
        <v>88</v>
      </c>
      <c r="B37" s="12" t="s">
        <v>89</v>
      </c>
      <c r="C37" s="13">
        <v>0</v>
      </c>
      <c r="D37" s="13">
        <v>0</v>
      </c>
      <c r="E37" s="14">
        <v>0</v>
      </c>
      <c r="F37" s="13"/>
      <c r="G37" s="13"/>
    </row>
    <row r="38" spans="1:7" x14ac:dyDescent="0.35">
      <c r="A38" s="12" t="s">
        <v>90</v>
      </c>
      <c r="B38" s="12" t="s">
        <v>91</v>
      </c>
      <c r="C38" s="13">
        <v>0</v>
      </c>
      <c r="D38" s="13">
        <v>0</v>
      </c>
      <c r="E38" s="14">
        <v>0</v>
      </c>
      <c r="F38" s="13"/>
      <c r="G38" s="13"/>
    </row>
    <row r="39" spans="1:7" x14ac:dyDescent="0.35">
      <c r="A39" s="9" t="s">
        <v>92</v>
      </c>
      <c r="B39" s="9" t="s">
        <v>93</v>
      </c>
      <c r="C39" s="15">
        <v>-608</v>
      </c>
      <c r="D39" s="15">
        <v>-6190</v>
      </c>
      <c r="E39" s="16">
        <v>-272</v>
      </c>
      <c r="F39" s="15">
        <v>-296.46199999999999</v>
      </c>
      <c r="G39" s="15">
        <v>620.74599999999998</v>
      </c>
    </row>
    <row r="40" spans="1:7" x14ac:dyDescent="0.35">
      <c r="A40" s="9"/>
      <c r="B40" s="10"/>
      <c r="C40" s="10"/>
      <c r="D40" s="10"/>
      <c r="E40" s="11"/>
      <c r="F40" s="10"/>
      <c r="G40" s="10"/>
    </row>
    <row r="41" spans="1:7" x14ac:dyDescent="0.35">
      <c r="A41" s="9" t="s">
        <v>94</v>
      </c>
      <c r="B41" s="9" t="s">
        <v>93</v>
      </c>
      <c r="C41" s="15">
        <v>400</v>
      </c>
      <c r="D41" s="15">
        <v>1041</v>
      </c>
      <c r="E41" s="16">
        <v>919.81</v>
      </c>
      <c r="F41" s="15">
        <v>248.88900000000001</v>
      </c>
      <c r="G41" s="15">
        <v>1009.333</v>
      </c>
    </row>
    <row r="42" spans="1:7" x14ac:dyDescent="0.35">
      <c r="A42" s="12" t="s">
        <v>95</v>
      </c>
      <c r="B42" s="12" t="s">
        <v>96</v>
      </c>
      <c r="C42" s="13">
        <v>1684</v>
      </c>
      <c r="D42" s="13">
        <v>7245</v>
      </c>
      <c r="E42" s="14">
        <v>1191.81</v>
      </c>
      <c r="F42" s="13"/>
      <c r="G42" s="13"/>
    </row>
    <row r="43" spans="1:7" x14ac:dyDescent="0.35">
      <c r="A43" s="12" t="s">
        <v>97</v>
      </c>
      <c r="B43" s="12" t="s">
        <v>77</v>
      </c>
      <c r="C43" s="13">
        <v>-676</v>
      </c>
      <c r="D43" s="13">
        <v>-14</v>
      </c>
      <c r="E43" s="14">
        <v>0</v>
      </c>
      <c r="F43" s="13"/>
      <c r="G43" s="13"/>
    </row>
    <row r="44" spans="1:7" x14ac:dyDescent="0.35">
      <c r="A44" s="9"/>
      <c r="B44" s="10"/>
      <c r="C44" s="10"/>
      <c r="D44" s="10"/>
      <c r="E44" s="11"/>
      <c r="F44" s="10"/>
      <c r="G44" s="10"/>
    </row>
    <row r="45" spans="1:7" x14ac:dyDescent="0.35">
      <c r="A45" s="12" t="s">
        <v>98</v>
      </c>
      <c r="B45" s="12" t="s">
        <v>99</v>
      </c>
      <c r="C45" s="13">
        <v>652</v>
      </c>
      <c r="D45" s="13">
        <v>664</v>
      </c>
      <c r="E45" s="14">
        <v>1098</v>
      </c>
      <c r="F45" s="13"/>
      <c r="G45" s="13"/>
    </row>
    <row r="46" spans="1:7" x14ac:dyDescent="0.35">
      <c r="A46" s="9" t="s">
        <v>100</v>
      </c>
      <c r="B46" s="9" t="s">
        <v>101</v>
      </c>
      <c r="C46" s="24">
        <v>-1.02</v>
      </c>
      <c r="D46" s="24">
        <v>-9.34</v>
      </c>
      <c r="E46" s="25">
        <v>-0.25406000000000001</v>
      </c>
      <c r="F46" s="24">
        <v>-0.49099999999999999</v>
      </c>
      <c r="G46" s="24">
        <v>0.443</v>
      </c>
    </row>
    <row r="47" spans="1:7" x14ac:dyDescent="0.35">
      <c r="A47" s="9" t="s">
        <v>102</v>
      </c>
      <c r="B47" s="9" t="s">
        <v>103</v>
      </c>
      <c r="C47" s="24">
        <v>-2.06</v>
      </c>
      <c r="D47" s="24">
        <v>-9.36</v>
      </c>
      <c r="E47" s="25">
        <v>-0.25406000000000001</v>
      </c>
      <c r="F47" s="24">
        <v>-0.49099999999999999</v>
      </c>
      <c r="G47" s="24">
        <v>0.443</v>
      </c>
    </row>
    <row r="48" spans="1:7" x14ac:dyDescent="0.35">
      <c r="A48" s="9" t="s">
        <v>104</v>
      </c>
      <c r="B48" s="9" t="s">
        <v>105</v>
      </c>
      <c r="C48" s="24">
        <v>0.61350000000000005</v>
      </c>
      <c r="D48" s="24">
        <v>1.5678000000000001</v>
      </c>
      <c r="E48" s="25">
        <v>1.0936950000000001</v>
      </c>
      <c r="F48" s="24">
        <v>0.628</v>
      </c>
      <c r="G48" s="24">
        <v>1.008</v>
      </c>
    </row>
    <row r="49" spans="1:7" x14ac:dyDescent="0.35">
      <c r="A49" s="9"/>
      <c r="B49" s="10"/>
      <c r="C49" s="10"/>
      <c r="D49" s="10"/>
      <c r="E49" s="11"/>
      <c r="F49" s="10"/>
      <c r="G49" s="10"/>
    </row>
    <row r="50" spans="1:7" x14ac:dyDescent="0.35">
      <c r="A50" s="12" t="s">
        <v>106</v>
      </c>
      <c r="B50" s="12" t="s">
        <v>107</v>
      </c>
      <c r="C50" s="13">
        <v>652</v>
      </c>
      <c r="D50" s="13">
        <v>664</v>
      </c>
      <c r="E50" s="14">
        <v>1098</v>
      </c>
      <c r="F50" s="13"/>
      <c r="G50" s="13"/>
    </row>
    <row r="51" spans="1:7" x14ac:dyDescent="0.35">
      <c r="A51" s="9" t="s">
        <v>108</v>
      </c>
      <c r="B51" s="9" t="s">
        <v>109</v>
      </c>
      <c r="C51" s="24">
        <v>-1.02</v>
      </c>
      <c r="D51" s="24">
        <v>-9.34</v>
      </c>
      <c r="E51" s="25">
        <v>-0.26406000000000002</v>
      </c>
      <c r="F51" s="24">
        <v>-0.49099999999999999</v>
      </c>
      <c r="G51" s="24">
        <v>0.443</v>
      </c>
    </row>
    <row r="52" spans="1:7" x14ac:dyDescent="0.35">
      <c r="A52" s="9" t="s">
        <v>110</v>
      </c>
      <c r="B52" s="9" t="s">
        <v>111</v>
      </c>
      <c r="C52" s="24">
        <v>-2.06</v>
      </c>
      <c r="D52" s="24">
        <v>-9.36</v>
      </c>
      <c r="E52" s="25">
        <v>-0.26406000000000002</v>
      </c>
      <c r="F52" s="24">
        <v>-0.49099999999999999</v>
      </c>
      <c r="G52" s="24">
        <v>0.443</v>
      </c>
    </row>
    <row r="53" spans="1:7" x14ac:dyDescent="0.35">
      <c r="A53" s="9" t="s">
        <v>112</v>
      </c>
      <c r="B53" s="9" t="s">
        <v>113</v>
      </c>
      <c r="C53" s="24">
        <v>0.52280000000000004</v>
      </c>
      <c r="D53" s="24">
        <v>1.5510999999999999</v>
      </c>
      <c r="E53" s="25">
        <v>1.079442</v>
      </c>
      <c r="F53" s="24">
        <v>0.628</v>
      </c>
      <c r="G53" s="24">
        <v>1.008</v>
      </c>
    </row>
    <row r="54" spans="1:7" x14ac:dyDescent="0.35">
      <c r="A54" s="9"/>
      <c r="B54" s="10"/>
      <c r="C54" s="10"/>
      <c r="D54" s="10"/>
      <c r="E54" s="11"/>
      <c r="F54" s="10"/>
      <c r="G54" s="10"/>
    </row>
    <row r="55" spans="1:7" x14ac:dyDescent="0.35">
      <c r="A55" s="9" t="s">
        <v>114</v>
      </c>
      <c r="B55" s="10"/>
      <c r="C55" s="10"/>
      <c r="D55" s="10"/>
      <c r="E55" s="11"/>
      <c r="F55" s="10"/>
      <c r="G55" s="10"/>
    </row>
    <row r="56" spans="1:7" x14ac:dyDescent="0.35">
      <c r="A56" s="12" t="s">
        <v>115</v>
      </c>
      <c r="B56" s="12" t="s">
        <v>116</v>
      </c>
      <c r="C56" s="23" t="s">
        <v>117</v>
      </c>
      <c r="D56" s="23" t="s">
        <v>117</v>
      </c>
      <c r="E56" s="26"/>
      <c r="F56" s="23"/>
      <c r="G56" s="23"/>
    </row>
    <row r="57" spans="1:7" x14ac:dyDescent="0.35">
      <c r="A57" s="12" t="s">
        <v>118</v>
      </c>
      <c r="B57" s="12" t="s">
        <v>118</v>
      </c>
      <c r="C57" s="13">
        <v>292</v>
      </c>
      <c r="D57" s="13">
        <v>-4583</v>
      </c>
      <c r="E57" s="14">
        <v>1927</v>
      </c>
      <c r="F57" s="13">
        <v>3029.2222222222199</v>
      </c>
      <c r="G57" s="13">
        <v>3490.8888888888901</v>
      </c>
    </row>
    <row r="58" spans="1:7" x14ac:dyDescent="0.35">
      <c r="A58" s="12" t="s">
        <v>119</v>
      </c>
      <c r="B58" s="12" t="s">
        <v>120</v>
      </c>
      <c r="C58" s="20">
        <v>0.98480000000000001</v>
      </c>
      <c r="D58" s="20">
        <v>-15.6882</v>
      </c>
      <c r="E58" s="21">
        <v>6.7079750757127403</v>
      </c>
      <c r="F58" s="20">
        <v>10.462047739981699</v>
      </c>
      <c r="G58" s="20">
        <v>11.648030892988301</v>
      </c>
    </row>
    <row r="59" spans="1:7" x14ac:dyDescent="0.35">
      <c r="A59" s="12" t="s">
        <v>122</v>
      </c>
      <c r="B59" s="12" t="s">
        <v>122</v>
      </c>
      <c r="C59" s="13">
        <v>-451</v>
      </c>
      <c r="D59" s="13">
        <v>-5269</v>
      </c>
      <c r="E59" s="14">
        <v>1402</v>
      </c>
      <c r="F59" s="13">
        <v>2188.7777777777801</v>
      </c>
      <c r="G59" s="13">
        <v>2412.3000000000002</v>
      </c>
    </row>
    <row r="60" spans="1:7" x14ac:dyDescent="0.35">
      <c r="A60" s="12" t="s">
        <v>123</v>
      </c>
      <c r="B60" s="12" t="s">
        <v>124</v>
      </c>
      <c r="C60" s="20">
        <v>32.493600000000001</v>
      </c>
      <c r="D60" s="20">
        <v>33.464599999999997</v>
      </c>
      <c r="E60" s="21">
        <v>31.701883245727</v>
      </c>
      <c r="F60" s="20"/>
      <c r="G60" s="20"/>
    </row>
    <row r="61" spans="1:7" x14ac:dyDescent="0.35">
      <c r="A61" s="12" t="s">
        <v>125</v>
      </c>
      <c r="B61" s="12" t="s">
        <v>126</v>
      </c>
      <c r="C61" s="20">
        <v>-1.5209999999999999</v>
      </c>
      <c r="D61" s="20">
        <v>-18.0365</v>
      </c>
      <c r="E61" s="21">
        <v>4.8804260799944297</v>
      </c>
      <c r="F61" s="20">
        <v>7.5593997165680102</v>
      </c>
      <c r="G61" s="20">
        <v>8.0491086720762492</v>
      </c>
    </row>
    <row r="62" spans="1:7" x14ac:dyDescent="0.35">
      <c r="A62" s="12" t="s">
        <v>127</v>
      </c>
      <c r="B62" s="12" t="s">
        <v>128</v>
      </c>
      <c r="C62" s="20">
        <v>-2.0505</v>
      </c>
      <c r="D62" s="20">
        <v>-21.1892</v>
      </c>
      <c r="E62" s="21">
        <v>-0.94684443206739299</v>
      </c>
      <c r="F62" s="20">
        <v>0.85958988808225301</v>
      </c>
      <c r="G62" s="20">
        <v>3.3678360914118199</v>
      </c>
    </row>
    <row r="63" spans="1:7" x14ac:dyDescent="0.35">
      <c r="A63" s="12" t="s">
        <v>129</v>
      </c>
      <c r="B63" s="12" t="s">
        <v>130</v>
      </c>
      <c r="C63" s="20">
        <v>1353972.6026999999</v>
      </c>
      <c r="D63" s="20">
        <v>1570591.3977999999</v>
      </c>
      <c r="E63" s="21"/>
      <c r="F63" s="20"/>
      <c r="G63" s="20"/>
    </row>
    <row r="64" spans="1:7" x14ac:dyDescent="0.35">
      <c r="A64" s="12" t="s">
        <v>131</v>
      </c>
      <c r="B64" s="12" t="s">
        <v>132</v>
      </c>
      <c r="C64" s="20">
        <v>0.39</v>
      </c>
      <c r="D64" s="20">
        <v>0.2</v>
      </c>
      <c r="E64" s="21">
        <v>0.2</v>
      </c>
      <c r="F64" s="20">
        <v>0.2</v>
      </c>
      <c r="G64" s="20">
        <v>0.2</v>
      </c>
    </row>
    <row r="65" spans="1:7" x14ac:dyDescent="0.35">
      <c r="A65" s="12" t="s">
        <v>133</v>
      </c>
      <c r="B65" s="12" t="s">
        <v>134</v>
      </c>
      <c r="C65" s="13">
        <v>261</v>
      </c>
      <c r="D65" s="13">
        <v>138</v>
      </c>
      <c r="E65" s="14">
        <v>198.15</v>
      </c>
      <c r="F65" s="13"/>
      <c r="G65" s="13"/>
    </row>
    <row r="66" spans="1:7" x14ac:dyDescent="0.35">
      <c r="A66" s="12" t="s">
        <v>137</v>
      </c>
      <c r="B66" s="12" t="s">
        <v>138</v>
      </c>
      <c r="C66" s="13">
        <v>630</v>
      </c>
      <c r="D66" s="13">
        <v>559</v>
      </c>
      <c r="E66" s="14"/>
      <c r="F66" s="13"/>
      <c r="G66" s="13"/>
    </row>
    <row r="67" spans="1:7" x14ac:dyDescent="0.35">
      <c r="A67" s="22" t="s">
        <v>139</v>
      </c>
      <c r="B67" s="22"/>
      <c r="C67" s="22" t="s">
        <v>140</v>
      </c>
      <c r="D67" s="22"/>
      <c r="E67" s="22"/>
      <c r="F67" s="22"/>
      <c r="G67" s="2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55C58-27A6-F842-AD1E-4DE16F8EC0DB}">
  <sheetPr>
    <tabColor rgb="FF0070C0"/>
  </sheetPr>
  <dimension ref="A1:D88"/>
  <sheetViews>
    <sheetView topLeftCell="L10" workbookViewId="0">
      <selection activeCell="E17" sqref="E17"/>
    </sheetView>
  </sheetViews>
  <sheetFormatPr defaultColWidth="8.88671875" defaultRowHeight="17.399999999999999" x14ac:dyDescent="0.35"/>
  <cols>
    <col min="1" max="1" width="35.109375" style="2" customWidth="1"/>
    <col min="2" max="2" width="0" style="2" hidden="1" customWidth="1"/>
    <col min="3" max="4" width="11.88671875" style="2" customWidth="1"/>
    <col min="5" max="16384" width="8.88671875" style="2"/>
  </cols>
  <sheetData>
    <row r="1" spans="1:4" x14ac:dyDescent="0.35">
      <c r="A1" s="1"/>
      <c r="B1" s="1"/>
      <c r="C1" s="1"/>
      <c r="D1" s="1"/>
    </row>
    <row r="2" spans="1:4" x14ac:dyDescent="0.35">
      <c r="A2" s="3" t="s">
        <v>491</v>
      </c>
      <c r="B2" s="3"/>
      <c r="C2" s="3"/>
      <c r="D2" s="3"/>
    </row>
    <row r="3" spans="1:4" x14ac:dyDescent="0.35">
      <c r="A3" s="4"/>
      <c r="B3" s="4"/>
      <c r="C3" s="4"/>
      <c r="D3" s="4"/>
    </row>
    <row r="4" spans="1:4" x14ac:dyDescent="0.35">
      <c r="A4" s="5" t="s">
        <v>1</v>
      </c>
      <c r="B4" s="5"/>
      <c r="C4" s="6" t="s">
        <v>7</v>
      </c>
      <c r="D4" s="6" t="s">
        <v>8</v>
      </c>
    </row>
    <row r="5" spans="1:4" x14ac:dyDescent="0.35">
      <c r="A5" s="7" t="s">
        <v>12</v>
      </c>
      <c r="B5" s="7"/>
      <c r="C5" s="8" t="s">
        <v>18</v>
      </c>
      <c r="D5" s="8" t="s">
        <v>19</v>
      </c>
    </row>
    <row r="6" spans="1:4" x14ac:dyDescent="0.35">
      <c r="A6" s="9" t="s">
        <v>148</v>
      </c>
      <c r="B6" s="10"/>
      <c r="C6" s="10"/>
      <c r="D6" s="10"/>
    </row>
    <row r="7" spans="1:4" x14ac:dyDescent="0.35">
      <c r="A7" s="12" t="s">
        <v>149</v>
      </c>
      <c r="B7" s="12" t="s">
        <v>150</v>
      </c>
      <c r="C7" s="13">
        <v>2460</v>
      </c>
      <c r="D7" s="13">
        <v>2661</v>
      </c>
    </row>
    <row r="8" spans="1:4" x14ac:dyDescent="0.35">
      <c r="A8" s="12" t="s">
        <v>151</v>
      </c>
      <c r="B8" s="12" t="s">
        <v>152</v>
      </c>
      <c r="C8" s="13">
        <v>2460</v>
      </c>
      <c r="D8" s="13">
        <v>2661</v>
      </c>
    </row>
    <row r="9" spans="1:4" x14ac:dyDescent="0.35">
      <c r="A9" s="12" t="s">
        <v>153</v>
      </c>
      <c r="B9" s="12" t="s">
        <v>154</v>
      </c>
      <c r="C9" s="13">
        <v>0</v>
      </c>
      <c r="D9" s="13">
        <v>0</v>
      </c>
    </row>
    <row r="10" spans="1:4" x14ac:dyDescent="0.35">
      <c r="A10" s="12" t="s">
        <v>155</v>
      </c>
      <c r="B10" s="12" t="s">
        <v>156</v>
      </c>
      <c r="C10" s="13">
        <v>7115</v>
      </c>
      <c r="D10" s="13">
        <v>6920</v>
      </c>
    </row>
    <row r="11" spans="1:4" x14ac:dyDescent="0.35">
      <c r="A11" s="12" t="s">
        <v>157</v>
      </c>
      <c r="B11" s="12" t="s">
        <v>158</v>
      </c>
      <c r="C11" s="13">
        <v>7115</v>
      </c>
      <c r="D11" s="13">
        <v>6920</v>
      </c>
    </row>
    <row r="12" spans="1:4" x14ac:dyDescent="0.35">
      <c r="A12" s="12" t="s">
        <v>161</v>
      </c>
      <c r="B12" s="12" t="s">
        <v>162</v>
      </c>
      <c r="C12" s="13">
        <v>1414</v>
      </c>
      <c r="D12" s="13">
        <v>1429</v>
      </c>
    </row>
    <row r="13" spans="1:4" x14ac:dyDescent="0.35">
      <c r="A13" s="12" t="s">
        <v>171</v>
      </c>
      <c r="B13" s="12" t="s">
        <v>172</v>
      </c>
      <c r="C13" s="13">
        <v>1714</v>
      </c>
      <c r="D13" s="13">
        <v>1532</v>
      </c>
    </row>
    <row r="14" spans="1:4" x14ac:dyDescent="0.35">
      <c r="A14" s="12" t="s">
        <v>173</v>
      </c>
      <c r="B14" s="12" t="s">
        <v>174</v>
      </c>
      <c r="C14" s="13">
        <v>1677</v>
      </c>
      <c r="D14" s="13">
        <v>1532</v>
      </c>
    </row>
    <row r="15" spans="1:4" x14ac:dyDescent="0.35">
      <c r="A15" s="12" t="s">
        <v>78</v>
      </c>
      <c r="B15" s="12" t="s">
        <v>492</v>
      </c>
      <c r="C15" s="13">
        <v>37</v>
      </c>
      <c r="D15" s="13">
        <v>0</v>
      </c>
    </row>
    <row r="16" spans="1:4" x14ac:dyDescent="0.35">
      <c r="A16" s="12" t="s">
        <v>179</v>
      </c>
      <c r="B16" s="12" t="s">
        <v>180</v>
      </c>
      <c r="C16" s="13">
        <v>0</v>
      </c>
      <c r="D16" s="13">
        <v>0</v>
      </c>
    </row>
    <row r="17" spans="1:4" x14ac:dyDescent="0.35">
      <c r="A17" s="9" t="s">
        <v>181</v>
      </c>
      <c r="B17" s="9" t="s">
        <v>182</v>
      </c>
      <c r="C17" s="15">
        <v>12703</v>
      </c>
      <c r="D17" s="15">
        <v>12542</v>
      </c>
    </row>
    <row r="18" spans="1:4" x14ac:dyDescent="0.35">
      <c r="A18" s="12" t="s">
        <v>183</v>
      </c>
      <c r="B18" s="12" t="s">
        <v>184</v>
      </c>
      <c r="C18" s="13">
        <v>2849</v>
      </c>
      <c r="D18" s="13">
        <v>2578</v>
      </c>
    </row>
    <row r="19" spans="1:4" x14ac:dyDescent="0.35">
      <c r="A19" s="12" t="s">
        <v>185</v>
      </c>
      <c r="B19" s="12" t="s">
        <v>186</v>
      </c>
      <c r="C19" s="13">
        <v>6353</v>
      </c>
      <c r="D19" s="13">
        <v>6258</v>
      </c>
    </row>
    <row r="20" spans="1:4" x14ac:dyDescent="0.35">
      <c r="A20" s="12" t="s">
        <v>187</v>
      </c>
      <c r="B20" s="12" t="s">
        <v>188</v>
      </c>
      <c r="C20" s="13">
        <v>3504</v>
      </c>
      <c r="D20" s="13">
        <v>3680</v>
      </c>
    </row>
    <row r="21" spans="1:4" x14ac:dyDescent="0.35">
      <c r="A21" s="12" t="s">
        <v>189</v>
      </c>
      <c r="B21" s="12" t="s">
        <v>190</v>
      </c>
      <c r="C21" s="13">
        <v>322</v>
      </c>
      <c r="D21" s="13">
        <v>326</v>
      </c>
    </row>
    <row r="22" spans="1:4" x14ac:dyDescent="0.35">
      <c r="A22" s="12" t="s">
        <v>493</v>
      </c>
      <c r="B22" s="12" t="s">
        <v>494</v>
      </c>
      <c r="C22" s="13">
        <v>322</v>
      </c>
      <c r="D22" s="13">
        <v>326</v>
      </c>
    </row>
    <row r="23" spans="1:4" x14ac:dyDescent="0.35">
      <c r="A23" s="12" t="s">
        <v>191</v>
      </c>
      <c r="B23" s="12" t="s">
        <v>192</v>
      </c>
      <c r="C23" s="13">
        <v>37669</v>
      </c>
      <c r="D23" s="13">
        <v>30726</v>
      </c>
    </row>
    <row r="24" spans="1:4" x14ac:dyDescent="0.35">
      <c r="A24" s="12" t="s">
        <v>193</v>
      </c>
      <c r="B24" s="12" t="s">
        <v>194</v>
      </c>
      <c r="C24" s="13">
        <v>19105</v>
      </c>
      <c r="D24" s="13">
        <v>12914</v>
      </c>
    </row>
    <row r="25" spans="1:4" x14ac:dyDescent="0.35">
      <c r="A25" s="17" t="s">
        <v>195</v>
      </c>
      <c r="B25" s="17" t="s">
        <v>196</v>
      </c>
      <c r="C25" s="18">
        <v>16516</v>
      </c>
      <c r="D25" s="18">
        <v>10508</v>
      </c>
    </row>
    <row r="26" spans="1:4" x14ac:dyDescent="0.35">
      <c r="A26" s="17" t="s">
        <v>197</v>
      </c>
      <c r="B26" s="17" t="s">
        <v>198</v>
      </c>
      <c r="C26" s="18">
        <v>2589</v>
      </c>
      <c r="D26" s="18">
        <v>2406</v>
      </c>
    </row>
    <row r="27" spans="1:4" x14ac:dyDescent="0.35">
      <c r="A27" s="12" t="s">
        <v>177</v>
      </c>
      <c r="B27" s="12" t="s">
        <v>199</v>
      </c>
      <c r="C27" s="13">
        <v>1242</v>
      </c>
      <c r="D27" s="13">
        <v>1386</v>
      </c>
    </row>
    <row r="28" spans="1:4" x14ac:dyDescent="0.35">
      <c r="A28" s="12" t="s">
        <v>175</v>
      </c>
      <c r="B28" s="12" t="s">
        <v>200</v>
      </c>
      <c r="C28" s="13">
        <v>0</v>
      </c>
      <c r="D28" s="13">
        <v>0</v>
      </c>
    </row>
    <row r="29" spans="1:4" x14ac:dyDescent="0.35">
      <c r="A29" s="12" t="s">
        <v>78</v>
      </c>
      <c r="B29" s="12" t="s">
        <v>495</v>
      </c>
      <c r="C29" s="13" t="s">
        <v>61</v>
      </c>
      <c r="D29" s="13">
        <v>0</v>
      </c>
    </row>
    <row r="30" spans="1:4" x14ac:dyDescent="0.35">
      <c r="A30" s="12" t="s">
        <v>201</v>
      </c>
      <c r="B30" s="12" t="s">
        <v>202</v>
      </c>
      <c r="C30" s="13">
        <v>17322</v>
      </c>
      <c r="D30" s="13">
        <v>16426</v>
      </c>
    </row>
    <row r="31" spans="1:4" x14ac:dyDescent="0.35">
      <c r="A31" s="9" t="s">
        <v>203</v>
      </c>
      <c r="B31" s="9" t="s">
        <v>204</v>
      </c>
      <c r="C31" s="15">
        <v>40840</v>
      </c>
      <c r="D31" s="15">
        <v>33630</v>
      </c>
    </row>
    <row r="32" spans="1:4" x14ac:dyDescent="0.35">
      <c r="A32" s="9" t="s">
        <v>148</v>
      </c>
      <c r="B32" s="9" t="s">
        <v>205</v>
      </c>
      <c r="C32" s="15">
        <v>53543</v>
      </c>
      <c r="D32" s="15">
        <v>46172</v>
      </c>
    </row>
    <row r="33" spans="1:4" x14ac:dyDescent="0.35">
      <c r="A33" s="9"/>
      <c r="B33" s="10"/>
      <c r="C33" s="10"/>
      <c r="D33" s="10"/>
    </row>
    <row r="34" spans="1:4" x14ac:dyDescent="0.35">
      <c r="A34" s="9" t="s">
        <v>206</v>
      </c>
      <c r="B34" s="10"/>
      <c r="C34" s="10"/>
      <c r="D34" s="10"/>
    </row>
    <row r="35" spans="1:4" x14ac:dyDescent="0.35">
      <c r="A35" s="12" t="s">
        <v>207</v>
      </c>
      <c r="B35" s="12" t="s">
        <v>208</v>
      </c>
      <c r="C35" s="13">
        <v>3204</v>
      </c>
      <c r="D35" s="13">
        <v>3152</v>
      </c>
    </row>
    <row r="36" spans="1:4" x14ac:dyDescent="0.35">
      <c r="A36" s="12" t="s">
        <v>209</v>
      </c>
      <c r="B36" s="12" t="s">
        <v>210</v>
      </c>
      <c r="C36" s="13">
        <v>1100</v>
      </c>
      <c r="D36" s="13">
        <v>953</v>
      </c>
    </row>
    <row r="37" spans="1:4" x14ac:dyDescent="0.35">
      <c r="A37" s="12" t="s">
        <v>215</v>
      </c>
      <c r="B37" s="12" t="s">
        <v>216</v>
      </c>
      <c r="C37" s="13">
        <v>2104</v>
      </c>
      <c r="D37" s="13">
        <v>2199</v>
      </c>
    </row>
    <row r="38" spans="1:4" x14ac:dyDescent="0.35">
      <c r="A38" s="12" t="s">
        <v>217</v>
      </c>
      <c r="B38" s="12" t="s">
        <v>218</v>
      </c>
      <c r="C38" s="13">
        <v>1</v>
      </c>
      <c r="D38" s="13">
        <v>0</v>
      </c>
    </row>
    <row r="39" spans="1:4" x14ac:dyDescent="0.35">
      <c r="A39" s="12" t="s">
        <v>219</v>
      </c>
      <c r="B39" s="12" t="s">
        <v>220</v>
      </c>
      <c r="C39" s="13">
        <v>0</v>
      </c>
      <c r="D39" s="13">
        <v>0</v>
      </c>
    </row>
    <row r="40" spans="1:4" x14ac:dyDescent="0.35">
      <c r="A40" s="12" t="s">
        <v>221</v>
      </c>
      <c r="B40" s="12" t="s">
        <v>222</v>
      </c>
      <c r="C40" s="13">
        <v>0</v>
      </c>
      <c r="D40" s="13" t="s">
        <v>61</v>
      </c>
    </row>
    <row r="41" spans="1:4" x14ac:dyDescent="0.35">
      <c r="A41" s="17" t="s">
        <v>223</v>
      </c>
      <c r="B41" s="17" t="s">
        <v>224</v>
      </c>
      <c r="C41" s="18">
        <v>0</v>
      </c>
      <c r="D41" s="18" t="s">
        <v>61</v>
      </c>
    </row>
    <row r="42" spans="1:4" x14ac:dyDescent="0.35">
      <c r="A42" s="12" t="s">
        <v>496</v>
      </c>
      <c r="B42" s="12" t="s">
        <v>497</v>
      </c>
      <c r="C42" s="13">
        <v>1</v>
      </c>
      <c r="D42" s="13">
        <v>0</v>
      </c>
    </row>
    <row r="43" spans="1:4" x14ac:dyDescent="0.35">
      <c r="A43" s="12" t="s">
        <v>227</v>
      </c>
      <c r="B43" s="12" t="s">
        <v>228</v>
      </c>
      <c r="C43" s="13">
        <v>6451</v>
      </c>
      <c r="D43" s="13">
        <v>6479</v>
      </c>
    </row>
    <row r="44" spans="1:4" x14ac:dyDescent="0.35">
      <c r="A44" s="12" t="s">
        <v>229</v>
      </c>
      <c r="B44" s="12" t="s">
        <v>230</v>
      </c>
      <c r="C44" s="13">
        <v>746</v>
      </c>
      <c r="D44" s="13">
        <v>825</v>
      </c>
    </row>
    <row r="45" spans="1:4" x14ac:dyDescent="0.35">
      <c r="A45" s="12" t="s">
        <v>233</v>
      </c>
      <c r="B45" s="12" t="s">
        <v>234</v>
      </c>
      <c r="C45" s="13">
        <v>5705</v>
      </c>
      <c r="D45" s="13">
        <v>5654</v>
      </c>
    </row>
    <row r="46" spans="1:4" x14ac:dyDescent="0.35">
      <c r="A46" s="9" t="s">
        <v>235</v>
      </c>
      <c r="B46" s="9" t="s">
        <v>236</v>
      </c>
      <c r="C46" s="15">
        <v>9656</v>
      </c>
      <c r="D46" s="15">
        <v>9631</v>
      </c>
    </row>
    <row r="47" spans="1:4" x14ac:dyDescent="0.35">
      <c r="A47" s="12" t="s">
        <v>237</v>
      </c>
      <c r="B47" s="12" t="s">
        <v>238</v>
      </c>
      <c r="C47" s="13">
        <v>15857</v>
      </c>
      <c r="D47" s="13">
        <v>15549</v>
      </c>
    </row>
    <row r="48" spans="1:4" x14ac:dyDescent="0.35">
      <c r="A48" s="12" t="s">
        <v>239</v>
      </c>
      <c r="B48" s="12" t="s">
        <v>240</v>
      </c>
      <c r="C48" s="13">
        <v>14601</v>
      </c>
      <c r="D48" s="13">
        <v>14501</v>
      </c>
    </row>
    <row r="49" spans="1:4" x14ac:dyDescent="0.35">
      <c r="A49" s="12" t="s">
        <v>241</v>
      </c>
      <c r="B49" s="12" t="s">
        <v>242</v>
      </c>
      <c r="C49" s="13">
        <v>1256</v>
      </c>
      <c r="D49" s="13">
        <v>1048</v>
      </c>
    </row>
    <row r="50" spans="1:4" x14ac:dyDescent="0.35">
      <c r="A50" s="17" t="s">
        <v>243</v>
      </c>
      <c r="B50" s="17" t="s">
        <v>244</v>
      </c>
      <c r="C50" s="18">
        <v>0</v>
      </c>
      <c r="D50" s="18" t="s">
        <v>61</v>
      </c>
    </row>
    <row r="51" spans="1:4" x14ac:dyDescent="0.35">
      <c r="A51" s="17" t="s">
        <v>245</v>
      </c>
      <c r="B51" s="17" t="s">
        <v>246</v>
      </c>
      <c r="C51" s="18">
        <v>1256</v>
      </c>
      <c r="D51" s="18">
        <v>1048</v>
      </c>
    </row>
    <row r="52" spans="1:4" x14ac:dyDescent="0.35">
      <c r="A52" s="12" t="s">
        <v>247</v>
      </c>
      <c r="B52" s="12" t="s">
        <v>248</v>
      </c>
      <c r="C52" s="13">
        <v>4980</v>
      </c>
      <c r="D52" s="13">
        <v>4210</v>
      </c>
    </row>
    <row r="53" spans="1:4" x14ac:dyDescent="0.35">
      <c r="A53" s="12" t="s">
        <v>249</v>
      </c>
      <c r="B53" s="12" t="s">
        <v>250</v>
      </c>
      <c r="C53" s="13">
        <v>0</v>
      </c>
      <c r="D53" s="13">
        <v>0</v>
      </c>
    </row>
    <row r="54" spans="1:4" x14ac:dyDescent="0.35">
      <c r="A54" s="12" t="s">
        <v>251</v>
      </c>
      <c r="B54" s="12" t="s">
        <v>252</v>
      </c>
      <c r="C54" s="13">
        <v>1337</v>
      </c>
      <c r="D54" s="13">
        <v>1226</v>
      </c>
    </row>
    <row r="55" spans="1:4" x14ac:dyDescent="0.35">
      <c r="A55" s="12" t="s">
        <v>229</v>
      </c>
      <c r="B55" s="12" t="s">
        <v>257</v>
      </c>
      <c r="C55" s="13">
        <v>0</v>
      </c>
      <c r="D55" s="13">
        <v>0</v>
      </c>
    </row>
    <row r="56" spans="1:4" x14ac:dyDescent="0.35">
      <c r="A56" s="12" t="s">
        <v>498</v>
      </c>
      <c r="B56" s="12" t="s">
        <v>499</v>
      </c>
      <c r="C56" s="13">
        <v>503</v>
      </c>
      <c r="D56" s="13">
        <v>34</v>
      </c>
    </row>
    <row r="57" spans="1:4" x14ac:dyDescent="0.35">
      <c r="A57" s="12" t="s">
        <v>231</v>
      </c>
      <c r="B57" s="12" t="s">
        <v>258</v>
      </c>
      <c r="C57" s="13">
        <v>0</v>
      </c>
      <c r="D57" s="13">
        <v>0</v>
      </c>
    </row>
    <row r="58" spans="1:4" x14ac:dyDescent="0.35">
      <c r="A58" s="12" t="s">
        <v>78</v>
      </c>
      <c r="B58" s="12" t="s">
        <v>500</v>
      </c>
      <c r="C58" s="13" t="s">
        <v>61</v>
      </c>
      <c r="D58" s="13">
        <v>0</v>
      </c>
    </row>
    <row r="59" spans="1:4" x14ac:dyDescent="0.35">
      <c r="A59" s="12" t="s">
        <v>259</v>
      </c>
      <c r="B59" s="12" t="s">
        <v>260</v>
      </c>
      <c r="C59" s="13">
        <v>3140</v>
      </c>
      <c r="D59" s="13">
        <v>2950</v>
      </c>
    </row>
    <row r="60" spans="1:4" x14ac:dyDescent="0.35">
      <c r="A60" s="9" t="s">
        <v>261</v>
      </c>
      <c r="B60" s="9" t="s">
        <v>262</v>
      </c>
      <c r="C60" s="15">
        <v>20837</v>
      </c>
      <c r="D60" s="15">
        <v>19759</v>
      </c>
    </row>
    <row r="61" spans="1:4" x14ac:dyDescent="0.35">
      <c r="A61" s="9" t="s">
        <v>263</v>
      </c>
      <c r="B61" s="9" t="s">
        <v>264</v>
      </c>
      <c r="C61" s="15">
        <v>30493</v>
      </c>
      <c r="D61" s="15">
        <v>29390</v>
      </c>
    </row>
    <row r="62" spans="1:4" x14ac:dyDescent="0.35">
      <c r="A62" s="12" t="s">
        <v>265</v>
      </c>
      <c r="B62" s="12" t="s">
        <v>266</v>
      </c>
      <c r="C62" s="13">
        <v>0</v>
      </c>
      <c r="D62" s="13">
        <v>0</v>
      </c>
    </row>
    <row r="63" spans="1:4" x14ac:dyDescent="0.35">
      <c r="A63" s="12" t="s">
        <v>267</v>
      </c>
      <c r="B63" s="12" t="s">
        <v>268</v>
      </c>
      <c r="C63" s="13">
        <v>33211</v>
      </c>
      <c r="D63" s="13">
        <v>33395</v>
      </c>
    </row>
    <row r="64" spans="1:4" x14ac:dyDescent="0.35">
      <c r="A64" s="12" t="s">
        <v>269</v>
      </c>
      <c r="B64" s="12" t="s">
        <v>270</v>
      </c>
      <c r="C64" s="13">
        <v>1</v>
      </c>
      <c r="D64" s="13">
        <v>1</v>
      </c>
    </row>
    <row r="65" spans="1:4" x14ac:dyDescent="0.35">
      <c r="A65" s="12" t="s">
        <v>271</v>
      </c>
      <c r="B65" s="12" t="s">
        <v>272</v>
      </c>
      <c r="C65" s="13">
        <v>33210</v>
      </c>
      <c r="D65" s="13">
        <v>33394</v>
      </c>
    </row>
    <row r="66" spans="1:4" x14ac:dyDescent="0.35">
      <c r="A66" s="12" t="s">
        <v>273</v>
      </c>
      <c r="B66" s="12" t="s">
        <v>274</v>
      </c>
      <c r="C66" s="13">
        <v>22958</v>
      </c>
      <c r="D66" s="13">
        <v>22958</v>
      </c>
    </row>
    <row r="67" spans="1:4" x14ac:dyDescent="0.35">
      <c r="A67" s="12" t="s">
        <v>275</v>
      </c>
      <c r="B67" s="12" t="s">
        <v>276</v>
      </c>
      <c r="C67" s="13">
        <v>13829</v>
      </c>
      <c r="D67" s="13">
        <v>7487</v>
      </c>
    </row>
    <row r="68" spans="1:4" x14ac:dyDescent="0.35">
      <c r="A68" s="12" t="s">
        <v>277</v>
      </c>
      <c r="B68" s="12" t="s">
        <v>278</v>
      </c>
      <c r="C68" s="13">
        <v>-1556</v>
      </c>
      <c r="D68" s="13">
        <v>-1604</v>
      </c>
    </row>
    <row r="69" spans="1:4" x14ac:dyDescent="0.35">
      <c r="A69" s="9" t="s">
        <v>279</v>
      </c>
      <c r="B69" s="9" t="s">
        <v>280</v>
      </c>
      <c r="C69" s="15">
        <v>22526</v>
      </c>
      <c r="D69" s="15">
        <v>16320</v>
      </c>
    </row>
    <row r="70" spans="1:4" x14ac:dyDescent="0.35">
      <c r="A70" s="12" t="s">
        <v>281</v>
      </c>
      <c r="B70" s="12" t="s">
        <v>282</v>
      </c>
      <c r="C70" s="13">
        <v>524</v>
      </c>
      <c r="D70" s="13">
        <v>462</v>
      </c>
    </row>
    <row r="71" spans="1:4" x14ac:dyDescent="0.35">
      <c r="A71" s="9" t="s">
        <v>283</v>
      </c>
      <c r="B71" s="9" t="s">
        <v>284</v>
      </c>
      <c r="C71" s="15">
        <v>23050</v>
      </c>
      <c r="D71" s="15">
        <v>16782</v>
      </c>
    </row>
    <row r="72" spans="1:4" x14ac:dyDescent="0.35">
      <c r="A72" s="9" t="s">
        <v>285</v>
      </c>
      <c r="B72" s="9" t="s">
        <v>286</v>
      </c>
      <c r="C72" s="15">
        <v>53543</v>
      </c>
      <c r="D72" s="15">
        <v>46172</v>
      </c>
    </row>
    <row r="73" spans="1:4" x14ac:dyDescent="0.35">
      <c r="A73" s="9"/>
      <c r="B73" s="10"/>
      <c r="C73" s="10"/>
      <c r="D73" s="10"/>
    </row>
    <row r="74" spans="1:4" x14ac:dyDescent="0.35">
      <c r="A74" s="9" t="s">
        <v>114</v>
      </c>
      <c r="B74" s="10"/>
      <c r="C74" s="10"/>
      <c r="D74" s="10"/>
    </row>
    <row r="75" spans="1:4" x14ac:dyDescent="0.35">
      <c r="A75" s="12" t="s">
        <v>115</v>
      </c>
      <c r="B75" s="12" t="s">
        <v>116</v>
      </c>
      <c r="C75" s="23" t="s">
        <v>117</v>
      </c>
      <c r="D75" s="23" t="s">
        <v>117</v>
      </c>
    </row>
    <row r="76" spans="1:4" x14ac:dyDescent="0.35">
      <c r="A76" s="12" t="s">
        <v>287</v>
      </c>
      <c r="B76" s="12" t="s">
        <v>288</v>
      </c>
      <c r="C76" s="13">
        <v>653</v>
      </c>
      <c r="D76" s="13">
        <v>671</v>
      </c>
    </row>
    <row r="77" spans="1:4" x14ac:dyDescent="0.35">
      <c r="A77" s="12" t="s">
        <v>289</v>
      </c>
      <c r="B77" s="12" t="s">
        <v>290</v>
      </c>
      <c r="C77" s="13">
        <v>503</v>
      </c>
      <c r="D77" s="13">
        <v>503</v>
      </c>
    </row>
    <row r="78" spans="1:4" x14ac:dyDescent="0.35">
      <c r="A78" s="12" t="s">
        <v>291</v>
      </c>
      <c r="B78" s="12" t="s">
        <v>292</v>
      </c>
      <c r="C78" s="13">
        <v>1337</v>
      </c>
      <c r="D78" s="13">
        <v>1226</v>
      </c>
    </row>
    <row r="79" spans="1:4" x14ac:dyDescent="0.35">
      <c r="A79" s="12" t="s">
        <v>293</v>
      </c>
      <c r="B79" s="12" t="s">
        <v>294</v>
      </c>
      <c r="C79" s="13">
        <v>1740</v>
      </c>
      <c r="D79" s="13">
        <v>1532</v>
      </c>
    </row>
    <row r="80" spans="1:4" x14ac:dyDescent="0.35">
      <c r="A80" s="12" t="s">
        <v>295</v>
      </c>
      <c r="B80" s="12" t="s">
        <v>296</v>
      </c>
      <c r="C80" s="13">
        <v>0</v>
      </c>
      <c r="D80" s="13" t="s">
        <v>61</v>
      </c>
    </row>
    <row r="81" spans="1:4" x14ac:dyDescent="0.35">
      <c r="A81" s="12" t="s">
        <v>299</v>
      </c>
      <c r="B81" s="12" t="s">
        <v>300</v>
      </c>
      <c r="C81" s="13" t="s">
        <v>61</v>
      </c>
      <c r="D81" s="13">
        <v>2.7984</v>
      </c>
    </row>
    <row r="82" spans="1:4" x14ac:dyDescent="0.35">
      <c r="A82" s="12" t="s">
        <v>301</v>
      </c>
      <c r="B82" s="12" t="s">
        <v>302</v>
      </c>
      <c r="C82" s="13">
        <v>13398</v>
      </c>
      <c r="D82" s="13">
        <v>12888</v>
      </c>
    </row>
    <row r="83" spans="1:4" x14ac:dyDescent="0.35">
      <c r="A83" s="12" t="s">
        <v>303</v>
      </c>
      <c r="B83" s="12" t="s">
        <v>304</v>
      </c>
      <c r="C83" s="20">
        <v>58.125799999999998</v>
      </c>
      <c r="D83" s="20">
        <v>76.796599999999998</v>
      </c>
    </row>
    <row r="84" spans="1:4" x14ac:dyDescent="0.35">
      <c r="A84" s="12" t="s">
        <v>305</v>
      </c>
      <c r="B84" s="12" t="s">
        <v>306</v>
      </c>
      <c r="C84" s="20">
        <v>9.9337999999999997</v>
      </c>
      <c r="D84" s="20">
        <v>10.241099999999999</v>
      </c>
    </row>
    <row r="85" spans="1:4" x14ac:dyDescent="0.35">
      <c r="A85" s="12" t="s">
        <v>307</v>
      </c>
      <c r="B85" s="12" t="s">
        <v>308</v>
      </c>
      <c r="C85" s="20">
        <v>1.3156000000000001</v>
      </c>
      <c r="D85" s="20">
        <v>1.3023</v>
      </c>
    </row>
    <row r="86" spans="1:4" x14ac:dyDescent="0.35">
      <c r="A86" s="12" t="s">
        <v>501</v>
      </c>
      <c r="B86" s="12" t="s">
        <v>502</v>
      </c>
      <c r="C86" s="20" t="s">
        <v>61</v>
      </c>
      <c r="D86" s="20">
        <v>95.372699999999995</v>
      </c>
    </row>
    <row r="87" spans="1:4" x14ac:dyDescent="0.35">
      <c r="A87" s="12" t="s">
        <v>311</v>
      </c>
      <c r="B87" s="12" t="s">
        <v>312</v>
      </c>
      <c r="C87" s="20">
        <v>21900</v>
      </c>
      <c r="D87" s="20">
        <v>18600</v>
      </c>
    </row>
    <row r="88" spans="1:4" x14ac:dyDescent="0.35">
      <c r="A88" s="22" t="s">
        <v>139</v>
      </c>
      <c r="B88" s="22"/>
      <c r="C88" s="22" t="s">
        <v>140</v>
      </c>
      <c r="D88" s="2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94751-8E17-4546-92BE-ECABB3BEE7B4}">
  <sheetPr>
    <tabColor rgb="FF0070C0"/>
  </sheetPr>
  <dimension ref="A1:E65"/>
  <sheetViews>
    <sheetView workbookViewId="0">
      <selection activeCell="F21" sqref="F21"/>
    </sheetView>
  </sheetViews>
  <sheetFormatPr defaultColWidth="8.88671875" defaultRowHeight="17.399999999999999" x14ac:dyDescent="0.35"/>
  <cols>
    <col min="1" max="1" width="35.109375" style="2" customWidth="1"/>
    <col min="2" max="2" width="0" style="2" hidden="1" customWidth="1"/>
    <col min="3" max="5" width="11.88671875" style="2" customWidth="1"/>
    <col min="6" max="16384" width="8.88671875" style="2"/>
  </cols>
  <sheetData>
    <row r="1" spans="1:5" x14ac:dyDescent="0.35">
      <c r="A1" s="1"/>
      <c r="B1" s="1"/>
      <c r="C1" s="1"/>
      <c r="D1" s="1"/>
      <c r="E1" s="1"/>
    </row>
    <row r="2" spans="1:5" x14ac:dyDescent="0.35">
      <c r="A2" s="3" t="s">
        <v>491</v>
      </c>
      <c r="B2" s="3"/>
      <c r="C2" s="3"/>
      <c r="D2" s="3"/>
      <c r="E2" s="3"/>
    </row>
    <row r="3" spans="1:5" x14ac:dyDescent="0.35">
      <c r="A3" s="4"/>
      <c r="B3" s="4"/>
      <c r="C3" s="4"/>
      <c r="D3" s="4"/>
      <c r="E3" s="4"/>
    </row>
    <row r="4" spans="1:5" x14ac:dyDescent="0.35">
      <c r="A4" s="5" t="s">
        <v>1</v>
      </c>
      <c r="B4" s="5"/>
      <c r="C4" s="6" t="s">
        <v>7</v>
      </c>
      <c r="D4" s="6" t="s">
        <v>8</v>
      </c>
      <c r="E4" s="6" t="s">
        <v>9</v>
      </c>
    </row>
    <row r="5" spans="1:5" x14ac:dyDescent="0.35">
      <c r="A5" s="7" t="s">
        <v>12</v>
      </c>
      <c r="B5" s="7"/>
      <c r="C5" s="8" t="s">
        <v>18</v>
      </c>
      <c r="D5" s="8" t="s">
        <v>19</v>
      </c>
      <c r="E5" s="8" t="s">
        <v>20</v>
      </c>
    </row>
    <row r="6" spans="1:5" x14ac:dyDescent="0.35">
      <c r="A6" s="9" t="s">
        <v>313</v>
      </c>
      <c r="B6" s="10"/>
      <c r="C6" s="10"/>
      <c r="D6" s="10"/>
      <c r="E6" s="11"/>
    </row>
    <row r="7" spans="1:5" x14ac:dyDescent="0.35">
      <c r="A7" s="12" t="s">
        <v>314</v>
      </c>
      <c r="B7" s="12" t="s">
        <v>315</v>
      </c>
      <c r="C7" s="13">
        <v>-608</v>
      </c>
      <c r="D7" s="13">
        <v>-6190</v>
      </c>
      <c r="E7" s="14">
        <v>-272</v>
      </c>
    </row>
    <row r="8" spans="1:5" x14ac:dyDescent="0.35">
      <c r="A8" s="12" t="s">
        <v>316</v>
      </c>
      <c r="B8" s="12" t="s">
        <v>317</v>
      </c>
      <c r="C8" s="13">
        <v>418</v>
      </c>
      <c r="D8" s="13">
        <v>392</v>
      </c>
      <c r="E8" s="14">
        <v>525</v>
      </c>
    </row>
    <row r="9" spans="1:5" x14ac:dyDescent="0.35">
      <c r="A9" s="12" t="s">
        <v>318</v>
      </c>
      <c r="B9" s="12" t="s">
        <v>319</v>
      </c>
      <c r="C9" s="13">
        <v>16216</v>
      </c>
      <c r="D9" s="13">
        <v>21099</v>
      </c>
      <c r="E9" s="14">
        <v>14667</v>
      </c>
    </row>
    <row r="10" spans="1:5" x14ac:dyDescent="0.35">
      <c r="A10" s="12" t="s">
        <v>320</v>
      </c>
      <c r="B10" s="12" t="s">
        <v>321</v>
      </c>
      <c r="C10" s="13">
        <v>177</v>
      </c>
      <c r="D10" s="13">
        <v>245</v>
      </c>
      <c r="E10" s="14">
        <v>242</v>
      </c>
    </row>
    <row r="11" spans="1:5" x14ac:dyDescent="0.35">
      <c r="A11" s="12" t="s">
        <v>322</v>
      </c>
      <c r="B11" s="12" t="s">
        <v>323</v>
      </c>
      <c r="C11" s="13">
        <v>-650</v>
      </c>
      <c r="D11" s="13">
        <v>-630</v>
      </c>
      <c r="E11" s="14">
        <v>-382</v>
      </c>
    </row>
    <row r="12" spans="1:5" x14ac:dyDescent="0.35">
      <c r="A12" s="12" t="s">
        <v>324</v>
      </c>
      <c r="B12" s="12" t="s">
        <v>325</v>
      </c>
      <c r="C12" s="13">
        <v>16689</v>
      </c>
      <c r="D12" s="13">
        <v>21484</v>
      </c>
      <c r="E12" s="14">
        <v>14807</v>
      </c>
    </row>
    <row r="13" spans="1:5" x14ac:dyDescent="0.35">
      <c r="A13" s="12" t="s">
        <v>326</v>
      </c>
      <c r="B13" s="12" t="s">
        <v>327</v>
      </c>
      <c r="C13" s="13">
        <v>-15642</v>
      </c>
      <c r="D13" s="13">
        <v>-14549</v>
      </c>
      <c r="E13" s="14"/>
    </row>
    <row r="14" spans="1:5" x14ac:dyDescent="0.35">
      <c r="A14" s="12" t="s">
        <v>328</v>
      </c>
      <c r="B14" s="12" t="s">
        <v>329</v>
      </c>
      <c r="C14" s="13">
        <v>523</v>
      </c>
      <c r="D14" s="13">
        <v>548</v>
      </c>
      <c r="E14" s="14"/>
    </row>
    <row r="15" spans="1:5" x14ac:dyDescent="0.35">
      <c r="A15" s="12" t="s">
        <v>330</v>
      </c>
      <c r="B15" s="12" t="s">
        <v>331</v>
      </c>
      <c r="C15" s="13">
        <v>-15518</v>
      </c>
      <c r="D15" s="13">
        <v>-15812</v>
      </c>
      <c r="E15" s="14"/>
    </row>
    <row r="16" spans="1:5" x14ac:dyDescent="0.35">
      <c r="A16" s="12" t="s">
        <v>334</v>
      </c>
      <c r="B16" s="12" t="s">
        <v>335</v>
      </c>
      <c r="C16" s="13">
        <v>-647</v>
      </c>
      <c r="D16" s="13">
        <v>715</v>
      </c>
      <c r="E16" s="14">
        <v>-14320</v>
      </c>
    </row>
    <row r="17" spans="1:5" x14ac:dyDescent="0.35">
      <c r="A17" s="12" t="s">
        <v>336</v>
      </c>
      <c r="B17" s="12" t="s">
        <v>337</v>
      </c>
      <c r="C17" s="13">
        <v>91</v>
      </c>
      <c r="D17" s="13">
        <v>0</v>
      </c>
      <c r="E17" s="14"/>
    </row>
    <row r="18" spans="1:5" x14ac:dyDescent="0.35">
      <c r="A18" s="9" t="s">
        <v>313</v>
      </c>
      <c r="B18" s="9" t="s">
        <v>338</v>
      </c>
      <c r="C18" s="15">
        <v>475</v>
      </c>
      <c r="D18" s="15">
        <v>752</v>
      </c>
      <c r="E18" s="16">
        <v>600</v>
      </c>
    </row>
    <row r="19" spans="1:5" x14ac:dyDescent="0.35">
      <c r="A19" s="9"/>
      <c r="B19" s="10"/>
      <c r="C19" s="10"/>
      <c r="D19" s="10"/>
      <c r="E19" s="11"/>
    </row>
    <row r="20" spans="1:5" x14ac:dyDescent="0.35">
      <c r="A20" s="9" t="s">
        <v>339</v>
      </c>
      <c r="B20" s="10"/>
      <c r="C20" s="10"/>
      <c r="D20" s="10"/>
      <c r="E20" s="11"/>
    </row>
    <row r="21" spans="1:5" x14ac:dyDescent="0.35">
      <c r="A21" s="12" t="s">
        <v>340</v>
      </c>
      <c r="B21" s="12" t="s">
        <v>341</v>
      </c>
      <c r="C21" s="13">
        <v>-257</v>
      </c>
      <c r="D21" s="13">
        <v>291</v>
      </c>
      <c r="E21" s="14">
        <v>333</v>
      </c>
    </row>
    <row r="22" spans="1:5" x14ac:dyDescent="0.35">
      <c r="A22" s="12" t="s">
        <v>342</v>
      </c>
      <c r="B22" s="12" t="s">
        <v>343</v>
      </c>
      <c r="C22" s="13">
        <v>71</v>
      </c>
      <c r="D22" s="13">
        <v>554</v>
      </c>
      <c r="E22" s="14">
        <v>625</v>
      </c>
    </row>
    <row r="23" spans="1:5" x14ac:dyDescent="0.35">
      <c r="A23" s="17" t="s">
        <v>344</v>
      </c>
      <c r="B23" s="17" t="s">
        <v>345</v>
      </c>
      <c r="C23" s="18">
        <v>71</v>
      </c>
      <c r="D23" s="18">
        <v>554</v>
      </c>
      <c r="E23" s="19">
        <v>625</v>
      </c>
    </row>
    <row r="24" spans="1:5" x14ac:dyDescent="0.35">
      <c r="A24" s="17" t="s">
        <v>346</v>
      </c>
      <c r="B24" s="17" t="s">
        <v>347</v>
      </c>
      <c r="C24" s="18">
        <v>0</v>
      </c>
      <c r="D24" s="18">
        <v>0</v>
      </c>
      <c r="E24" s="19">
        <v>0</v>
      </c>
    </row>
    <row r="25" spans="1:5" x14ac:dyDescent="0.35">
      <c r="A25" s="12" t="s">
        <v>348</v>
      </c>
      <c r="B25" s="12" t="s">
        <v>349</v>
      </c>
      <c r="C25" s="13">
        <v>-328</v>
      </c>
      <c r="D25" s="13">
        <v>-263</v>
      </c>
      <c r="E25" s="14">
        <v>-292</v>
      </c>
    </row>
    <row r="26" spans="1:5" x14ac:dyDescent="0.35">
      <c r="A26" s="17" t="s">
        <v>350</v>
      </c>
      <c r="B26" s="17" t="s">
        <v>351</v>
      </c>
      <c r="C26" s="18">
        <v>-328</v>
      </c>
      <c r="D26" s="18">
        <v>-263</v>
      </c>
      <c r="E26" s="19">
        <v>-292</v>
      </c>
    </row>
    <row r="27" spans="1:5" x14ac:dyDescent="0.35">
      <c r="A27" s="17" t="s">
        <v>352</v>
      </c>
      <c r="B27" s="17" t="s">
        <v>353</v>
      </c>
      <c r="C27" s="18">
        <v>0</v>
      </c>
      <c r="D27" s="18">
        <v>0</v>
      </c>
      <c r="E27" s="19">
        <v>0</v>
      </c>
    </row>
    <row r="28" spans="1:5" x14ac:dyDescent="0.35">
      <c r="A28" s="12" t="s">
        <v>354</v>
      </c>
      <c r="B28" s="12" t="s">
        <v>355</v>
      </c>
      <c r="C28" s="13" t="s">
        <v>61</v>
      </c>
      <c r="D28" s="13" t="s">
        <v>61</v>
      </c>
      <c r="E28" s="14">
        <v>-206</v>
      </c>
    </row>
    <row r="29" spans="1:5" x14ac:dyDescent="0.35">
      <c r="A29" s="12" t="s">
        <v>360</v>
      </c>
      <c r="B29" s="12" t="s">
        <v>361</v>
      </c>
      <c r="C29" s="13">
        <v>0</v>
      </c>
      <c r="D29" s="13">
        <v>0</v>
      </c>
      <c r="E29" s="14">
        <v>0</v>
      </c>
    </row>
    <row r="30" spans="1:5" x14ac:dyDescent="0.35">
      <c r="A30" s="12" t="s">
        <v>362</v>
      </c>
      <c r="B30" s="12" t="s">
        <v>363</v>
      </c>
      <c r="C30" s="13">
        <v>0</v>
      </c>
      <c r="D30" s="13">
        <v>0</v>
      </c>
      <c r="E30" s="14">
        <v>0</v>
      </c>
    </row>
    <row r="31" spans="1:5" x14ac:dyDescent="0.35">
      <c r="A31" s="12" t="s">
        <v>364</v>
      </c>
      <c r="B31" s="12" t="s">
        <v>365</v>
      </c>
      <c r="C31" s="13">
        <v>0</v>
      </c>
      <c r="D31" s="13">
        <v>0</v>
      </c>
      <c r="E31" s="14">
        <v>0</v>
      </c>
    </row>
    <row r="32" spans="1:5" x14ac:dyDescent="0.35">
      <c r="A32" s="12" t="s">
        <v>366</v>
      </c>
      <c r="B32" s="12" t="s">
        <v>367</v>
      </c>
      <c r="C32" s="13">
        <v>0</v>
      </c>
      <c r="D32" s="13">
        <v>0</v>
      </c>
      <c r="E32" s="14">
        <v>0</v>
      </c>
    </row>
    <row r="33" spans="1:5" x14ac:dyDescent="0.35">
      <c r="A33" s="12" t="s">
        <v>368</v>
      </c>
      <c r="B33" s="12" t="s">
        <v>369</v>
      </c>
      <c r="C33" s="13">
        <v>-325</v>
      </c>
      <c r="D33" s="13">
        <v>-334</v>
      </c>
      <c r="E33" s="14">
        <v>-123</v>
      </c>
    </row>
    <row r="34" spans="1:5" x14ac:dyDescent="0.35">
      <c r="A34" s="12" t="s">
        <v>336</v>
      </c>
      <c r="B34" s="12" t="s">
        <v>370</v>
      </c>
      <c r="C34" s="13">
        <v>1524</v>
      </c>
      <c r="D34" s="13">
        <v>55</v>
      </c>
      <c r="E34" s="14">
        <v>7</v>
      </c>
    </row>
    <row r="35" spans="1:5" x14ac:dyDescent="0.35">
      <c r="A35" s="9" t="s">
        <v>339</v>
      </c>
      <c r="B35" s="9" t="s">
        <v>371</v>
      </c>
      <c r="C35" s="15">
        <v>942</v>
      </c>
      <c r="D35" s="15">
        <v>12</v>
      </c>
      <c r="E35" s="16">
        <v>11</v>
      </c>
    </row>
    <row r="36" spans="1:5" x14ac:dyDescent="0.35">
      <c r="A36" s="9"/>
      <c r="B36" s="10"/>
      <c r="C36" s="10"/>
      <c r="D36" s="10"/>
      <c r="E36" s="11"/>
    </row>
    <row r="37" spans="1:5" x14ac:dyDescent="0.35">
      <c r="A37" s="9" t="s">
        <v>372</v>
      </c>
      <c r="B37" s="10"/>
      <c r="C37" s="10"/>
      <c r="D37" s="10"/>
      <c r="E37" s="11"/>
    </row>
    <row r="38" spans="1:5" x14ac:dyDescent="0.35">
      <c r="A38" s="12" t="s">
        <v>373</v>
      </c>
      <c r="B38" s="12" t="s">
        <v>374</v>
      </c>
      <c r="C38" s="13">
        <v>-447</v>
      </c>
      <c r="D38" s="13">
        <v>-168</v>
      </c>
      <c r="E38" s="14">
        <v>-171</v>
      </c>
    </row>
    <row r="39" spans="1:5" x14ac:dyDescent="0.35">
      <c r="A39" s="12" t="s">
        <v>375</v>
      </c>
      <c r="B39" s="12" t="s">
        <v>376</v>
      </c>
      <c r="C39" s="13">
        <v>-1232</v>
      </c>
      <c r="D39" s="13">
        <v>-126</v>
      </c>
      <c r="E39" s="14">
        <v>-126</v>
      </c>
    </row>
    <row r="40" spans="1:5" x14ac:dyDescent="0.35">
      <c r="A40" s="12" t="s">
        <v>377</v>
      </c>
      <c r="B40" s="12" t="s">
        <v>378</v>
      </c>
      <c r="C40" s="13" t="s">
        <v>61</v>
      </c>
      <c r="D40" s="13" t="s">
        <v>61</v>
      </c>
      <c r="E40" s="14">
        <v>0</v>
      </c>
    </row>
    <row r="41" spans="1:5" x14ac:dyDescent="0.35">
      <c r="A41" s="12" t="s">
        <v>379</v>
      </c>
      <c r="B41" s="12" t="s">
        <v>380</v>
      </c>
      <c r="C41" s="13">
        <v>45</v>
      </c>
      <c r="D41" s="13">
        <v>0</v>
      </c>
      <c r="E41" s="14">
        <v>0</v>
      </c>
    </row>
    <row r="42" spans="1:5" x14ac:dyDescent="0.35">
      <c r="A42" s="12" t="s">
        <v>381</v>
      </c>
      <c r="B42" s="12" t="s">
        <v>382</v>
      </c>
      <c r="C42" s="13">
        <v>-1277</v>
      </c>
      <c r="D42" s="13">
        <v>-126</v>
      </c>
      <c r="E42" s="14">
        <v>-126</v>
      </c>
    </row>
    <row r="43" spans="1:5" x14ac:dyDescent="0.35">
      <c r="A43" s="12" t="s">
        <v>383</v>
      </c>
      <c r="B43" s="12" t="s">
        <v>384</v>
      </c>
      <c r="C43" s="13">
        <v>0</v>
      </c>
      <c r="D43" s="13">
        <v>0</v>
      </c>
      <c r="E43" s="14">
        <v>0</v>
      </c>
    </row>
    <row r="44" spans="1:5" x14ac:dyDescent="0.35">
      <c r="A44" s="12" t="s">
        <v>385</v>
      </c>
      <c r="B44" s="12" t="s">
        <v>386</v>
      </c>
      <c r="C44" s="13">
        <v>0</v>
      </c>
      <c r="D44" s="13">
        <v>0</v>
      </c>
      <c r="E44" s="14">
        <v>0</v>
      </c>
    </row>
    <row r="45" spans="1:5" x14ac:dyDescent="0.35">
      <c r="A45" s="12" t="s">
        <v>387</v>
      </c>
      <c r="B45" s="12" t="s">
        <v>388</v>
      </c>
      <c r="C45" s="13">
        <v>0</v>
      </c>
      <c r="D45" s="13">
        <v>0</v>
      </c>
      <c r="E45" s="14">
        <v>0</v>
      </c>
    </row>
    <row r="46" spans="1:5" x14ac:dyDescent="0.35">
      <c r="A46" s="12" t="s">
        <v>389</v>
      </c>
      <c r="B46" s="12" t="s">
        <v>390</v>
      </c>
      <c r="C46" s="13">
        <v>-162</v>
      </c>
      <c r="D46" s="13">
        <v>-213</v>
      </c>
      <c r="E46" s="14">
        <v>-892</v>
      </c>
    </row>
    <row r="47" spans="1:5" x14ac:dyDescent="0.35">
      <c r="A47" s="12" t="s">
        <v>336</v>
      </c>
      <c r="B47" s="12" t="s">
        <v>391</v>
      </c>
      <c r="C47" s="13" t="s">
        <v>61</v>
      </c>
      <c r="D47" s="13" t="s">
        <v>61</v>
      </c>
      <c r="E47" s="14">
        <v>0</v>
      </c>
    </row>
    <row r="48" spans="1:5" x14ac:dyDescent="0.35">
      <c r="A48" s="9" t="s">
        <v>372</v>
      </c>
      <c r="B48" s="9" t="s">
        <v>392</v>
      </c>
      <c r="C48" s="15">
        <v>-1841</v>
      </c>
      <c r="D48" s="15">
        <v>-507</v>
      </c>
      <c r="E48" s="16">
        <v>-1189</v>
      </c>
    </row>
    <row r="49" spans="1:5" x14ac:dyDescent="0.35">
      <c r="A49" s="9"/>
      <c r="B49" s="10"/>
      <c r="C49" s="10"/>
      <c r="D49" s="10"/>
      <c r="E49" s="11"/>
    </row>
    <row r="50" spans="1:5" x14ac:dyDescent="0.35">
      <c r="A50" s="12" t="s">
        <v>393</v>
      </c>
      <c r="B50" s="12" t="s">
        <v>394</v>
      </c>
      <c r="C50" s="13">
        <v>-1</v>
      </c>
      <c r="D50" s="13">
        <v>-56</v>
      </c>
      <c r="E50" s="14">
        <v>7</v>
      </c>
    </row>
    <row r="51" spans="1:5" x14ac:dyDescent="0.35">
      <c r="A51" s="9"/>
      <c r="B51" s="10"/>
      <c r="C51" s="10"/>
      <c r="D51" s="10"/>
      <c r="E51" s="11"/>
    </row>
    <row r="52" spans="1:5" x14ac:dyDescent="0.35">
      <c r="A52" s="9" t="s">
        <v>395</v>
      </c>
      <c r="B52" s="9" t="s">
        <v>396</v>
      </c>
      <c r="C52" s="15">
        <v>-425</v>
      </c>
      <c r="D52" s="15">
        <v>201</v>
      </c>
      <c r="E52" s="16">
        <v>-571</v>
      </c>
    </row>
    <row r="53" spans="1:5" x14ac:dyDescent="0.35">
      <c r="A53" s="9"/>
      <c r="B53" s="10"/>
      <c r="C53" s="10"/>
      <c r="D53" s="10"/>
      <c r="E53" s="11"/>
    </row>
    <row r="54" spans="1:5" x14ac:dyDescent="0.35">
      <c r="A54" s="9" t="s">
        <v>397</v>
      </c>
      <c r="B54" s="9" t="s">
        <v>398</v>
      </c>
      <c r="C54" s="15">
        <v>22</v>
      </c>
      <c r="D54" s="15">
        <v>184</v>
      </c>
      <c r="E54" s="16">
        <v>328</v>
      </c>
    </row>
    <row r="55" spans="1:5" x14ac:dyDescent="0.35">
      <c r="A55" s="9" t="s">
        <v>399</v>
      </c>
      <c r="B55" s="9" t="s">
        <v>400</v>
      </c>
      <c r="C55" s="15">
        <v>901</v>
      </c>
      <c r="D55" s="15">
        <v>833</v>
      </c>
      <c r="E55" s="16">
        <v>829</v>
      </c>
    </row>
    <row r="56" spans="1:5" x14ac:dyDescent="0.35">
      <c r="A56" s="9"/>
      <c r="B56" s="10"/>
      <c r="C56" s="10"/>
      <c r="D56" s="10"/>
      <c r="E56" s="11"/>
    </row>
    <row r="57" spans="1:5" x14ac:dyDescent="0.35">
      <c r="A57" s="9" t="s">
        <v>114</v>
      </c>
      <c r="B57" s="10"/>
      <c r="C57" s="10"/>
      <c r="D57" s="10"/>
      <c r="E57" s="11"/>
    </row>
    <row r="58" spans="1:5" x14ac:dyDescent="0.35">
      <c r="A58" s="12" t="s">
        <v>118</v>
      </c>
      <c r="B58" s="12" t="s">
        <v>118</v>
      </c>
      <c r="C58" s="13">
        <v>292</v>
      </c>
      <c r="D58" s="13">
        <v>-4583</v>
      </c>
      <c r="E58" s="14">
        <v>1927</v>
      </c>
    </row>
    <row r="59" spans="1:5" x14ac:dyDescent="0.35">
      <c r="A59" s="12" t="s">
        <v>401</v>
      </c>
      <c r="B59" s="12" t="s">
        <v>120</v>
      </c>
      <c r="C59" s="20">
        <v>0.98480000000000001</v>
      </c>
      <c r="D59" s="20">
        <v>-15.6882</v>
      </c>
      <c r="E59" s="21">
        <v>6.7079750757127403</v>
      </c>
    </row>
    <row r="60" spans="1:5" x14ac:dyDescent="0.35">
      <c r="A60" s="12" t="s">
        <v>406</v>
      </c>
      <c r="B60" s="12" t="s">
        <v>407</v>
      </c>
      <c r="C60" s="13">
        <v>147</v>
      </c>
      <c r="D60" s="13">
        <v>489</v>
      </c>
      <c r="E60" s="14">
        <v>308</v>
      </c>
    </row>
    <row r="61" spans="1:5" x14ac:dyDescent="0.35">
      <c r="A61" s="12" t="s">
        <v>408</v>
      </c>
      <c r="B61" s="12" t="s">
        <v>409</v>
      </c>
      <c r="C61" s="13" t="s">
        <v>61</v>
      </c>
      <c r="D61" s="13" t="s">
        <v>61</v>
      </c>
      <c r="E61" s="14">
        <v>762.15241422868996</v>
      </c>
    </row>
    <row r="62" spans="1:5" x14ac:dyDescent="0.35">
      <c r="A62" s="12" t="s">
        <v>410</v>
      </c>
      <c r="B62" s="12" t="s">
        <v>411</v>
      </c>
      <c r="C62" s="13" t="s">
        <v>61</v>
      </c>
      <c r="D62" s="13">
        <v>917</v>
      </c>
      <c r="E62" s="14">
        <v>807</v>
      </c>
    </row>
    <row r="63" spans="1:5" x14ac:dyDescent="0.35">
      <c r="A63" s="12" t="s">
        <v>412</v>
      </c>
      <c r="B63" s="12" t="s">
        <v>413</v>
      </c>
      <c r="C63" s="20">
        <v>0.22550000000000001</v>
      </c>
      <c r="D63" s="20">
        <v>0.73640000000000005</v>
      </c>
      <c r="E63" s="21">
        <v>0.44929283077145699</v>
      </c>
    </row>
    <row r="64" spans="1:5" x14ac:dyDescent="0.35">
      <c r="A64" s="12" t="s">
        <v>414</v>
      </c>
      <c r="B64" s="12" t="s">
        <v>415</v>
      </c>
      <c r="C64" s="20" t="s">
        <v>61</v>
      </c>
      <c r="D64" s="20" t="s">
        <v>61</v>
      </c>
      <c r="E64" s="21">
        <v>32.807111001101198</v>
      </c>
    </row>
    <row r="65" spans="1:5" x14ac:dyDescent="0.35">
      <c r="A65" s="22" t="s">
        <v>139</v>
      </c>
      <c r="B65" s="22"/>
      <c r="C65" s="22" t="s">
        <v>140</v>
      </c>
      <c r="D65" s="22"/>
      <c r="E65" s="2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0ABCD-6A89-5C45-B263-120259E885F8}">
  <sheetPr>
    <tabColor rgb="FF0070C0"/>
  </sheetPr>
  <dimension ref="A1:M33"/>
  <sheetViews>
    <sheetView workbookViewId="0">
      <selection activeCell="D36" sqref="D36"/>
    </sheetView>
  </sheetViews>
  <sheetFormatPr defaultColWidth="8.88671875" defaultRowHeight="17.399999999999999" x14ac:dyDescent="0.35"/>
  <cols>
    <col min="1" max="1" width="17.44140625" style="2" bestFit="1" customWidth="1"/>
    <col min="2" max="2" width="17.88671875" style="2" bestFit="1" customWidth="1"/>
    <col min="3" max="3" width="25.44140625" style="2" bestFit="1" customWidth="1"/>
    <col min="4" max="4" width="25" style="2" bestFit="1" customWidth="1"/>
    <col min="5" max="5" width="25.44140625" style="2" bestFit="1" customWidth="1"/>
    <col min="6" max="6" width="13.6640625" style="2" bestFit="1" customWidth="1"/>
    <col min="7" max="7" width="20.6640625" style="2" bestFit="1" customWidth="1"/>
    <col min="8" max="8" width="12.109375" style="2" bestFit="1" customWidth="1"/>
    <col min="9" max="9" width="25.44140625" style="2" bestFit="1" customWidth="1"/>
    <col min="10" max="10" width="9.33203125" style="2" bestFit="1" customWidth="1"/>
    <col min="11" max="11" width="26.109375" style="2" bestFit="1" customWidth="1"/>
    <col min="12" max="12" width="11.88671875" style="2" bestFit="1" customWidth="1"/>
    <col min="13" max="13" width="23" style="2" bestFit="1" customWidth="1"/>
    <col min="14" max="16384" width="8.88671875" style="2"/>
  </cols>
  <sheetData>
    <row r="1" spans="1:13" x14ac:dyDescent="0.35">
      <c r="A1" s="1" t="s">
        <v>418</v>
      </c>
      <c r="B1" s="1" t="s">
        <v>419</v>
      </c>
      <c r="C1" s="1" t="s">
        <v>420</v>
      </c>
      <c r="D1" s="1" t="s">
        <v>421</v>
      </c>
      <c r="E1" s="1" t="s">
        <v>422</v>
      </c>
      <c r="F1" s="1" t="s">
        <v>423</v>
      </c>
      <c r="G1" s="1" t="s">
        <v>424</v>
      </c>
      <c r="H1" s="1" t="s">
        <v>425</v>
      </c>
      <c r="I1" s="1" t="s">
        <v>426</v>
      </c>
      <c r="J1" s="1" t="s">
        <v>427</v>
      </c>
      <c r="K1" s="1" t="s">
        <v>428</v>
      </c>
      <c r="L1" s="1" t="s">
        <v>429</v>
      </c>
      <c r="M1" s="1" t="s">
        <v>430</v>
      </c>
    </row>
    <row r="2" spans="1:13" x14ac:dyDescent="0.35">
      <c r="A2" s="2" t="s">
        <v>503</v>
      </c>
      <c r="B2" s="2" t="s">
        <v>504</v>
      </c>
      <c r="C2" s="2" t="s">
        <v>467</v>
      </c>
      <c r="D2" s="2" t="s">
        <v>505</v>
      </c>
      <c r="E2" s="2" t="s">
        <v>506</v>
      </c>
      <c r="F2" s="2">
        <v>346688000</v>
      </c>
      <c r="G2" s="2">
        <v>346688000</v>
      </c>
      <c r="H2" s="2">
        <v>6933760</v>
      </c>
      <c r="I2" s="2">
        <v>4</v>
      </c>
      <c r="J2" s="2" t="s">
        <v>436</v>
      </c>
      <c r="K2" s="2" t="s">
        <v>437</v>
      </c>
      <c r="L2" s="2">
        <v>99.873000000000005</v>
      </c>
      <c r="M2" s="2">
        <v>5.5910754078869216</v>
      </c>
    </row>
    <row r="3" spans="1:13" x14ac:dyDescent="0.35">
      <c r="A3" s="2" t="s">
        <v>507</v>
      </c>
      <c r="B3" s="2" t="s">
        <v>508</v>
      </c>
      <c r="C3" s="2" t="s">
        <v>467</v>
      </c>
      <c r="D3" s="2" t="s">
        <v>509</v>
      </c>
      <c r="E3" s="2" t="s">
        <v>510</v>
      </c>
      <c r="F3" s="2">
        <v>86023000</v>
      </c>
      <c r="G3" s="2">
        <v>86023000</v>
      </c>
      <c r="H3" s="2">
        <v>3182851</v>
      </c>
      <c r="I3" s="2">
        <v>3.7</v>
      </c>
      <c r="J3" s="2" t="s">
        <v>436</v>
      </c>
      <c r="K3" s="2" t="s">
        <v>437</v>
      </c>
      <c r="L3" s="2">
        <v>99.191999999999993</v>
      </c>
      <c r="M3" s="2">
        <v>4.9659423093596562</v>
      </c>
    </row>
    <row r="4" spans="1:13" x14ac:dyDescent="0.35">
      <c r="A4" s="2" t="s">
        <v>511</v>
      </c>
      <c r="B4" s="2" t="s">
        <v>512</v>
      </c>
      <c r="C4" s="2" t="s">
        <v>467</v>
      </c>
      <c r="D4" s="2" t="s">
        <v>513</v>
      </c>
      <c r="E4" s="2" t="s">
        <v>514</v>
      </c>
      <c r="F4" s="2">
        <v>584271000</v>
      </c>
      <c r="G4" s="2">
        <v>584271000</v>
      </c>
      <c r="H4" s="2">
        <v>25415788.5</v>
      </c>
      <c r="I4" s="2">
        <v>2.9</v>
      </c>
      <c r="J4" s="2" t="s">
        <v>436</v>
      </c>
      <c r="K4" s="2" t="s">
        <v>437</v>
      </c>
      <c r="L4" s="2">
        <v>98.328000000000003</v>
      </c>
      <c r="M4" s="2">
        <v>4.5717153769184558</v>
      </c>
    </row>
    <row r="5" spans="1:13" x14ac:dyDescent="0.35">
      <c r="A5" s="2" t="s">
        <v>515</v>
      </c>
      <c r="B5" s="2" t="s">
        <v>516</v>
      </c>
      <c r="C5" s="2" t="s">
        <v>467</v>
      </c>
      <c r="D5" s="2" t="s">
        <v>517</v>
      </c>
      <c r="E5" s="2" t="s">
        <v>518</v>
      </c>
      <c r="F5" s="2">
        <v>500000000</v>
      </c>
      <c r="G5" s="2">
        <v>500000000</v>
      </c>
      <c r="H5" s="2">
        <v>42187500</v>
      </c>
      <c r="I5" s="2">
        <v>3.375</v>
      </c>
      <c r="J5" s="2" t="s">
        <v>436</v>
      </c>
      <c r="K5" s="2" t="s">
        <v>437</v>
      </c>
      <c r="L5" s="2">
        <v>97.501999999999995</v>
      </c>
      <c r="M5" s="2">
        <v>4.6292154577767448</v>
      </c>
    </row>
    <row r="6" spans="1:13" x14ac:dyDescent="0.35">
      <c r="A6" s="2" t="s">
        <v>519</v>
      </c>
      <c r="B6" s="2" t="s">
        <v>520</v>
      </c>
      <c r="C6" s="2" t="s">
        <v>467</v>
      </c>
      <c r="D6" s="2" t="s">
        <v>521</v>
      </c>
      <c r="E6" s="2" t="s">
        <v>522</v>
      </c>
      <c r="F6" s="2">
        <v>6000000</v>
      </c>
      <c r="G6" s="2">
        <v>6000000</v>
      </c>
      <c r="H6" s="2">
        <v>555000</v>
      </c>
      <c r="I6" s="2">
        <v>3.7</v>
      </c>
      <c r="J6" s="2" t="s">
        <v>436</v>
      </c>
      <c r="K6" s="2" t="s">
        <v>437</v>
      </c>
      <c r="L6" s="2">
        <v>98.063000000000002</v>
      </c>
      <c r="M6" s="2">
        <v>4.6047152107528131</v>
      </c>
    </row>
    <row r="7" spans="1:13" x14ac:dyDescent="0.35">
      <c r="A7" s="2" t="s">
        <v>523</v>
      </c>
      <c r="B7" s="2" t="s">
        <v>524</v>
      </c>
      <c r="C7" s="2" t="s">
        <v>467</v>
      </c>
      <c r="D7" s="2" t="s">
        <v>521</v>
      </c>
      <c r="E7" s="2" t="s">
        <v>522</v>
      </c>
      <c r="F7" s="2">
        <v>494000000</v>
      </c>
      <c r="G7" s="2">
        <v>494000000</v>
      </c>
      <c r="H7" s="2">
        <v>45695000</v>
      </c>
      <c r="I7" s="2">
        <v>3.7</v>
      </c>
      <c r="J7" s="2" t="s">
        <v>436</v>
      </c>
      <c r="K7" s="2" t="s">
        <v>437</v>
      </c>
      <c r="L7" s="2">
        <v>98.063000000000002</v>
      </c>
      <c r="M7" s="2">
        <v>4.6047152107528131</v>
      </c>
    </row>
    <row r="8" spans="1:13" x14ac:dyDescent="0.35">
      <c r="A8" s="2" t="s">
        <v>525</v>
      </c>
      <c r="B8" s="2" t="s">
        <v>526</v>
      </c>
      <c r="C8" s="2" t="s">
        <v>467</v>
      </c>
      <c r="D8" s="2" t="s">
        <v>527</v>
      </c>
      <c r="E8" s="2" t="s">
        <v>528</v>
      </c>
      <c r="F8" s="2">
        <v>500000000</v>
      </c>
      <c r="G8" s="2">
        <v>500000000</v>
      </c>
      <c r="H8" s="2">
        <v>73500000</v>
      </c>
      <c r="I8" s="2">
        <v>4.2</v>
      </c>
      <c r="J8" s="2" t="s">
        <v>436</v>
      </c>
      <c r="K8" s="2" t="s">
        <v>437</v>
      </c>
      <c r="L8" s="2">
        <v>97.790999999999997</v>
      </c>
      <c r="M8" s="2">
        <v>4.9285379190297833</v>
      </c>
    </row>
    <row r="9" spans="1:13" x14ac:dyDescent="0.35">
      <c r="A9" s="2" t="s">
        <v>529</v>
      </c>
      <c r="B9" s="2" t="s">
        <v>530</v>
      </c>
      <c r="C9" s="2" t="s">
        <v>433</v>
      </c>
      <c r="D9" s="2" t="s">
        <v>531</v>
      </c>
      <c r="E9" s="2" t="s">
        <v>532</v>
      </c>
      <c r="F9" s="2">
        <v>826813000</v>
      </c>
      <c r="G9" s="2">
        <v>826813000</v>
      </c>
      <c r="H9" s="2">
        <v>325557618.75</v>
      </c>
      <c r="I9" s="2">
        <v>7.875</v>
      </c>
      <c r="J9" s="2" t="s">
        <v>436</v>
      </c>
      <c r="K9" s="2" t="s">
        <v>437</v>
      </c>
      <c r="L9" s="2">
        <v>109.91200000000001</v>
      </c>
      <c r="M9" s="2">
        <v>5.4697485045312098</v>
      </c>
    </row>
    <row r="10" spans="1:13" x14ac:dyDescent="0.35">
      <c r="A10" s="2" t="s">
        <v>533</v>
      </c>
      <c r="B10" s="2" t="s">
        <v>534</v>
      </c>
      <c r="C10" s="2" t="s">
        <v>467</v>
      </c>
      <c r="D10" s="2" t="s">
        <v>535</v>
      </c>
      <c r="E10" s="2" t="s">
        <v>536</v>
      </c>
      <c r="F10" s="2">
        <v>1250000000</v>
      </c>
      <c r="G10" s="2">
        <v>1250000000</v>
      </c>
      <c r="H10" s="2">
        <v>340312500</v>
      </c>
      <c r="I10" s="2">
        <v>4.95</v>
      </c>
      <c r="J10" s="2" t="s">
        <v>436</v>
      </c>
      <c r="K10" s="2" t="s">
        <v>437</v>
      </c>
      <c r="L10" s="2">
        <v>97.388999999999996</v>
      </c>
      <c r="M10" s="2">
        <v>5.5604711515465999</v>
      </c>
    </row>
    <row r="11" spans="1:13" x14ac:dyDescent="0.35">
      <c r="A11" s="2" t="s">
        <v>537</v>
      </c>
      <c r="B11" s="2" t="s">
        <v>538</v>
      </c>
      <c r="C11" s="2" t="s">
        <v>467</v>
      </c>
      <c r="D11" s="2" t="s">
        <v>539</v>
      </c>
      <c r="E11" s="2" t="s">
        <v>540</v>
      </c>
      <c r="F11" s="2">
        <v>1000000000</v>
      </c>
      <c r="G11" s="2">
        <v>1000000000</v>
      </c>
      <c r="H11" s="2">
        <v>273000000</v>
      </c>
      <c r="I11" s="2">
        <v>4.2</v>
      </c>
      <c r="J11" s="2" t="s">
        <v>436</v>
      </c>
      <c r="K11" s="2" t="s">
        <v>437</v>
      </c>
      <c r="L11" s="2">
        <v>92.034999999999997</v>
      </c>
      <c r="M11" s="2">
        <v>5.718521592282074</v>
      </c>
    </row>
    <row r="12" spans="1:13" x14ac:dyDescent="0.35">
      <c r="A12" s="2" t="s">
        <v>541</v>
      </c>
      <c r="B12" s="2" t="s">
        <v>542</v>
      </c>
      <c r="C12" s="2" t="s">
        <v>433</v>
      </c>
      <c r="D12" s="2" t="s">
        <v>543</v>
      </c>
      <c r="E12" s="2" t="s">
        <v>544</v>
      </c>
      <c r="F12" s="2">
        <v>430513000</v>
      </c>
      <c r="G12" s="2">
        <v>430513000</v>
      </c>
      <c r="H12" s="2">
        <v>177586612.5</v>
      </c>
      <c r="I12" s="2">
        <v>5.5</v>
      </c>
      <c r="J12" s="2" t="s">
        <v>436</v>
      </c>
      <c r="K12" s="2" t="s">
        <v>437</v>
      </c>
      <c r="L12" s="2">
        <v>95.828999999999994</v>
      </c>
      <c r="M12" s="2">
        <v>6.247369176240829</v>
      </c>
    </row>
    <row r="13" spans="1:13" x14ac:dyDescent="0.35">
      <c r="A13" s="2" t="s">
        <v>545</v>
      </c>
      <c r="B13" s="2" t="s">
        <v>546</v>
      </c>
      <c r="C13" s="2" t="s">
        <v>467</v>
      </c>
      <c r="D13" s="2" t="s">
        <v>547</v>
      </c>
      <c r="E13" s="2" t="s">
        <v>548</v>
      </c>
      <c r="F13" s="2">
        <v>87397000</v>
      </c>
      <c r="G13" s="2">
        <v>87397000</v>
      </c>
      <c r="H13" s="2">
        <v>40268167.75</v>
      </c>
      <c r="I13" s="2">
        <v>4.8499999999999996</v>
      </c>
      <c r="J13" s="2" t="s">
        <v>436</v>
      </c>
      <c r="K13" s="2" t="s">
        <v>437</v>
      </c>
      <c r="L13" s="2">
        <v>87.477999999999994</v>
      </c>
      <c r="M13" s="2">
        <v>6.7912132615064955</v>
      </c>
    </row>
    <row r="14" spans="1:13" x14ac:dyDescent="0.35">
      <c r="A14" s="2" t="s">
        <v>549</v>
      </c>
      <c r="B14" s="2" t="s">
        <v>550</v>
      </c>
      <c r="C14" s="2" t="s">
        <v>433</v>
      </c>
      <c r="D14" s="2" t="s">
        <v>551</v>
      </c>
      <c r="E14" s="2" t="s">
        <v>552</v>
      </c>
      <c r="F14" s="2">
        <v>1079963000</v>
      </c>
      <c r="G14" s="2">
        <v>1079963000</v>
      </c>
      <c r="H14" s="2">
        <v>779598290.625</v>
      </c>
      <c r="I14" s="2">
        <v>6.875</v>
      </c>
      <c r="J14" s="2" t="s">
        <v>436</v>
      </c>
      <c r="K14" s="2" t="s">
        <v>437</v>
      </c>
      <c r="L14" s="2">
        <v>102.233</v>
      </c>
      <c r="M14" s="2">
        <v>6.603075410030038</v>
      </c>
    </row>
    <row r="15" spans="1:13" x14ac:dyDescent="0.35">
      <c r="A15" s="2" t="s">
        <v>553</v>
      </c>
      <c r="B15" s="2" t="s">
        <v>554</v>
      </c>
      <c r="C15" s="2" t="s">
        <v>433</v>
      </c>
      <c r="D15" s="2" t="s">
        <v>555</v>
      </c>
      <c r="E15" s="2" t="s">
        <v>556</v>
      </c>
      <c r="F15" s="2">
        <v>76085000</v>
      </c>
      <c r="G15" s="2">
        <v>76085000</v>
      </c>
      <c r="H15" s="2">
        <v>61628850</v>
      </c>
      <c r="I15" s="2">
        <v>6.75</v>
      </c>
      <c r="J15" s="2" t="s">
        <v>436</v>
      </c>
      <c r="K15" s="2" t="s">
        <v>437</v>
      </c>
      <c r="L15" s="2">
        <v>100.062</v>
      </c>
      <c r="M15" s="2">
        <v>6.7969774885789587</v>
      </c>
    </row>
    <row r="16" spans="1:13" x14ac:dyDescent="0.35">
      <c r="A16" s="2" t="s">
        <v>557</v>
      </c>
      <c r="B16" s="2" t="s">
        <v>558</v>
      </c>
      <c r="C16" s="2" t="s">
        <v>467</v>
      </c>
      <c r="D16" s="2" t="s">
        <v>559</v>
      </c>
      <c r="E16" s="2" t="s">
        <v>560</v>
      </c>
      <c r="F16" s="2">
        <v>300000000</v>
      </c>
      <c r="G16" s="2">
        <v>300000000</v>
      </c>
      <c r="H16" s="2">
        <v>265500000</v>
      </c>
      <c r="I16" s="2">
        <v>5.9</v>
      </c>
      <c r="J16" s="2" t="s">
        <v>436</v>
      </c>
      <c r="K16" s="2" t="s">
        <v>437</v>
      </c>
      <c r="L16" s="2">
        <v>90.194000000000003</v>
      </c>
      <c r="M16" s="2">
        <v>7.0009704971068949</v>
      </c>
    </row>
    <row r="17" spans="1:13" x14ac:dyDescent="0.35">
      <c r="A17" s="2" t="s">
        <v>561</v>
      </c>
      <c r="B17" s="2" t="s">
        <v>562</v>
      </c>
      <c r="C17" s="2" t="s">
        <v>433</v>
      </c>
      <c r="D17" s="2" t="s">
        <v>563</v>
      </c>
      <c r="E17" s="2" t="s">
        <v>564</v>
      </c>
      <c r="F17" s="2">
        <v>46266000</v>
      </c>
      <c r="G17" s="2">
        <v>46266000</v>
      </c>
      <c r="H17" s="2">
        <v>34352505</v>
      </c>
      <c r="I17" s="2">
        <v>4.5</v>
      </c>
      <c r="J17" s="2" t="s">
        <v>436</v>
      </c>
      <c r="K17" s="2" t="s">
        <v>437</v>
      </c>
      <c r="L17" s="2">
        <v>72.911000000000001</v>
      </c>
      <c r="M17" s="2">
        <v>7.530800944714068</v>
      </c>
    </row>
    <row r="18" spans="1:13" x14ac:dyDescent="0.35">
      <c r="A18" s="2" t="s">
        <v>565</v>
      </c>
      <c r="B18" s="2" t="s">
        <v>566</v>
      </c>
      <c r="C18" s="2" t="s">
        <v>467</v>
      </c>
      <c r="D18" s="2" t="s">
        <v>567</v>
      </c>
      <c r="E18" s="2" t="s">
        <v>568</v>
      </c>
      <c r="F18" s="2">
        <v>500000000</v>
      </c>
      <c r="G18" s="2">
        <v>500000000</v>
      </c>
      <c r="H18" s="2">
        <v>412250000</v>
      </c>
      <c r="I18" s="2">
        <v>4.8499999999999996</v>
      </c>
      <c r="J18" s="2" t="s">
        <v>436</v>
      </c>
      <c r="K18" s="2" t="s">
        <v>437</v>
      </c>
      <c r="L18" s="2">
        <v>78.614000000000004</v>
      </c>
      <c r="M18" s="2">
        <v>7.1073654231131327</v>
      </c>
    </row>
    <row r="19" spans="1:13" x14ac:dyDescent="0.35">
      <c r="A19" s="2" t="s">
        <v>569</v>
      </c>
      <c r="B19" s="2" t="s">
        <v>570</v>
      </c>
      <c r="C19" s="2" t="s">
        <v>433</v>
      </c>
      <c r="D19" s="2" t="s">
        <v>571</v>
      </c>
      <c r="E19" s="2" t="s">
        <v>572</v>
      </c>
      <c r="F19" s="2">
        <v>1446365000</v>
      </c>
      <c r="G19" s="2">
        <v>1446365000</v>
      </c>
      <c r="H19" s="2">
        <v>1107373203.125</v>
      </c>
      <c r="I19" s="2">
        <v>4.375</v>
      </c>
      <c r="J19" s="2" t="s">
        <v>436</v>
      </c>
      <c r="K19" s="2" t="s">
        <v>437</v>
      </c>
      <c r="L19" s="2">
        <v>72.244</v>
      </c>
      <c r="M19" s="2">
        <v>7.2329354489880906</v>
      </c>
    </row>
    <row r="20" spans="1:13" x14ac:dyDescent="0.35">
      <c r="A20" s="2" t="s">
        <v>573</v>
      </c>
      <c r="B20" s="2" t="s">
        <v>574</v>
      </c>
      <c r="C20" s="2" t="s">
        <v>467</v>
      </c>
      <c r="D20" s="2" t="s">
        <v>575</v>
      </c>
      <c r="E20" s="2" t="s">
        <v>576</v>
      </c>
      <c r="F20" s="2">
        <v>17754000</v>
      </c>
      <c r="G20" s="2">
        <v>17754000</v>
      </c>
      <c r="H20" s="2">
        <v>15579135</v>
      </c>
      <c r="I20" s="2">
        <v>4.875</v>
      </c>
      <c r="J20" s="2" t="s">
        <v>436</v>
      </c>
      <c r="K20" s="2" t="s">
        <v>437</v>
      </c>
      <c r="L20" s="2">
        <v>76.39</v>
      </c>
      <c r="M20" s="2">
        <v>7.4038192891183012</v>
      </c>
    </row>
    <row r="21" spans="1:13" x14ac:dyDescent="0.35">
      <c r="A21" s="2" t="s">
        <v>577</v>
      </c>
      <c r="B21" s="2" t="s">
        <v>578</v>
      </c>
      <c r="C21" s="2" t="s">
        <v>467</v>
      </c>
      <c r="D21" s="2" t="s">
        <v>579</v>
      </c>
      <c r="E21" s="2" t="s">
        <v>580</v>
      </c>
      <c r="F21" s="2">
        <v>1250000000</v>
      </c>
      <c r="G21" s="2">
        <v>1250000000</v>
      </c>
      <c r="H21" s="2">
        <v>1316250000</v>
      </c>
      <c r="I21" s="2">
        <v>5.85</v>
      </c>
      <c r="J21" s="2" t="s">
        <v>436</v>
      </c>
      <c r="K21" s="2" t="s">
        <v>437</v>
      </c>
      <c r="L21" s="2">
        <v>85.935000000000002</v>
      </c>
      <c r="M21" s="2">
        <v>7.2956466055491935</v>
      </c>
    </row>
    <row r="22" spans="1:13" x14ac:dyDescent="0.35">
      <c r="A22" s="2" t="s">
        <v>581</v>
      </c>
      <c r="B22" s="2" t="s">
        <v>582</v>
      </c>
      <c r="C22" s="2" t="s">
        <v>467</v>
      </c>
      <c r="D22" s="2" t="s">
        <v>583</v>
      </c>
      <c r="E22" s="2" t="s">
        <v>584</v>
      </c>
      <c r="F22" s="2">
        <v>347623000</v>
      </c>
      <c r="G22" s="2">
        <v>347623000</v>
      </c>
      <c r="H22" s="2">
        <v>337628838.75</v>
      </c>
      <c r="I22" s="2">
        <v>5.25</v>
      </c>
      <c r="J22" s="2" t="s">
        <v>436</v>
      </c>
      <c r="K22" s="2" t="s">
        <v>437</v>
      </c>
      <c r="L22" s="2">
        <v>80.477999999999994</v>
      </c>
      <c r="M22" s="2">
        <v>7.2149004320233123</v>
      </c>
    </row>
    <row r="23" spans="1:13" x14ac:dyDescent="0.35">
      <c r="A23" s="2" t="s">
        <v>585</v>
      </c>
      <c r="B23" s="2" t="s">
        <v>586</v>
      </c>
      <c r="C23" s="2" t="s">
        <v>467</v>
      </c>
      <c r="D23" s="2" t="s">
        <v>587</v>
      </c>
      <c r="E23" s="2" t="s">
        <v>588</v>
      </c>
      <c r="F23" s="2">
        <v>550000000</v>
      </c>
      <c r="G23" s="2">
        <v>550000000</v>
      </c>
      <c r="H23" s="2">
        <v>512050000</v>
      </c>
      <c r="I23" s="2">
        <v>4.9000000000000004</v>
      </c>
      <c r="J23" s="2" t="s">
        <v>436</v>
      </c>
      <c r="K23" s="2" t="s">
        <v>437</v>
      </c>
      <c r="L23" s="2">
        <v>76.418000000000006</v>
      </c>
      <c r="M23" s="2">
        <v>7.2647042677348761</v>
      </c>
    </row>
    <row r="24" spans="1:13" x14ac:dyDescent="0.35">
      <c r="A24" s="2" t="s">
        <v>589</v>
      </c>
      <c r="B24" s="2" t="s">
        <v>590</v>
      </c>
      <c r="C24" s="2" t="s">
        <v>467</v>
      </c>
      <c r="D24" s="2" t="s">
        <v>591</v>
      </c>
      <c r="E24" s="2" t="s">
        <v>592</v>
      </c>
      <c r="F24" s="2">
        <v>600000000</v>
      </c>
      <c r="G24" s="2">
        <v>600000000</v>
      </c>
      <c r="H24" s="2">
        <v>538200000</v>
      </c>
      <c r="I24" s="2">
        <v>4.5999999999999996</v>
      </c>
      <c r="J24" s="2" t="s">
        <v>436</v>
      </c>
      <c r="K24" s="2" t="s">
        <v>437</v>
      </c>
      <c r="L24" s="2">
        <v>74.099999999999994</v>
      </c>
      <c r="M24" s="2">
        <v>7.1258741035801645</v>
      </c>
    </row>
    <row r="25" spans="1:13" x14ac:dyDescent="0.35">
      <c r="A25" s="2" t="s">
        <v>593</v>
      </c>
      <c r="B25" s="2" t="s">
        <v>594</v>
      </c>
      <c r="C25" s="2" t="s">
        <v>467</v>
      </c>
      <c r="D25" s="2" t="s">
        <v>595</v>
      </c>
      <c r="E25" s="2" t="s">
        <v>596</v>
      </c>
      <c r="F25" s="2">
        <v>1000000000</v>
      </c>
      <c r="G25" s="2">
        <v>1000000000</v>
      </c>
      <c r="H25" s="2">
        <v>1212750000</v>
      </c>
      <c r="I25" s="2">
        <v>4.95</v>
      </c>
      <c r="J25" s="2" t="s">
        <v>436</v>
      </c>
      <c r="K25" s="2" t="s">
        <v>437</v>
      </c>
      <c r="L25" s="2">
        <v>73.126000000000005</v>
      </c>
      <c r="M25" s="2">
        <v>7.3477917740209318</v>
      </c>
    </row>
    <row r="26" spans="1:13" x14ac:dyDescent="0.35">
      <c r="A26" s="2" t="s">
        <v>597</v>
      </c>
      <c r="B26" s="2" t="s">
        <v>598</v>
      </c>
      <c r="C26" s="2" t="s">
        <v>467</v>
      </c>
      <c r="D26" s="2" t="s">
        <v>599</v>
      </c>
      <c r="E26" s="2" t="s">
        <v>600</v>
      </c>
      <c r="F26" s="2">
        <v>650000000</v>
      </c>
      <c r="G26" s="2">
        <v>650000000</v>
      </c>
      <c r="H26" s="2">
        <v>1792687465.076</v>
      </c>
      <c r="I26" s="2">
        <v>6.25</v>
      </c>
      <c r="J26" s="2" t="s">
        <v>436</v>
      </c>
      <c r="K26" s="2" t="s">
        <v>601</v>
      </c>
      <c r="L26" s="2">
        <v>95.096000000000004</v>
      </c>
      <c r="M26" s="2">
        <v>9.0597133810751398</v>
      </c>
    </row>
    <row r="27" spans="1:13" x14ac:dyDescent="0.35">
      <c r="A27" s="2" t="s">
        <v>602</v>
      </c>
      <c r="B27" s="2" t="s">
        <v>603</v>
      </c>
      <c r="C27" s="2" t="s">
        <v>467</v>
      </c>
      <c r="D27" s="2" t="s">
        <v>604</v>
      </c>
      <c r="E27" s="2" t="s">
        <v>605</v>
      </c>
      <c r="F27" s="2">
        <v>1000000000</v>
      </c>
      <c r="G27" s="2">
        <v>1000000000</v>
      </c>
      <c r="H27" s="2">
        <v>3005775000</v>
      </c>
      <c r="I27" s="2">
        <v>6.375</v>
      </c>
      <c r="J27" s="2" t="s">
        <v>436</v>
      </c>
      <c r="K27" s="2" t="s">
        <v>601</v>
      </c>
      <c r="L27" s="2">
        <v>97.084999999999994</v>
      </c>
      <c r="M27" s="2">
        <v>8.1463809092966386</v>
      </c>
    </row>
    <row r="31" spans="1:13" x14ac:dyDescent="0.35">
      <c r="A31" s="158" t="s">
        <v>606</v>
      </c>
      <c r="B31" s="2">
        <f>SUMPRODUCT(M2:M27,G2:G27,L2:L27)/10000</f>
        <v>873769225.14878106</v>
      </c>
    </row>
    <row r="32" spans="1:13" x14ac:dyDescent="0.35">
      <c r="A32" s="158" t="s">
        <v>482</v>
      </c>
      <c r="B32" s="2">
        <f>SUMPRODUCT(L2:L27,G2:G27)/100</f>
        <v>13483496783.16</v>
      </c>
    </row>
    <row r="33" spans="1:2" x14ac:dyDescent="0.35">
      <c r="A33" s="158" t="s">
        <v>483</v>
      </c>
      <c r="B33" s="202">
        <f>B31/B32</f>
        <v>6.4802865250805072E-2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1995E-9A00-C144-A44D-BF469ECAAAB4}">
  <sheetPr>
    <tabColor rgb="FFFFC000"/>
  </sheetPr>
  <dimension ref="A1:K70"/>
  <sheetViews>
    <sheetView workbookViewId="0">
      <selection activeCell="I28" sqref="I28"/>
    </sheetView>
  </sheetViews>
  <sheetFormatPr defaultColWidth="10.88671875" defaultRowHeight="17.399999999999999" x14ac:dyDescent="0.35"/>
  <cols>
    <col min="1" max="1" width="49.6640625" style="2" bestFit="1" customWidth="1"/>
    <col min="2" max="2" width="12.33203125" style="2" customWidth="1"/>
    <col min="3" max="5" width="11.6640625" style="2" bestFit="1" customWidth="1"/>
    <col min="6" max="6" width="10.109375" style="2" bestFit="1" customWidth="1"/>
    <col min="7" max="8" width="11.6640625" style="2" bestFit="1" customWidth="1"/>
    <col min="9" max="9" width="9.33203125" style="2" bestFit="1" customWidth="1"/>
    <col min="10" max="11" width="12" style="2" bestFit="1" customWidth="1"/>
    <col min="12" max="16384" width="10.88671875" style="2"/>
  </cols>
  <sheetData>
    <row r="1" spans="1:11" x14ac:dyDescent="0.35">
      <c r="A1" s="44"/>
      <c r="B1" s="44"/>
      <c r="C1" s="44"/>
      <c r="D1" s="44"/>
      <c r="E1" s="44"/>
      <c r="F1" s="44"/>
      <c r="G1" s="44"/>
      <c r="H1" s="44"/>
      <c r="I1" s="44"/>
      <c r="J1" s="44"/>
      <c r="K1" s="44"/>
    </row>
    <row r="2" spans="1:11" x14ac:dyDescent="0.35">
      <c r="A2" s="34" t="s">
        <v>607</v>
      </c>
      <c r="B2" s="34"/>
      <c r="C2" s="34"/>
      <c r="D2" s="34"/>
      <c r="E2" s="34"/>
      <c r="F2" s="34"/>
      <c r="G2" s="34"/>
      <c r="H2" s="34"/>
      <c r="I2" s="34"/>
      <c r="J2" s="34"/>
      <c r="K2" s="34"/>
    </row>
    <row r="3" spans="1:11" x14ac:dyDescent="0.35">
      <c r="A3" s="45"/>
      <c r="B3" s="45"/>
      <c r="C3" s="45"/>
      <c r="D3" s="45"/>
      <c r="E3" s="45"/>
      <c r="F3" s="45"/>
      <c r="G3" s="45"/>
      <c r="H3" s="45"/>
      <c r="I3" s="45"/>
      <c r="J3" s="45"/>
      <c r="K3" s="45"/>
    </row>
    <row r="4" spans="1:11" x14ac:dyDescent="0.35">
      <c r="A4" s="37" t="s">
        <v>1</v>
      </c>
      <c r="B4" s="46" t="s">
        <v>2</v>
      </c>
      <c r="C4" s="46" t="s">
        <v>3</v>
      </c>
      <c r="D4" s="46" t="s">
        <v>4</v>
      </c>
      <c r="E4" s="46" t="s">
        <v>5</v>
      </c>
      <c r="F4" s="46" t="s">
        <v>6</v>
      </c>
      <c r="G4" s="46" t="s">
        <v>7</v>
      </c>
      <c r="H4" s="46" t="s">
        <v>8</v>
      </c>
      <c r="I4" s="46" t="s">
        <v>9</v>
      </c>
      <c r="J4" s="46" t="s">
        <v>10</v>
      </c>
      <c r="K4" s="46" t="s">
        <v>11</v>
      </c>
    </row>
    <row r="5" spans="1:11" x14ac:dyDescent="0.35">
      <c r="A5" s="38" t="s">
        <v>12</v>
      </c>
      <c r="B5" s="47">
        <v>43465</v>
      </c>
      <c r="C5" s="47">
        <v>43830</v>
      </c>
      <c r="D5" s="47">
        <v>44196</v>
      </c>
      <c r="E5" s="47">
        <v>44561</v>
      </c>
      <c r="F5" s="47">
        <v>44926</v>
      </c>
      <c r="G5" s="47">
        <v>45291</v>
      </c>
      <c r="H5" s="47">
        <v>45657</v>
      </c>
      <c r="I5" s="47">
        <v>45930</v>
      </c>
      <c r="J5" s="47">
        <v>46022</v>
      </c>
      <c r="K5" s="47">
        <v>46387</v>
      </c>
    </row>
    <row r="6" spans="1:11" x14ac:dyDescent="0.35">
      <c r="A6" s="48" t="s">
        <v>23</v>
      </c>
      <c r="B6" s="50">
        <v>10553</v>
      </c>
      <c r="C6" s="50">
        <v>11144</v>
      </c>
      <c r="D6" s="50">
        <v>10671</v>
      </c>
      <c r="E6" s="50">
        <v>12191</v>
      </c>
      <c r="F6" s="50">
        <v>33817</v>
      </c>
      <c r="G6" s="50">
        <v>41321</v>
      </c>
      <c r="H6" s="50">
        <v>39321</v>
      </c>
      <c r="I6" s="51">
        <v>37863</v>
      </c>
      <c r="J6" s="50">
        <v>37173.5</v>
      </c>
      <c r="K6" s="50">
        <v>36867.5</v>
      </c>
    </row>
    <row r="7" spans="1:11" x14ac:dyDescent="0.35">
      <c r="A7" s="40" t="s">
        <v>25</v>
      </c>
      <c r="B7" s="41">
        <v>10052</v>
      </c>
      <c r="C7" s="41">
        <v>10879</v>
      </c>
      <c r="D7" s="41">
        <v>10449</v>
      </c>
      <c r="E7" s="41">
        <v>11624</v>
      </c>
      <c r="F7" s="41">
        <v>24666</v>
      </c>
      <c r="G7" s="41">
        <v>28937</v>
      </c>
      <c r="H7" s="41">
        <v>27791</v>
      </c>
      <c r="I7" s="52">
        <v>26823</v>
      </c>
      <c r="J7" s="42"/>
      <c r="K7" s="42"/>
    </row>
    <row r="8" spans="1:11" x14ac:dyDescent="0.35">
      <c r="A8" s="40" t="s">
        <v>485</v>
      </c>
      <c r="B8" s="42">
        <v>501</v>
      </c>
      <c r="C8" s="42">
        <v>265</v>
      </c>
      <c r="D8" s="42">
        <v>222</v>
      </c>
      <c r="E8" s="42">
        <v>567</v>
      </c>
      <c r="F8" s="41">
        <v>9151</v>
      </c>
      <c r="G8" s="41">
        <v>12384</v>
      </c>
      <c r="H8" s="41">
        <v>11530</v>
      </c>
      <c r="I8" s="52">
        <v>11040</v>
      </c>
      <c r="J8" s="42"/>
      <c r="K8" s="42"/>
    </row>
    <row r="9" spans="1:11" x14ac:dyDescent="0.35">
      <c r="A9" s="40" t="s">
        <v>27</v>
      </c>
      <c r="B9" s="41">
        <v>3935</v>
      </c>
      <c r="C9" s="41">
        <v>3819</v>
      </c>
      <c r="D9" s="41">
        <v>3860</v>
      </c>
      <c r="E9" s="41">
        <v>4620</v>
      </c>
      <c r="F9" s="41">
        <v>20442</v>
      </c>
      <c r="G9" s="41">
        <v>24526</v>
      </c>
      <c r="H9" s="41">
        <v>22970</v>
      </c>
      <c r="I9" s="52">
        <v>21189</v>
      </c>
      <c r="J9" s="42"/>
      <c r="K9" s="42"/>
    </row>
    <row r="10" spans="1:11" x14ac:dyDescent="0.35">
      <c r="A10" s="40" t="s">
        <v>29</v>
      </c>
      <c r="B10" s="41">
        <v>3935</v>
      </c>
      <c r="C10" s="41">
        <v>3819</v>
      </c>
      <c r="D10" s="41">
        <v>3860</v>
      </c>
      <c r="E10" s="41">
        <v>4620</v>
      </c>
      <c r="F10" s="41">
        <v>20442</v>
      </c>
      <c r="G10" s="41">
        <v>24526</v>
      </c>
      <c r="H10" s="41">
        <v>22970</v>
      </c>
      <c r="I10" s="52">
        <v>21189</v>
      </c>
      <c r="J10" s="42"/>
      <c r="K10" s="42"/>
    </row>
    <row r="11" spans="1:11" x14ac:dyDescent="0.35">
      <c r="A11" s="48" t="s">
        <v>31</v>
      </c>
      <c r="B11" s="50">
        <v>6618</v>
      </c>
      <c r="C11" s="50">
        <v>7325</v>
      </c>
      <c r="D11" s="50">
        <v>6811</v>
      </c>
      <c r="E11" s="50">
        <v>7571</v>
      </c>
      <c r="F11" s="50">
        <v>13375</v>
      </c>
      <c r="G11" s="50">
        <v>16795</v>
      </c>
      <c r="H11" s="50">
        <v>16351</v>
      </c>
      <c r="I11" s="51">
        <v>16674</v>
      </c>
      <c r="J11" s="50">
        <v>14037.8</v>
      </c>
      <c r="K11" s="50">
        <v>14949.8</v>
      </c>
    </row>
    <row r="12" spans="1:11" x14ac:dyDescent="0.35">
      <c r="A12" s="40" t="s">
        <v>33</v>
      </c>
      <c r="B12" s="42">
        <v>0</v>
      </c>
      <c r="C12" s="42">
        <v>0</v>
      </c>
      <c r="D12" s="42">
        <v>0</v>
      </c>
      <c r="E12" s="42">
        <v>0</v>
      </c>
      <c r="F12" s="42">
        <v>0</v>
      </c>
      <c r="G12" s="42">
        <v>0</v>
      </c>
      <c r="H12" s="42">
        <v>0</v>
      </c>
      <c r="I12" s="57">
        <v>0</v>
      </c>
      <c r="J12" s="42"/>
      <c r="K12" s="42"/>
    </row>
    <row r="13" spans="1:11" x14ac:dyDescent="0.35">
      <c r="A13" s="40" t="s">
        <v>35</v>
      </c>
      <c r="B13" s="41">
        <v>4684</v>
      </c>
      <c r="C13" s="41">
        <v>4316</v>
      </c>
      <c r="D13" s="41">
        <v>4296</v>
      </c>
      <c r="E13" s="41">
        <v>5559</v>
      </c>
      <c r="F13" s="41">
        <v>20745</v>
      </c>
      <c r="G13" s="41">
        <v>18343</v>
      </c>
      <c r="H13" s="41">
        <v>26383</v>
      </c>
      <c r="I13" s="52">
        <v>16123</v>
      </c>
      <c r="J13" s="42"/>
      <c r="K13" s="42"/>
    </row>
    <row r="14" spans="1:11" x14ac:dyDescent="0.35">
      <c r="A14" s="40" t="s">
        <v>37</v>
      </c>
      <c r="B14" s="41">
        <v>2620</v>
      </c>
      <c r="C14" s="41">
        <v>2788</v>
      </c>
      <c r="D14" s="41">
        <v>2722</v>
      </c>
      <c r="E14" s="41">
        <v>4016</v>
      </c>
      <c r="F14" s="41">
        <v>9678</v>
      </c>
      <c r="G14" s="41">
        <v>9696</v>
      </c>
      <c r="H14" s="41">
        <v>9296</v>
      </c>
      <c r="I14" s="52">
        <v>9250</v>
      </c>
      <c r="J14" s="42"/>
      <c r="K14" s="42"/>
    </row>
    <row r="15" spans="1:11" x14ac:dyDescent="0.35">
      <c r="A15" s="40" t="s">
        <v>43</v>
      </c>
      <c r="B15" s="42" t="s">
        <v>61</v>
      </c>
      <c r="C15" s="42">
        <v>0</v>
      </c>
      <c r="D15" s="42">
        <v>0</v>
      </c>
      <c r="E15" s="42">
        <v>0</v>
      </c>
      <c r="F15" s="42">
        <v>0</v>
      </c>
      <c r="G15" s="42">
        <v>0</v>
      </c>
      <c r="H15" s="42">
        <v>0</v>
      </c>
      <c r="I15" s="57"/>
      <c r="J15" s="42"/>
      <c r="K15" s="42"/>
    </row>
    <row r="16" spans="1:11" x14ac:dyDescent="0.35">
      <c r="A16" s="40" t="s">
        <v>487</v>
      </c>
      <c r="B16" s="41">
        <v>1398</v>
      </c>
      <c r="C16" s="41">
        <v>1347</v>
      </c>
      <c r="D16" s="41">
        <v>1359</v>
      </c>
      <c r="E16" s="41">
        <v>1582</v>
      </c>
      <c r="F16" s="41">
        <v>7193</v>
      </c>
      <c r="G16" s="41">
        <v>7985</v>
      </c>
      <c r="H16" s="41">
        <v>7037</v>
      </c>
      <c r="I16" s="52">
        <v>6012</v>
      </c>
      <c r="J16" s="42"/>
      <c r="K16" s="42"/>
    </row>
    <row r="17" spans="1:11" x14ac:dyDescent="0.35">
      <c r="A17" s="40" t="s">
        <v>45</v>
      </c>
      <c r="B17" s="42">
        <v>666</v>
      </c>
      <c r="C17" s="42">
        <v>181</v>
      </c>
      <c r="D17" s="42">
        <v>215</v>
      </c>
      <c r="E17" s="42">
        <v>-39</v>
      </c>
      <c r="F17" s="41">
        <v>3874</v>
      </c>
      <c r="G17" s="42">
        <v>662</v>
      </c>
      <c r="H17" s="41">
        <v>10050</v>
      </c>
      <c r="I17" s="57">
        <v>861</v>
      </c>
      <c r="J17" s="42"/>
      <c r="K17" s="42"/>
    </row>
    <row r="18" spans="1:11" x14ac:dyDescent="0.35">
      <c r="A18" s="48" t="s">
        <v>47</v>
      </c>
      <c r="B18" s="50">
        <v>1934</v>
      </c>
      <c r="C18" s="50">
        <v>3009</v>
      </c>
      <c r="D18" s="50">
        <v>2515</v>
      </c>
      <c r="E18" s="50">
        <v>2012</v>
      </c>
      <c r="F18" s="50">
        <v>-7370</v>
      </c>
      <c r="G18" s="50">
        <v>-1548</v>
      </c>
      <c r="H18" s="50">
        <v>-10032</v>
      </c>
      <c r="I18" s="53">
        <v>551</v>
      </c>
      <c r="J18" s="50">
        <v>1171.7</v>
      </c>
      <c r="K18" s="50">
        <v>1848.4</v>
      </c>
    </row>
    <row r="19" spans="1:11" x14ac:dyDescent="0.35">
      <c r="A19" s="40" t="s">
        <v>49</v>
      </c>
      <c r="B19" s="42">
        <v>912</v>
      </c>
      <c r="C19" s="42">
        <v>715</v>
      </c>
      <c r="D19" s="42">
        <v>787</v>
      </c>
      <c r="E19" s="42">
        <v>579</v>
      </c>
      <c r="F19" s="41">
        <v>1590</v>
      </c>
      <c r="G19" s="41">
        <v>2315</v>
      </c>
      <c r="H19" s="41">
        <v>1356</v>
      </c>
      <c r="I19" s="52">
        <v>-1140</v>
      </c>
      <c r="J19" s="42"/>
      <c r="K19" s="42"/>
    </row>
    <row r="20" spans="1:11" x14ac:dyDescent="0.35">
      <c r="A20" s="40" t="s">
        <v>51</v>
      </c>
      <c r="B20" s="42">
        <v>729</v>
      </c>
      <c r="C20" s="42">
        <v>677</v>
      </c>
      <c r="D20" s="42">
        <v>648</v>
      </c>
      <c r="E20" s="42">
        <v>633</v>
      </c>
      <c r="F20" s="41">
        <v>1777</v>
      </c>
      <c r="G20" s="41">
        <v>2221</v>
      </c>
      <c r="H20" s="41">
        <v>2017</v>
      </c>
      <c r="I20" s="52">
        <v>1991</v>
      </c>
      <c r="J20" s="42"/>
      <c r="K20" s="42"/>
    </row>
    <row r="21" spans="1:11" x14ac:dyDescent="0.35">
      <c r="A21" s="54" t="s">
        <v>53</v>
      </c>
      <c r="B21" s="55">
        <v>733</v>
      </c>
      <c r="C21" s="55">
        <v>678</v>
      </c>
      <c r="D21" s="55">
        <v>648</v>
      </c>
      <c r="E21" s="55">
        <v>651</v>
      </c>
      <c r="F21" s="58">
        <v>1777</v>
      </c>
      <c r="G21" s="58">
        <v>2221</v>
      </c>
      <c r="H21" s="58">
        <v>2017</v>
      </c>
      <c r="I21" s="59">
        <v>1991</v>
      </c>
      <c r="J21" s="55"/>
      <c r="K21" s="55"/>
    </row>
    <row r="22" spans="1:11" x14ac:dyDescent="0.35">
      <c r="A22" s="54" t="s">
        <v>55</v>
      </c>
      <c r="B22" s="55">
        <v>4</v>
      </c>
      <c r="C22" s="55">
        <v>1</v>
      </c>
      <c r="D22" s="55">
        <v>0</v>
      </c>
      <c r="E22" s="55">
        <v>18</v>
      </c>
      <c r="F22" s="55">
        <v>0</v>
      </c>
      <c r="G22" s="55">
        <v>0</v>
      </c>
      <c r="H22" s="55">
        <v>0</v>
      </c>
      <c r="I22" s="56">
        <v>0</v>
      </c>
      <c r="J22" s="55"/>
      <c r="K22" s="55"/>
    </row>
    <row r="23" spans="1:11" x14ac:dyDescent="0.35">
      <c r="A23" s="40" t="s">
        <v>57</v>
      </c>
      <c r="B23" s="42">
        <v>93</v>
      </c>
      <c r="C23" s="42">
        <v>-17</v>
      </c>
      <c r="D23" s="42">
        <v>115</v>
      </c>
      <c r="E23" s="42">
        <v>-93</v>
      </c>
      <c r="F23" s="42">
        <v>-150</v>
      </c>
      <c r="G23" s="42">
        <v>-173</v>
      </c>
      <c r="H23" s="42">
        <v>-323</v>
      </c>
      <c r="I23" s="57">
        <v>182</v>
      </c>
      <c r="J23" s="42"/>
      <c r="K23" s="42"/>
    </row>
    <row r="24" spans="1:11" x14ac:dyDescent="0.35">
      <c r="A24" s="40" t="s">
        <v>59</v>
      </c>
      <c r="B24" s="42">
        <v>63</v>
      </c>
      <c r="C24" s="42">
        <v>2</v>
      </c>
      <c r="D24" s="42">
        <v>105</v>
      </c>
      <c r="E24" s="42">
        <v>18</v>
      </c>
      <c r="F24" s="42">
        <v>160</v>
      </c>
      <c r="G24" s="42">
        <v>82</v>
      </c>
      <c r="H24" s="42">
        <v>121</v>
      </c>
      <c r="I24" s="57">
        <v>17</v>
      </c>
      <c r="J24" s="42"/>
      <c r="K24" s="42"/>
    </row>
    <row r="25" spans="1:11" x14ac:dyDescent="0.35">
      <c r="A25" s="40" t="s">
        <v>62</v>
      </c>
      <c r="B25" s="42">
        <v>27</v>
      </c>
      <c r="C25" s="42">
        <v>53</v>
      </c>
      <c r="D25" s="42">
        <v>-81</v>
      </c>
      <c r="E25" s="42">
        <v>21</v>
      </c>
      <c r="F25" s="42">
        <v>-197</v>
      </c>
      <c r="G25" s="42">
        <v>185</v>
      </c>
      <c r="H25" s="42">
        <v>-459</v>
      </c>
      <c r="I25" s="52">
        <v>-3330</v>
      </c>
      <c r="J25" s="42"/>
      <c r="K25" s="42"/>
    </row>
    <row r="26" spans="1:11" x14ac:dyDescent="0.35">
      <c r="A26" s="48" t="s">
        <v>64</v>
      </c>
      <c r="B26" s="50">
        <v>1022</v>
      </c>
      <c r="C26" s="50">
        <v>2294</v>
      </c>
      <c r="D26" s="50">
        <v>1728</v>
      </c>
      <c r="E26" s="50">
        <v>1433</v>
      </c>
      <c r="F26" s="50">
        <v>-8960</v>
      </c>
      <c r="G26" s="50">
        <v>-3863</v>
      </c>
      <c r="H26" s="50">
        <v>-11388</v>
      </c>
      <c r="I26" s="51">
        <v>1691</v>
      </c>
      <c r="J26" s="50">
        <v>1990.5</v>
      </c>
      <c r="K26" s="49">
        <v>252.5</v>
      </c>
    </row>
    <row r="27" spans="1:11" x14ac:dyDescent="0.35">
      <c r="A27" s="40" t="s">
        <v>66</v>
      </c>
      <c r="B27" s="42">
        <v>341</v>
      </c>
      <c r="C27" s="42">
        <v>81</v>
      </c>
      <c r="D27" s="42">
        <v>373</v>
      </c>
      <c r="E27" s="42">
        <v>236</v>
      </c>
      <c r="F27" s="41">
        <v>-1663</v>
      </c>
      <c r="G27" s="42">
        <v>-784</v>
      </c>
      <c r="H27" s="42">
        <v>94</v>
      </c>
      <c r="I27" s="52">
        <v>1335</v>
      </c>
      <c r="J27" s="42"/>
      <c r="K27" s="42"/>
    </row>
    <row r="28" spans="1:11" x14ac:dyDescent="0.35">
      <c r="A28" s="40"/>
      <c r="B28" s="232">
        <f>B27/B26</f>
        <v>0.33365949119373778</v>
      </c>
      <c r="C28" s="232">
        <f t="shared" ref="C28:H28" si="0">C27/C26</f>
        <v>3.5309503051438533E-2</v>
      </c>
      <c r="D28" s="232">
        <f t="shared" si="0"/>
        <v>0.21585648148148148</v>
      </c>
      <c r="E28" s="232">
        <f t="shared" si="0"/>
        <v>0.16468946266573622</v>
      </c>
      <c r="F28" s="232">
        <f t="shared" si="0"/>
        <v>0.18560267857142856</v>
      </c>
      <c r="G28" s="232">
        <f t="shared" si="0"/>
        <v>0.2029510742945897</v>
      </c>
      <c r="H28" s="232">
        <f t="shared" si="0"/>
        <v>-8.2543027748507199E-3</v>
      </c>
      <c r="I28" s="52"/>
      <c r="J28" s="42"/>
      <c r="K28" s="42"/>
    </row>
    <row r="29" spans="1:11" x14ac:dyDescent="0.35">
      <c r="A29" s="40" t="s">
        <v>68</v>
      </c>
      <c r="B29" s="42">
        <v>472</v>
      </c>
      <c r="C29" s="42">
        <v>585</v>
      </c>
      <c r="D29" s="42">
        <v>559</v>
      </c>
      <c r="E29" s="42">
        <v>747</v>
      </c>
      <c r="F29" s="41">
        <v>1179</v>
      </c>
      <c r="G29" s="41">
        <v>1560</v>
      </c>
      <c r="H29" s="41">
        <v>1826</v>
      </c>
      <c r="I29" s="57"/>
      <c r="J29" s="42"/>
      <c r="K29" s="42"/>
    </row>
    <row r="30" spans="1:11" x14ac:dyDescent="0.35">
      <c r="A30" s="40" t="s">
        <v>70</v>
      </c>
      <c r="B30" s="42">
        <v>-131</v>
      </c>
      <c r="C30" s="42">
        <v>-504</v>
      </c>
      <c r="D30" s="42">
        <v>-186</v>
      </c>
      <c r="E30" s="42">
        <v>-511</v>
      </c>
      <c r="F30" s="41">
        <v>-2842</v>
      </c>
      <c r="G30" s="41">
        <v>-2344</v>
      </c>
      <c r="H30" s="41">
        <v>-1732</v>
      </c>
      <c r="I30" s="57"/>
      <c r="J30" s="42"/>
      <c r="K30" s="42"/>
    </row>
    <row r="31" spans="1:11" x14ac:dyDescent="0.35">
      <c r="A31" s="48" t="s">
        <v>74</v>
      </c>
      <c r="B31" s="49">
        <v>681</v>
      </c>
      <c r="C31" s="50">
        <v>2213</v>
      </c>
      <c r="D31" s="50">
        <v>1355</v>
      </c>
      <c r="E31" s="50">
        <v>1197</v>
      </c>
      <c r="F31" s="50">
        <v>-7297</v>
      </c>
      <c r="G31" s="50">
        <v>-3079</v>
      </c>
      <c r="H31" s="50">
        <v>-11482</v>
      </c>
      <c r="I31" s="53">
        <v>356</v>
      </c>
      <c r="J31" s="49">
        <v>931.3</v>
      </c>
      <c r="K31" s="49">
        <v>70.5</v>
      </c>
    </row>
    <row r="32" spans="1:11" x14ac:dyDescent="0.35">
      <c r="A32" s="40" t="s">
        <v>76</v>
      </c>
      <c r="B32" s="42">
        <v>0</v>
      </c>
      <c r="C32" s="42">
        <v>0</v>
      </c>
      <c r="D32" s="42">
        <v>0</v>
      </c>
      <c r="E32" s="42">
        <v>0</v>
      </c>
      <c r="F32" s="42">
        <v>0</v>
      </c>
      <c r="G32" s="42">
        <v>0</v>
      </c>
      <c r="H32" s="42">
        <v>0</v>
      </c>
      <c r="I32" s="57">
        <v>0</v>
      </c>
      <c r="J32" s="42"/>
      <c r="K32" s="42"/>
    </row>
    <row r="33" spans="1:11" x14ac:dyDescent="0.35">
      <c r="A33" s="40" t="s">
        <v>78</v>
      </c>
      <c r="B33" s="42">
        <v>0</v>
      </c>
      <c r="C33" s="42">
        <v>0</v>
      </c>
      <c r="D33" s="42">
        <v>0</v>
      </c>
      <c r="E33" s="42">
        <v>0</v>
      </c>
      <c r="F33" s="42">
        <v>0</v>
      </c>
      <c r="G33" s="42">
        <v>0</v>
      </c>
      <c r="H33" s="42">
        <v>0</v>
      </c>
      <c r="I33" s="57">
        <v>0</v>
      </c>
      <c r="J33" s="42"/>
      <c r="K33" s="42"/>
    </row>
    <row r="34" spans="1:11" x14ac:dyDescent="0.35">
      <c r="A34" s="40" t="s">
        <v>80</v>
      </c>
      <c r="B34" s="42">
        <v>0</v>
      </c>
      <c r="C34" s="42">
        <v>0</v>
      </c>
      <c r="D34" s="42">
        <v>0</v>
      </c>
      <c r="E34" s="42">
        <v>0</v>
      </c>
      <c r="F34" s="42">
        <v>0</v>
      </c>
      <c r="G34" s="42">
        <v>0</v>
      </c>
      <c r="H34" s="42">
        <v>0</v>
      </c>
      <c r="I34" s="57">
        <v>0</v>
      </c>
      <c r="J34" s="42"/>
      <c r="K34" s="42"/>
    </row>
    <row r="35" spans="1:11" x14ac:dyDescent="0.35">
      <c r="A35" s="48" t="s">
        <v>82</v>
      </c>
      <c r="B35" s="49">
        <v>681</v>
      </c>
      <c r="C35" s="50">
        <v>2213</v>
      </c>
      <c r="D35" s="50">
        <v>1355</v>
      </c>
      <c r="E35" s="50">
        <v>1197</v>
      </c>
      <c r="F35" s="50">
        <v>-7297</v>
      </c>
      <c r="G35" s="50">
        <v>-3079</v>
      </c>
      <c r="H35" s="50">
        <v>-11482</v>
      </c>
      <c r="I35" s="53">
        <v>356</v>
      </c>
      <c r="J35" s="49"/>
      <c r="K35" s="49"/>
    </row>
    <row r="36" spans="1:11" x14ac:dyDescent="0.35">
      <c r="A36" s="40" t="s">
        <v>84</v>
      </c>
      <c r="B36" s="42">
        <v>87</v>
      </c>
      <c r="C36" s="42">
        <v>144</v>
      </c>
      <c r="D36" s="42">
        <v>136</v>
      </c>
      <c r="E36" s="42">
        <v>191</v>
      </c>
      <c r="F36" s="42">
        <v>74</v>
      </c>
      <c r="G36" s="42">
        <v>47</v>
      </c>
      <c r="H36" s="42">
        <v>-171</v>
      </c>
      <c r="I36" s="57">
        <v>-129</v>
      </c>
      <c r="J36" s="42"/>
      <c r="K36" s="42"/>
    </row>
    <row r="37" spans="1:11" x14ac:dyDescent="0.35">
      <c r="A37" s="48" t="s">
        <v>86</v>
      </c>
      <c r="B37" s="49">
        <v>594</v>
      </c>
      <c r="C37" s="50">
        <v>2069</v>
      </c>
      <c r="D37" s="50">
        <v>1219</v>
      </c>
      <c r="E37" s="50">
        <v>1006</v>
      </c>
      <c r="F37" s="50">
        <v>-7371</v>
      </c>
      <c r="G37" s="50">
        <v>-3126</v>
      </c>
      <c r="H37" s="50">
        <v>-11311</v>
      </c>
      <c r="I37" s="53">
        <v>485</v>
      </c>
      <c r="J37" s="49">
        <v>931.3</v>
      </c>
      <c r="K37" s="49">
        <v>70.5</v>
      </c>
    </row>
    <row r="38" spans="1:11" x14ac:dyDescent="0.35">
      <c r="A38" s="40" t="s">
        <v>88</v>
      </c>
      <c r="B38" s="42">
        <v>60</v>
      </c>
      <c r="C38" s="42">
        <v>204</v>
      </c>
      <c r="D38" s="42">
        <v>128</v>
      </c>
      <c r="E38" s="42">
        <v>110</v>
      </c>
      <c r="F38" s="42">
        <v>49</v>
      </c>
      <c r="G38" s="42">
        <v>0</v>
      </c>
      <c r="H38" s="42">
        <v>0</v>
      </c>
      <c r="I38" s="57">
        <v>0</v>
      </c>
      <c r="J38" s="42"/>
      <c r="K38" s="42"/>
    </row>
    <row r="39" spans="1:11" x14ac:dyDescent="0.35">
      <c r="A39" s="40" t="s">
        <v>90</v>
      </c>
      <c r="B39" s="42">
        <v>105</v>
      </c>
      <c r="C39" s="42">
        <v>314</v>
      </c>
      <c r="D39" s="42">
        <v>172</v>
      </c>
      <c r="E39" s="42">
        <v>116</v>
      </c>
      <c r="F39" s="42">
        <v>0</v>
      </c>
      <c r="G39" s="42">
        <v>0</v>
      </c>
      <c r="H39" s="42">
        <v>0</v>
      </c>
      <c r="I39" s="57">
        <v>0</v>
      </c>
      <c r="J39" s="42"/>
      <c r="K39" s="42"/>
    </row>
    <row r="40" spans="1:11" x14ac:dyDescent="0.35">
      <c r="A40" s="48" t="s">
        <v>92</v>
      </c>
      <c r="B40" s="49">
        <v>429</v>
      </c>
      <c r="C40" s="50">
        <v>1551</v>
      </c>
      <c r="D40" s="49">
        <v>919</v>
      </c>
      <c r="E40" s="49">
        <v>780</v>
      </c>
      <c r="F40" s="50">
        <v>-7420</v>
      </c>
      <c r="G40" s="50">
        <v>-3126</v>
      </c>
      <c r="H40" s="50">
        <v>-11311</v>
      </c>
      <c r="I40" s="53">
        <v>485</v>
      </c>
      <c r="J40" s="49">
        <v>931.3</v>
      </c>
      <c r="K40" s="49">
        <v>70.5</v>
      </c>
    </row>
    <row r="41" spans="1:11" x14ac:dyDescent="0.35">
      <c r="A41" s="48"/>
      <c r="B41" s="49"/>
      <c r="C41" s="49"/>
      <c r="D41" s="49"/>
      <c r="E41" s="49"/>
      <c r="F41" s="49"/>
      <c r="G41" s="49"/>
      <c r="H41" s="49"/>
      <c r="I41" s="53"/>
      <c r="J41" s="49"/>
      <c r="K41" s="49"/>
    </row>
    <row r="42" spans="1:11" x14ac:dyDescent="0.35">
      <c r="A42" s="48" t="s">
        <v>94</v>
      </c>
      <c r="B42" s="50">
        <v>1066.3</v>
      </c>
      <c r="C42" s="50">
        <v>1746.3</v>
      </c>
      <c r="D42" s="50">
        <v>1155.2</v>
      </c>
      <c r="E42" s="49">
        <v>884.3</v>
      </c>
      <c r="F42" s="50">
        <v>-3572.7</v>
      </c>
      <c r="G42" s="50">
        <v>-2449.8000000000002</v>
      </c>
      <c r="H42" s="50">
        <v>-4035.1</v>
      </c>
      <c r="I42" s="51">
        <v>-1046</v>
      </c>
      <c r="J42" s="50">
        <v>1002.5</v>
      </c>
      <c r="K42" s="49">
        <v>-225</v>
      </c>
    </row>
    <row r="43" spans="1:11" x14ac:dyDescent="0.35">
      <c r="A43" s="40" t="s">
        <v>95</v>
      </c>
      <c r="B43" s="42">
        <v>637.29999999999995</v>
      </c>
      <c r="C43" s="42">
        <v>195.3</v>
      </c>
      <c r="D43" s="42">
        <v>236.2</v>
      </c>
      <c r="E43" s="42">
        <v>104.3</v>
      </c>
      <c r="F43" s="41">
        <v>3847.3</v>
      </c>
      <c r="G43" s="42">
        <v>676.2</v>
      </c>
      <c r="H43" s="41">
        <v>7275.9</v>
      </c>
      <c r="I43" s="52">
        <v>-1531</v>
      </c>
      <c r="J43" s="42"/>
      <c r="K43" s="42"/>
    </row>
    <row r="44" spans="1:11" x14ac:dyDescent="0.35">
      <c r="A44" s="40" t="s">
        <v>97</v>
      </c>
      <c r="B44" s="42">
        <v>0</v>
      </c>
      <c r="C44" s="42">
        <v>0</v>
      </c>
      <c r="D44" s="42">
        <v>0</v>
      </c>
      <c r="E44" s="42">
        <v>0</v>
      </c>
      <c r="F44" s="42">
        <v>0</v>
      </c>
      <c r="G44" s="42">
        <v>0</v>
      </c>
      <c r="H44" s="42">
        <v>0</v>
      </c>
      <c r="I44" s="57">
        <v>0</v>
      </c>
      <c r="J44" s="42"/>
      <c r="K44" s="42"/>
    </row>
    <row r="45" spans="1:11" x14ac:dyDescent="0.35">
      <c r="A45" s="48"/>
      <c r="B45" s="49"/>
      <c r="C45" s="49"/>
      <c r="D45" s="49"/>
      <c r="E45" s="49"/>
      <c r="F45" s="49"/>
      <c r="G45" s="49"/>
      <c r="H45" s="49"/>
      <c r="I45" s="53"/>
      <c r="J45" s="49"/>
      <c r="K45" s="49"/>
    </row>
    <row r="46" spans="1:11" x14ac:dyDescent="0.35">
      <c r="A46" s="40" t="s">
        <v>98</v>
      </c>
      <c r="B46" s="42">
        <v>498</v>
      </c>
      <c r="C46" s="42">
        <v>529</v>
      </c>
      <c r="D46" s="42">
        <v>505</v>
      </c>
      <c r="E46" s="42">
        <v>503</v>
      </c>
      <c r="F46" s="41">
        <v>1940</v>
      </c>
      <c r="G46" s="41">
        <v>2436</v>
      </c>
      <c r="H46" s="41">
        <v>2450</v>
      </c>
      <c r="I46" s="52">
        <v>2479</v>
      </c>
      <c r="J46" s="42"/>
      <c r="K46" s="42"/>
    </row>
    <row r="47" spans="1:11" x14ac:dyDescent="0.35">
      <c r="A47" s="48" t="s">
        <v>100</v>
      </c>
      <c r="B47" s="49">
        <v>0.86</v>
      </c>
      <c r="C47" s="49">
        <v>2.9</v>
      </c>
      <c r="D47" s="49">
        <v>1.82</v>
      </c>
      <c r="E47" s="49">
        <v>1.55</v>
      </c>
      <c r="F47" s="49">
        <v>-3.82</v>
      </c>
      <c r="G47" s="49">
        <v>-1.28</v>
      </c>
      <c r="H47" s="49">
        <v>-4.62</v>
      </c>
      <c r="I47" s="53">
        <v>0.2</v>
      </c>
      <c r="J47" s="49">
        <v>0.41</v>
      </c>
      <c r="K47" s="49">
        <v>7.0000000000000007E-2</v>
      </c>
    </row>
    <row r="48" spans="1:11" x14ac:dyDescent="0.35">
      <c r="A48" s="48" t="s">
        <v>102</v>
      </c>
      <c r="B48" s="49">
        <v>0.86</v>
      </c>
      <c r="C48" s="49">
        <v>2.9</v>
      </c>
      <c r="D48" s="49">
        <v>1.82</v>
      </c>
      <c r="E48" s="49">
        <v>1.55</v>
      </c>
      <c r="F48" s="49">
        <v>-3.82</v>
      </c>
      <c r="G48" s="49">
        <v>-1.28</v>
      </c>
      <c r="H48" s="49">
        <v>-4.62</v>
      </c>
      <c r="I48" s="53">
        <v>0.2</v>
      </c>
      <c r="J48" s="49">
        <v>0.41</v>
      </c>
      <c r="K48" s="49">
        <v>7.0000000000000007E-2</v>
      </c>
    </row>
    <row r="49" spans="1:11" x14ac:dyDescent="0.35">
      <c r="A49" s="48" t="s">
        <v>104</v>
      </c>
      <c r="B49" s="49">
        <v>2.14</v>
      </c>
      <c r="C49" s="49">
        <v>3.3</v>
      </c>
      <c r="D49" s="49">
        <v>2.29</v>
      </c>
      <c r="E49" s="49">
        <v>1.76</v>
      </c>
      <c r="F49" s="49">
        <v>-1.84</v>
      </c>
      <c r="G49" s="49">
        <v>-1.01</v>
      </c>
      <c r="H49" s="49">
        <v>-1.65</v>
      </c>
      <c r="I49" s="53">
        <v>-0.42</v>
      </c>
      <c r="J49" s="49">
        <v>0.39</v>
      </c>
      <c r="K49" s="49">
        <v>0.12</v>
      </c>
    </row>
    <row r="50" spans="1:11" x14ac:dyDescent="0.35">
      <c r="A50" s="48"/>
      <c r="B50" s="49"/>
      <c r="C50" s="49"/>
      <c r="D50" s="49"/>
      <c r="E50" s="49"/>
      <c r="F50" s="49"/>
      <c r="G50" s="49"/>
      <c r="H50" s="49"/>
      <c r="I50" s="53"/>
      <c r="J50" s="49"/>
      <c r="K50" s="49"/>
    </row>
    <row r="51" spans="1:11" x14ac:dyDescent="0.35">
      <c r="A51" s="40" t="s">
        <v>106</v>
      </c>
      <c r="B51" s="42">
        <v>688</v>
      </c>
      <c r="C51" s="42">
        <v>711</v>
      </c>
      <c r="D51" s="42">
        <v>672</v>
      </c>
      <c r="E51" s="42">
        <v>664</v>
      </c>
      <c r="F51" s="41">
        <v>1940</v>
      </c>
      <c r="G51" s="41">
        <v>2436</v>
      </c>
      <c r="H51" s="41">
        <v>2450</v>
      </c>
      <c r="I51" s="52">
        <v>2479</v>
      </c>
      <c r="J51" s="42"/>
      <c r="K51" s="42"/>
    </row>
    <row r="52" spans="1:11" x14ac:dyDescent="0.35">
      <c r="A52" s="48" t="s">
        <v>108</v>
      </c>
      <c r="B52" s="49">
        <v>0.86</v>
      </c>
      <c r="C52" s="49">
        <v>2.88</v>
      </c>
      <c r="D52" s="49">
        <v>1.81</v>
      </c>
      <c r="E52" s="49">
        <v>1.54</v>
      </c>
      <c r="F52" s="49">
        <v>-3.82</v>
      </c>
      <c r="G52" s="49">
        <v>-1.28</v>
      </c>
      <c r="H52" s="49">
        <v>-4.62</v>
      </c>
      <c r="I52" s="53">
        <v>0.19</v>
      </c>
      <c r="J52" s="49">
        <v>0.41</v>
      </c>
      <c r="K52" s="49">
        <v>7.0000000000000007E-2</v>
      </c>
    </row>
    <row r="53" spans="1:11" x14ac:dyDescent="0.35">
      <c r="A53" s="48" t="s">
        <v>110</v>
      </c>
      <c r="B53" s="49">
        <v>0.86</v>
      </c>
      <c r="C53" s="49">
        <v>2.88</v>
      </c>
      <c r="D53" s="49">
        <v>1.81</v>
      </c>
      <c r="E53" s="49">
        <v>1.54</v>
      </c>
      <c r="F53" s="49">
        <v>-3.82</v>
      </c>
      <c r="G53" s="49">
        <v>-1.28</v>
      </c>
      <c r="H53" s="49">
        <v>-4.62</v>
      </c>
      <c r="I53" s="53">
        <v>0.19</v>
      </c>
      <c r="J53" s="49">
        <v>0.41</v>
      </c>
      <c r="K53" s="49">
        <v>7.0000000000000007E-2</v>
      </c>
    </row>
    <row r="54" spans="1:11" x14ac:dyDescent="0.35">
      <c r="A54" s="48" t="s">
        <v>112</v>
      </c>
      <c r="B54" s="49">
        <v>1.79</v>
      </c>
      <c r="C54" s="49">
        <v>3.15</v>
      </c>
      <c r="D54" s="49">
        <v>2.16</v>
      </c>
      <c r="E54" s="49">
        <v>1.7</v>
      </c>
      <c r="F54" s="49">
        <v>-1.84</v>
      </c>
      <c r="G54" s="49">
        <v>-1.01</v>
      </c>
      <c r="H54" s="49">
        <v>-1.65</v>
      </c>
      <c r="I54" s="53">
        <v>-0.42</v>
      </c>
      <c r="J54" s="49">
        <v>0.39</v>
      </c>
      <c r="K54" s="49">
        <v>0.12</v>
      </c>
    </row>
    <row r="55" spans="1:11" x14ac:dyDescent="0.35">
      <c r="A55" s="48"/>
      <c r="B55" s="49"/>
      <c r="C55" s="49"/>
      <c r="D55" s="49"/>
      <c r="E55" s="49"/>
      <c r="F55" s="49"/>
      <c r="G55" s="49"/>
      <c r="H55" s="49"/>
      <c r="I55" s="53"/>
      <c r="J55" s="49"/>
      <c r="K55" s="49"/>
    </row>
    <row r="56" spans="1:11" x14ac:dyDescent="0.35">
      <c r="A56" s="48" t="s">
        <v>114</v>
      </c>
      <c r="B56" s="49"/>
      <c r="C56" s="49"/>
      <c r="D56" s="49"/>
      <c r="E56" s="49"/>
      <c r="F56" s="49"/>
      <c r="G56" s="49"/>
      <c r="H56" s="49"/>
      <c r="I56" s="53"/>
      <c r="J56" s="49"/>
      <c r="K56" s="49"/>
    </row>
    <row r="57" spans="1:11" x14ac:dyDescent="0.35">
      <c r="A57" s="40" t="s">
        <v>115</v>
      </c>
      <c r="B57" s="42" t="s">
        <v>117</v>
      </c>
      <c r="C57" s="42" t="s">
        <v>117</v>
      </c>
      <c r="D57" s="42" t="s">
        <v>117</v>
      </c>
      <c r="E57" s="42" t="s">
        <v>117</v>
      </c>
      <c r="F57" s="42" t="s">
        <v>117</v>
      </c>
      <c r="G57" s="42" t="s">
        <v>117</v>
      </c>
      <c r="H57" s="42" t="s">
        <v>117</v>
      </c>
      <c r="I57" s="57"/>
      <c r="J57" s="42"/>
      <c r="K57" s="42"/>
    </row>
    <row r="58" spans="1:11" x14ac:dyDescent="0.35">
      <c r="A58" s="40" t="s">
        <v>118</v>
      </c>
      <c r="B58" s="41">
        <v>3332</v>
      </c>
      <c r="C58" s="41">
        <v>4470</v>
      </c>
      <c r="D58" s="41">
        <v>3990</v>
      </c>
      <c r="E58" s="41">
        <v>3697</v>
      </c>
      <c r="F58" s="42">
        <v>195</v>
      </c>
      <c r="G58" s="41">
        <v>6977</v>
      </c>
      <c r="H58" s="41">
        <v>-2554</v>
      </c>
      <c r="I58" s="52">
        <v>6563</v>
      </c>
      <c r="J58" s="41">
        <v>8649.6</v>
      </c>
      <c r="K58" s="41">
        <v>8607.2999999999993</v>
      </c>
    </row>
    <row r="59" spans="1:11" x14ac:dyDescent="0.35">
      <c r="A59" s="40" t="s">
        <v>119</v>
      </c>
      <c r="B59" s="42">
        <v>31.57</v>
      </c>
      <c r="C59" s="42">
        <v>40.11</v>
      </c>
      <c r="D59" s="42">
        <v>37.39</v>
      </c>
      <c r="E59" s="42">
        <v>30.33</v>
      </c>
      <c r="F59" s="42">
        <v>0.57999999999999996</v>
      </c>
      <c r="G59" s="42">
        <v>16.88</v>
      </c>
      <c r="H59" s="42">
        <v>-6.5</v>
      </c>
      <c r="I59" s="57">
        <v>17.329999999999998</v>
      </c>
      <c r="J59" s="42">
        <v>23.27</v>
      </c>
      <c r="K59" s="42">
        <v>23.35</v>
      </c>
    </row>
    <row r="60" spans="1:11" x14ac:dyDescent="0.35">
      <c r="A60" s="40" t="s">
        <v>121</v>
      </c>
      <c r="B60" s="41">
        <v>3103</v>
      </c>
      <c r="C60" s="41">
        <v>4263</v>
      </c>
      <c r="D60" s="41">
        <v>3723</v>
      </c>
      <c r="E60" s="41">
        <v>3386</v>
      </c>
      <c r="F60" s="42">
        <v>-762</v>
      </c>
      <c r="G60" s="42">
        <v>89</v>
      </c>
      <c r="H60" s="41">
        <v>-3656</v>
      </c>
      <c r="I60" s="57"/>
      <c r="J60" s="42"/>
      <c r="K60" s="42"/>
    </row>
    <row r="61" spans="1:11" x14ac:dyDescent="0.35">
      <c r="A61" s="40" t="s">
        <v>122</v>
      </c>
      <c r="B61" s="41">
        <v>1934</v>
      </c>
      <c r="C61" s="41">
        <v>3009</v>
      </c>
      <c r="D61" s="41">
        <v>2515</v>
      </c>
      <c r="E61" s="41">
        <v>2012</v>
      </c>
      <c r="F61" s="41">
        <v>-7370</v>
      </c>
      <c r="G61" s="41">
        <v>-1548</v>
      </c>
      <c r="H61" s="41">
        <v>-10032</v>
      </c>
      <c r="I61" s="57">
        <v>551</v>
      </c>
      <c r="J61" s="41">
        <v>1171.7</v>
      </c>
      <c r="K61" s="41">
        <v>1848.4</v>
      </c>
    </row>
    <row r="62" spans="1:11" x14ac:dyDescent="0.35">
      <c r="A62" s="40" t="s">
        <v>123</v>
      </c>
      <c r="B62" s="42">
        <v>62.71</v>
      </c>
      <c r="C62" s="42">
        <v>65.73</v>
      </c>
      <c r="D62" s="42">
        <v>63.83</v>
      </c>
      <c r="E62" s="42">
        <v>62.1</v>
      </c>
      <c r="F62" s="42">
        <v>39.549999999999997</v>
      </c>
      <c r="G62" s="42">
        <v>40.65</v>
      </c>
      <c r="H62" s="42">
        <v>41.58</v>
      </c>
      <c r="I62" s="57">
        <v>44.04</v>
      </c>
      <c r="J62" s="42"/>
      <c r="K62" s="42"/>
    </row>
    <row r="63" spans="1:11" x14ac:dyDescent="0.35">
      <c r="A63" s="40" t="s">
        <v>125</v>
      </c>
      <c r="B63" s="42">
        <v>18.329999999999998</v>
      </c>
      <c r="C63" s="42">
        <v>27</v>
      </c>
      <c r="D63" s="42">
        <v>23.57</v>
      </c>
      <c r="E63" s="42">
        <v>16.5</v>
      </c>
      <c r="F63" s="42">
        <v>-21.79</v>
      </c>
      <c r="G63" s="42">
        <v>-3.75</v>
      </c>
      <c r="H63" s="42">
        <v>-25.51</v>
      </c>
      <c r="I63" s="57">
        <v>1.46</v>
      </c>
      <c r="J63" s="42">
        <v>3.15</v>
      </c>
      <c r="K63" s="42">
        <v>5.01</v>
      </c>
    </row>
    <row r="64" spans="1:11" x14ac:dyDescent="0.35">
      <c r="A64" s="40" t="s">
        <v>127</v>
      </c>
      <c r="B64" s="42">
        <v>5.63</v>
      </c>
      <c r="C64" s="42">
        <v>18.57</v>
      </c>
      <c r="D64" s="42">
        <v>11.42</v>
      </c>
      <c r="E64" s="42">
        <v>8.25</v>
      </c>
      <c r="F64" s="42">
        <v>-21.8</v>
      </c>
      <c r="G64" s="42">
        <v>-7.57</v>
      </c>
      <c r="H64" s="42">
        <v>-28.77</v>
      </c>
      <c r="I64" s="57">
        <v>1.28</v>
      </c>
      <c r="J64" s="42">
        <v>2.7</v>
      </c>
      <c r="K64" s="42">
        <v>-0.61</v>
      </c>
    </row>
    <row r="65" spans="1:11" x14ac:dyDescent="0.35">
      <c r="A65" s="40" t="s">
        <v>129</v>
      </c>
      <c r="B65" s="41">
        <v>1172555.56</v>
      </c>
      <c r="C65" s="41">
        <v>1211304.3500000001</v>
      </c>
      <c r="D65" s="41">
        <v>1088877.55</v>
      </c>
      <c r="E65" s="41">
        <v>1108272.73</v>
      </c>
      <c r="F65" s="41">
        <v>901786.67</v>
      </c>
      <c r="G65" s="41">
        <v>1170566.57</v>
      </c>
      <c r="H65" s="41">
        <v>1123457.1399999999</v>
      </c>
      <c r="I65" s="57"/>
      <c r="J65" s="42"/>
      <c r="K65" s="42"/>
    </row>
    <row r="66" spans="1:11" x14ac:dyDescent="0.35">
      <c r="A66" s="40" t="s">
        <v>131</v>
      </c>
      <c r="B66" s="42">
        <v>0</v>
      </c>
      <c r="C66" s="42">
        <v>0</v>
      </c>
      <c r="D66" s="42">
        <v>0</v>
      </c>
      <c r="E66" s="42">
        <v>0</v>
      </c>
      <c r="F66" s="42">
        <v>0</v>
      </c>
      <c r="G66" s="42">
        <v>0</v>
      </c>
      <c r="H66" s="42">
        <v>0</v>
      </c>
      <c r="I66" s="57">
        <v>0</v>
      </c>
      <c r="J66" s="42">
        <v>0</v>
      </c>
      <c r="K66" s="42">
        <v>0</v>
      </c>
    </row>
    <row r="67" spans="1:11" x14ac:dyDescent="0.35">
      <c r="A67" s="40" t="s">
        <v>133</v>
      </c>
      <c r="B67" s="42">
        <v>0</v>
      </c>
      <c r="C67" s="42">
        <v>0</v>
      </c>
      <c r="D67" s="42">
        <v>0</v>
      </c>
      <c r="E67" s="42">
        <v>0</v>
      </c>
      <c r="F67" s="42">
        <v>0</v>
      </c>
      <c r="G67" s="42">
        <v>0</v>
      </c>
      <c r="H67" s="42">
        <v>0</v>
      </c>
      <c r="I67" s="57">
        <v>0</v>
      </c>
      <c r="J67" s="42"/>
      <c r="K67" s="42"/>
    </row>
    <row r="68" spans="1:11" x14ac:dyDescent="0.35">
      <c r="A68" s="40" t="s">
        <v>135</v>
      </c>
      <c r="B68" s="42">
        <v>229</v>
      </c>
      <c r="C68" s="42">
        <v>207</v>
      </c>
      <c r="D68" s="42">
        <v>267</v>
      </c>
      <c r="E68" s="42">
        <v>311</v>
      </c>
      <c r="F68" s="42">
        <v>957</v>
      </c>
      <c r="G68" s="41">
        <v>6888</v>
      </c>
      <c r="H68" s="41">
        <v>1102</v>
      </c>
      <c r="I68" s="57"/>
      <c r="J68" s="42"/>
      <c r="K68" s="42"/>
    </row>
    <row r="69" spans="1:11" x14ac:dyDescent="0.35">
      <c r="A69" s="40" t="s">
        <v>137</v>
      </c>
      <c r="B69" s="42">
        <v>205</v>
      </c>
      <c r="C69" s="42">
        <v>124</v>
      </c>
      <c r="D69" s="42">
        <v>125</v>
      </c>
      <c r="E69" s="42">
        <v>110</v>
      </c>
      <c r="F69" s="42">
        <v>438</v>
      </c>
      <c r="G69" s="42">
        <v>614</v>
      </c>
      <c r="H69" s="42">
        <v>485</v>
      </c>
      <c r="I69" s="57"/>
      <c r="J69" s="42"/>
      <c r="K69" s="42"/>
    </row>
    <row r="70" spans="1:11" x14ac:dyDescent="0.35">
      <c r="A70" s="43" t="s">
        <v>139</v>
      </c>
      <c r="B70" s="43" t="s">
        <v>140</v>
      </c>
      <c r="C70" s="43"/>
      <c r="D70" s="43"/>
      <c r="E70" s="43"/>
      <c r="F70" s="43"/>
      <c r="G70" s="43"/>
      <c r="H70" s="43"/>
      <c r="I70" s="43"/>
      <c r="J70" s="43"/>
      <c r="K70" s="4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6206A-FF72-C240-8129-E2E782C67A77}">
  <sheetPr>
    <tabColor rgb="FFFFC000"/>
  </sheetPr>
  <dimension ref="A1:K98"/>
  <sheetViews>
    <sheetView workbookViewId="0">
      <selection activeCell="B5" sqref="B5"/>
    </sheetView>
  </sheetViews>
  <sheetFormatPr defaultColWidth="10.88671875" defaultRowHeight="17.399999999999999" x14ac:dyDescent="0.35"/>
  <cols>
    <col min="1" max="1" width="50.6640625" style="2" bestFit="1" customWidth="1"/>
    <col min="2" max="2" width="10.6640625" style="2" customWidth="1"/>
    <col min="3" max="8" width="10" style="2" bestFit="1" customWidth="1"/>
    <col min="9" max="9" width="10.109375" style="2" bestFit="1" customWidth="1"/>
    <col min="10" max="11" width="10" style="2" bestFit="1" customWidth="1"/>
    <col min="12" max="16384" width="10.88671875" style="2"/>
  </cols>
  <sheetData>
    <row r="1" spans="1:11" x14ac:dyDescent="0.35">
      <c r="A1" s="44"/>
      <c r="B1" s="44"/>
      <c r="C1" s="44"/>
      <c r="D1" s="44"/>
      <c r="E1" s="44"/>
      <c r="F1" s="44"/>
      <c r="G1" s="44"/>
      <c r="H1" s="44"/>
      <c r="I1" s="44"/>
      <c r="J1" s="44"/>
      <c r="K1" s="44"/>
    </row>
    <row r="2" spans="1:11" x14ac:dyDescent="0.35">
      <c r="A2" s="34" t="s">
        <v>608</v>
      </c>
      <c r="B2" s="34"/>
      <c r="C2" s="34"/>
      <c r="D2" s="34"/>
      <c r="E2" s="34"/>
      <c r="F2" s="34"/>
      <c r="G2" s="34"/>
      <c r="H2" s="34"/>
      <c r="I2" s="34"/>
      <c r="J2" s="34"/>
      <c r="K2" s="34"/>
    </row>
    <row r="3" spans="1:11" x14ac:dyDescent="0.35">
      <c r="A3" s="45"/>
      <c r="B3" s="45"/>
      <c r="C3" s="45"/>
      <c r="D3" s="45"/>
      <c r="E3" s="45"/>
      <c r="F3" s="45"/>
      <c r="G3" s="45"/>
      <c r="H3" s="45"/>
      <c r="I3" s="45"/>
      <c r="J3" s="45"/>
      <c r="K3" s="45"/>
    </row>
    <row r="4" spans="1:11" x14ac:dyDescent="0.35">
      <c r="A4" s="37" t="s">
        <v>1</v>
      </c>
      <c r="B4" s="46" t="s">
        <v>142</v>
      </c>
      <c r="C4" s="46" t="s">
        <v>143</v>
      </c>
      <c r="D4" s="46" t="s">
        <v>144</v>
      </c>
      <c r="E4" s="46" t="s">
        <v>2</v>
      </c>
      <c r="F4" s="46" t="s">
        <v>3</v>
      </c>
      <c r="G4" s="46" t="s">
        <v>4</v>
      </c>
      <c r="H4" s="46" t="s">
        <v>5</v>
      </c>
      <c r="I4" s="46" t="s">
        <v>6</v>
      </c>
      <c r="J4" s="46" t="s">
        <v>7</v>
      </c>
      <c r="K4" s="46" t="s">
        <v>8</v>
      </c>
    </row>
    <row r="5" spans="1:11" x14ac:dyDescent="0.35">
      <c r="A5" s="38" t="s">
        <v>12</v>
      </c>
      <c r="B5" s="47">
        <v>42369</v>
      </c>
      <c r="C5" s="47">
        <v>42735</v>
      </c>
      <c r="D5" s="47">
        <v>43100</v>
      </c>
      <c r="E5" s="47">
        <v>43465</v>
      </c>
      <c r="F5" s="47">
        <v>43830</v>
      </c>
      <c r="G5" s="47">
        <v>44196</v>
      </c>
      <c r="H5" s="47">
        <v>44561</v>
      </c>
      <c r="I5" s="47">
        <v>44926</v>
      </c>
      <c r="J5" s="47">
        <v>45291</v>
      </c>
      <c r="K5" s="47">
        <v>45657</v>
      </c>
    </row>
    <row r="6" spans="1:11" x14ac:dyDescent="0.35">
      <c r="A6" s="48" t="s">
        <v>148</v>
      </c>
      <c r="B6" s="49"/>
      <c r="C6" s="49"/>
      <c r="D6" s="49"/>
      <c r="E6" s="49"/>
      <c r="F6" s="49"/>
      <c r="G6" s="49"/>
      <c r="H6" s="49"/>
      <c r="I6" s="49"/>
      <c r="J6" s="49"/>
      <c r="K6" s="49"/>
    </row>
    <row r="7" spans="1:11" x14ac:dyDescent="0.35">
      <c r="A7" s="40" t="s">
        <v>149</v>
      </c>
      <c r="B7" s="42">
        <v>390</v>
      </c>
      <c r="C7" s="42">
        <v>300</v>
      </c>
      <c r="D7" s="41">
        <v>7309</v>
      </c>
      <c r="E7" s="42">
        <v>986</v>
      </c>
      <c r="F7" s="41">
        <v>1552</v>
      </c>
      <c r="G7" s="41">
        <v>2091</v>
      </c>
      <c r="H7" s="41">
        <v>3905</v>
      </c>
      <c r="I7" s="41">
        <v>3731</v>
      </c>
      <c r="J7" s="41">
        <v>3780</v>
      </c>
      <c r="K7" s="41">
        <v>5312</v>
      </c>
    </row>
    <row r="8" spans="1:11" x14ac:dyDescent="0.35">
      <c r="A8" s="40" t="s">
        <v>151</v>
      </c>
      <c r="B8" s="42">
        <v>390</v>
      </c>
      <c r="C8" s="42">
        <v>300</v>
      </c>
      <c r="D8" s="41">
        <v>7309</v>
      </c>
      <c r="E8" s="42">
        <v>986</v>
      </c>
      <c r="F8" s="41">
        <v>1552</v>
      </c>
      <c r="G8" s="41">
        <v>2091</v>
      </c>
      <c r="H8" s="41">
        <v>3905</v>
      </c>
      <c r="I8" s="41">
        <v>3731</v>
      </c>
      <c r="J8" s="41">
        <v>3780</v>
      </c>
      <c r="K8" s="41">
        <v>5312</v>
      </c>
    </row>
    <row r="9" spans="1:11" x14ac:dyDescent="0.35">
      <c r="A9" s="40" t="s">
        <v>153</v>
      </c>
      <c r="B9" s="42">
        <v>0</v>
      </c>
      <c r="C9" s="42">
        <v>0</v>
      </c>
      <c r="D9" s="42">
        <v>0</v>
      </c>
      <c r="E9" s="42">
        <v>0</v>
      </c>
      <c r="F9" s="42">
        <v>0</v>
      </c>
      <c r="G9" s="42">
        <v>0</v>
      </c>
      <c r="H9" s="42">
        <v>0</v>
      </c>
      <c r="I9" s="42">
        <v>0</v>
      </c>
      <c r="J9" s="42">
        <v>0</v>
      </c>
      <c r="K9" s="42">
        <v>0</v>
      </c>
    </row>
    <row r="10" spans="1:11" x14ac:dyDescent="0.35">
      <c r="A10" s="40" t="s">
        <v>155</v>
      </c>
      <c r="B10" s="41">
        <v>1479</v>
      </c>
      <c r="C10" s="41">
        <v>1495</v>
      </c>
      <c r="D10" s="41">
        <v>1838</v>
      </c>
      <c r="E10" s="41">
        <v>2620</v>
      </c>
      <c r="F10" s="41">
        <v>2633</v>
      </c>
      <c r="G10" s="41">
        <v>2537</v>
      </c>
      <c r="H10" s="41">
        <v>2446</v>
      </c>
      <c r="I10" s="41">
        <v>6380</v>
      </c>
      <c r="J10" s="41">
        <v>6047</v>
      </c>
      <c r="K10" s="41">
        <v>4947</v>
      </c>
    </row>
    <row r="11" spans="1:11" x14ac:dyDescent="0.35">
      <c r="A11" s="40" t="s">
        <v>157</v>
      </c>
      <c r="B11" s="41">
        <v>1479</v>
      </c>
      <c r="C11" s="41">
        <v>1495</v>
      </c>
      <c r="D11" s="41">
        <v>1838</v>
      </c>
      <c r="E11" s="41">
        <v>2620</v>
      </c>
      <c r="F11" s="41">
        <v>2633</v>
      </c>
      <c r="G11" s="41">
        <v>2537</v>
      </c>
      <c r="H11" s="41">
        <v>2446</v>
      </c>
      <c r="I11" s="41">
        <v>6380</v>
      </c>
      <c r="J11" s="41">
        <v>6047</v>
      </c>
      <c r="K11" s="41">
        <v>4947</v>
      </c>
    </row>
    <row r="12" spans="1:11" x14ac:dyDescent="0.35">
      <c r="A12" s="40" t="s">
        <v>159</v>
      </c>
      <c r="B12" s="42">
        <v>0</v>
      </c>
      <c r="C12" s="42">
        <v>0</v>
      </c>
      <c r="D12" s="42">
        <v>0</v>
      </c>
      <c r="E12" s="42">
        <v>0</v>
      </c>
      <c r="F12" s="42">
        <v>0</v>
      </c>
      <c r="G12" s="42">
        <v>0</v>
      </c>
      <c r="H12" s="42">
        <v>0</v>
      </c>
      <c r="I12" s="42">
        <v>0</v>
      </c>
      <c r="J12" s="42">
        <v>0</v>
      </c>
      <c r="K12" s="42">
        <v>0</v>
      </c>
    </row>
    <row r="13" spans="1:11" x14ac:dyDescent="0.35">
      <c r="A13" s="40" t="s">
        <v>161</v>
      </c>
      <c r="B13" s="42">
        <v>0</v>
      </c>
      <c r="C13" s="42">
        <v>0</v>
      </c>
      <c r="D13" s="42">
        <v>0</v>
      </c>
      <c r="E13" s="42">
        <v>0</v>
      </c>
      <c r="F13" s="42">
        <v>0</v>
      </c>
      <c r="G13" s="42">
        <v>0</v>
      </c>
      <c r="H13" s="42">
        <v>0</v>
      </c>
      <c r="I13" s="42">
        <v>0</v>
      </c>
      <c r="J13" s="42">
        <v>0</v>
      </c>
      <c r="K13" s="42">
        <v>0</v>
      </c>
    </row>
    <row r="14" spans="1:11" x14ac:dyDescent="0.35">
      <c r="A14" s="40" t="s">
        <v>163</v>
      </c>
      <c r="B14" s="42">
        <v>0</v>
      </c>
      <c r="C14" s="42">
        <v>0</v>
      </c>
      <c r="D14" s="42">
        <v>0</v>
      </c>
      <c r="E14" s="42">
        <v>0</v>
      </c>
      <c r="F14" s="42">
        <v>0</v>
      </c>
      <c r="G14" s="42">
        <v>0</v>
      </c>
      <c r="H14" s="42">
        <v>0</v>
      </c>
      <c r="I14" s="42">
        <v>0</v>
      </c>
      <c r="J14" s="42">
        <v>0</v>
      </c>
      <c r="K14" s="42">
        <v>0</v>
      </c>
    </row>
    <row r="15" spans="1:11" x14ac:dyDescent="0.35">
      <c r="A15" s="40" t="s">
        <v>165</v>
      </c>
      <c r="B15" s="42">
        <v>0</v>
      </c>
      <c r="C15" s="42">
        <v>0</v>
      </c>
      <c r="D15" s="42">
        <v>0</v>
      </c>
      <c r="E15" s="42">
        <v>0</v>
      </c>
      <c r="F15" s="42">
        <v>0</v>
      </c>
      <c r="G15" s="42">
        <v>0</v>
      </c>
      <c r="H15" s="42">
        <v>0</v>
      </c>
      <c r="I15" s="42">
        <v>0</v>
      </c>
      <c r="J15" s="42">
        <v>0</v>
      </c>
      <c r="K15" s="42">
        <v>0</v>
      </c>
    </row>
    <row r="16" spans="1:11" x14ac:dyDescent="0.35">
      <c r="A16" s="40" t="s">
        <v>167</v>
      </c>
      <c r="B16" s="42">
        <v>0</v>
      </c>
      <c r="C16" s="42">
        <v>0</v>
      </c>
      <c r="D16" s="42">
        <v>0</v>
      </c>
      <c r="E16" s="42">
        <v>0</v>
      </c>
      <c r="F16" s="42">
        <v>0</v>
      </c>
      <c r="G16" s="42">
        <v>0</v>
      </c>
      <c r="H16" s="42">
        <v>0</v>
      </c>
      <c r="I16" s="42">
        <v>0</v>
      </c>
      <c r="J16" s="42">
        <v>0</v>
      </c>
      <c r="K16" s="42">
        <v>0</v>
      </c>
    </row>
    <row r="17" spans="1:11" x14ac:dyDescent="0.35">
      <c r="A17" s="40" t="s">
        <v>169</v>
      </c>
      <c r="B17" s="42">
        <v>0</v>
      </c>
      <c r="C17" s="42">
        <v>0</v>
      </c>
      <c r="D17" s="42">
        <v>0</v>
      </c>
      <c r="E17" s="42">
        <v>0</v>
      </c>
      <c r="F17" s="42">
        <v>0</v>
      </c>
      <c r="G17" s="42">
        <v>0</v>
      </c>
      <c r="H17" s="42">
        <v>0</v>
      </c>
      <c r="I17" s="42">
        <v>0</v>
      </c>
      <c r="J17" s="42">
        <v>0</v>
      </c>
      <c r="K17" s="42">
        <v>0</v>
      </c>
    </row>
    <row r="18" spans="1:11" x14ac:dyDescent="0.35">
      <c r="A18" s="40" t="s">
        <v>171</v>
      </c>
      <c r="B18" s="42">
        <v>727</v>
      </c>
      <c r="C18" s="42">
        <v>707</v>
      </c>
      <c r="D18" s="42">
        <v>844</v>
      </c>
      <c r="E18" s="42">
        <v>625</v>
      </c>
      <c r="F18" s="41">
        <v>1032</v>
      </c>
      <c r="G18" s="41">
        <v>1502</v>
      </c>
      <c r="H18" s="42">
        <v>913</v>
      </c>
      <c r="I18" s="41">
        <v>3888</v>
      </c>
      <c r="J18" s="41">
        <v>4391</v>
      </c>
      <c r="K18" s="41">
        <v>3819</v>
      </c>
    </row>
    <row r="19" spans="1:11" x14ac:dyDescent="0.35">
      <c r="A19" s="40" t="s">
        <v>175</v>
      </c>
      <c r="B19" s="42">
        <v>21</v>
      </c>
      <c r="C19" s="42">
        <v>31</v>
      </c>
      <c r="D19" s="42">
        <v>9</v>
      </c>
      <c r="E19" s="42">
        <v>13</v>
      </c>
      <c r="F19" s="42">
        <v>66</v>
      </c>
      <c r="G19" s="42">
        <v>38</v>
      </c>
      <c r="H19" s="42">
        <v>241</v>
      </c>
      <c r="I19" s="42">
        <v>80</v>
      </c>
      <c r="J19" s="42">
        <v>90</v>
      </c>
      <c r="K19" s="42">
        <v>73</v>
      </c>
    </row>
    <row r="20" spans="1:11" x14ac:dyDescent="0.35">
      <c r="A20" s="40" t="s">
        <v>177</v>
      </c>
      <c r="B20" s="42">
        <v>68</v>
      </c>
      <c r="C20" s="42" t="s">
        <v>61</v>
      </c>
      <c r="D20" s="42" t="s">
        <v>61</v>
      </c>
      <c r="E20" s="42" t="s">
        <v>61</v>
      </c>
      <c r="F20" s="42" t="s">
        <v>61</v>
      </c>
      <c r="G20" s="42" t="s">
        <v>61</v>
      </c>
      <c r="H20" s="42" t="s">
        <v>61</v>
      </c>
      <c r="I20" s="42" t="s">
        <v>61</v>
      </c>
      <c r="J20" s="42" t="s">
        <v>61</v>
      </c>
      <c r="K20" s="42" t="s">
        <v>61</v>
      </c>
    </row>
    <row r="21" spans="1:11" x14ac:dyDescent="0.35">
      <c r="A21" s="40" t="s">
        <v>179</v>
      </c>
      <c r="B21" s="42">
        <v>638</v>
      </c>
      <c r="C21" s="42">
        <v>676</v>
      </c>
      <c r="D21" s="42">
        <v>835</v>
      </c>
      <c r="E21" s="42">
        <v>612</v>
      </c>
      <c r="F21" s="42">
        <v>966</v>
      </c>
      <c r="G21" s="41">
        <v>1464</v>
      </c>
      <c r="H21" s="42">
        <v>672</v>
      </c>
      <c r="I21" s="41">
        <v>3808</v>
      </c>
      <c r="J21" s="41">
        <v>4301</v>
      </c>
      <c r="K21" s="41">
        <v>3746</v>
      </c>
    </row>
    <row r="22" spans="1:11" x14ac:dyDescent="0.35">
      <c r="A22" s="48" t="s">
        <v>181</v>
      </c>
      <c r="B22" s="50">
        <v>2596</v>
      </c>
      <c r="C22" s="50">
        <v>2502</v>
      </c>
      <c r="D22" s="50">
        <v>9991</v>
      </c>
      <c r="E22" s="50">
        <v>4231</v>
      </c>
      <c r="F22" s="50">
        <v>5217</v>
      </c>
      <c r="G22" s="50">
        <v>6130</v>
      </c>
      <c r="H22" s="50">
        <v>7264</v>
      </c>
      <c r="I22" s="50">
        <v>13999</v>
      </c>
      <c r="J22" s="50">
        <v>14218</v>
      </c>
      <c r="K22" s="50">
        <v>14078</v>
      </c>
    </row>
    <row r="23" spans="1:11" x14ac:dyDescent="0.35">
      <c r="A23" s="40" t="s">
        <v>183</v>
      </c>
      <c r="B23" s="42">
        <v>488</v>
      </c>
      <c r="C23" s="42">
        <v>482</v>
      </c>
      <c r="D23" s="42">
        <v>597</v>
      </c>
      <c r="E23" s="42">
        <v>800</v>
      </c>
      <c r="F23" s="41">
        <v>1564</v>
      </c>
      <c r="G23" s="41">
        <v>1781</v>
      </c>
      <c r="H23" s="41">
        <v>1871</v>
      </c>
      <c r="I23" s="41">
        <v>8490</v>
      </c>
      <c r="J23" s="41">
        <v>9031</v>
      </c>
      <c r="K23" s="41">
        <v>8460</v>
      </c>
    </row>
    <row r="24" spans="1:11" x14ac:dyDescent="0.35">
      <c r="A24" s="40" t="s">
        <v>185</v>
      </c>
      <c r="B24" s="41">
        <v>1561</v>
      </c>
      <c r="C24" s="41">
        <v>1614</v>
      </c>
      <c r="D24" s="41">
        <v>1901</v>
      </c>
      <c r="E24" s="41">
        <v>1993</v>
      </c>
      <c r="F24" s="41">
        <v>2712</v>
      </c>
      <c r="G24" s="41">
        <v>3144</v>
      </c>
      <c r="H24" s="41">
        <v>3200</v>
      </c>
      <c r="I24" s="41">
        <v>10545</v>
      </c>
      <c r="J24" s="41">
        <v>12116</v>
      </c>
      <c r="K24" s="41">
        <v>12495</v>
      </c>
    </row>
    <row r="25" spans="1:11" x14ac:dyDescent="0.35">
      <c r="A25" s="40" t="s">
        <v>187</v>
      </c>
      <c r="B25" s="41">
        <v>1073</v>
      </c>
      <c r="C25" s="41">
        <v>1132</v>
      </c>
      <c r="D25" s="41">
        <v>1304</v>
      </c>
      <c r="E25" s="41">
        <v>1193</v>
      </c>
      <c r="F25" s="41">
        <v>1148</v>
      </c>
      <c r="G25" s="41">
        <v>1363</v>
      </c>
      <c r="H25" s="41">
        <v>1329</v>
      </c>
      <c r="I25" s="41">
        <v>2055</v>
      </c>
      <c r="J25" s="41">
        <v>3085</v>
      </c>
      <c r="K25" s="41">
        <v>4035</v>
      </c>
    </row>
    <row r="26" spans="1:11" x14ac:dyDescent="0.35">
      <c r="A26" s="40" t="s">
        <v>189</v>
      </c>
      <c r="B26" s="42">
        <v>567</v>
      </c>
      <c r="C26" s="42">
        <v>557</v>
      </c>
      <c r="D26" s="42">
        <v>335</v>
      </c>
      <c r="E26" s="42">
        <v>935</v>
      </c>
      <c r="F26" s="42">
        <v>568</v>
      </c>
      <c r="G26" s="42">
        <v>507</v>
      </c>
      <c r="H26" s="42">
        <v>543</v>
      </c>
      <c r="I26" s="41">
        <v>1588</v>
      </c>
      <c r="J26" s="41">
        <v>1487</v>
      </c>
      <c r="K26" s="41">
        <v>1115</v>
      </c>
    </row>
    <row r="27" spans="1:11" x14ac:dyDescent="0.35">
      <c r="A27" s="40" t="s">
        <v>493</v>
      </c>
      <c r="B27" s="42">
        <v>567</v>
      </c>
      <c r="C27" s="42">
        <v>557</v>
      </c>
      <c r="D27" s="42">
        <v>335</v>
      </c>
      <c r="E27" s="42">
        <v>935</v>
      </c>
      <c r="F27" s="42">
        <v>568</v>
      </c>
      <c r="G27" s="42">
        <v>507</v>
      </c>
      <c r="H27" s="42">
        <v>543</v>
      </c>
      <c r="I27" s="41">
        <v>1588</v>
      </c>
      <c r="J27" s="41">
        <v>1487</v>
      </c>
      <c r="K27" s="41">
        <v>1115</v>
      </c>
    </row>
    <row r="28" spans="1:11" x14ac:dyDescent="0.35">
      <c r="A28" s="40" t="s">
        <v>191</v>
      </c>
      <c r="B28" s="41">
        <v>12213</v>
      </c>
      <c r="C28" s="41">
        <v>12131</v>
      </c>
      <c r="D28" s="41">
        <v>11632</v>
      </c>
      <c r="E28" s="41">
        <v>26584</v>
      </c>
      <c r="F28" s="41">
        <v>26386</v>
      </c>
      <c r="G28" s="41">
        <v>25669</v>
      </c>
      <c r="H28" s="41">
        <v>24749</v>
      </c>
      <c r="I28" s="41">
        <v>109924</v>
      </c>
      <c r="J28" s="41">
        <v>98021</v>
      </c>
      <c r="K28" s="41">
        <v>80907</v>
      </c>
    </row>
    <row r="29" spans="1:11" x14ac:dyDescent="0.35">
      <c r="A29" s="40" t="s">
        <v>193</v>
      </c>
      <c r="B29" s="41">
        <v>11924</v>
      </c>
      <c r="C29" s="41">
        <v>11641</v>
      </c>
      <c r="D29" s="41">
        <v>11056</v>
      </c>
      <c r="E29" s="41">
        <v>25749</v>
      </c>
      <c r="F29" s="41">
        <v>24846</v>
      </c>
      <c r="G29" s="41">
        <v>24149</v>
      </c>
      <c r="H29" s="41">
        <v>23061</v>
      </c>
      <c r="I29" s="41">
        <v>106072</v>
      </c>
      <c r="J29" s="41">
        <v>94483</v>
      </c>
      <c r="K29" s="41">
        <v>77068</v>
      </c>
    </row>
    <row r="30" spans="1:11" x14ac:dyDescent="0.35">
      <c r="A30" s="54" t="s">
        <v>195</v>
      </c>
      <c r="B30" s="58">
        <v>8164</v>
      </c>
      <c r="C30" s="58">
        <v>8040</v>
      </c>
      <c r="D30" s="58">
        <v>7073</v>
      </c>
      <c r="E30" s="58">
        <v>13006</v>
      </c>
      <c r="F30" s="58">
        <v>13050</v>
      </c>
      <c r="G30" s="58">
        <v>13070</v>
      </c>
      <c r="H30" s="58">
        <v>12912</v>
      </c>
      <c r="I30" s="58">
        <v>34438</v>
      </c>
      <c r="J30" s="58">
        <v>34969</v>
      </c>
      <c r="K30" s="58">
        <v>25667</v>
      </c>
    </row>
    <row r="31" spans="1:11" x14ac:dyDescent="0.35">
      <c r="A31" s="54" t="s">
        <v>197</v>
      </c>
      <c r="B31" s="58">
        <v>3760</v>
      </c>
      <c r="C31" s="58">
        <v>3601</v>
      </c>
      <c r="D31" s="58">
        <v>3983</v>
      </c>
      <c r="E31" s="58">
        <v>12743</v>
      </c>
      <c r="F31" s="58">
        <v>11796</v>
      </c>
      <c r="G31" s="58">
        <v>11079</v>
      </c>
      <c r="H31" s="58">
        <v>10149</v>
      </c>
      <c r="I31" s="58">
        <v>71634</v>
      </c>
      <c r="J31" s="58">
        <v>59514</v>
      </c>
      <c r="K31" s="58">
        <v>51401</v>
      </c>
    </row>
    <row r="32" spans="1:11" x14ac:dyDescent="0.35">
      <c r="A32" s="40" t="s">
        <v>177</v>
      </c>
      <c r="B32" s="42">
        <v>86</v>
      </c>
      <c r="C32" s="42" t="s">
        <v>61</v>
      </c>
      <c r="D32" s="42" t="s">
        <v>61</v>
      </c>
      <c r="E32" s="42" t="s">
        <v>61</v>
      </c>
      <c r="F32" s="42" t="s">
        <v>61</v>
      </c>
      <c r="G32" s="42" t="s">
        <v>61</v>
      </c>
      <c r="H32" s="42" t="s">
        <v>61</v>
      </c>
      <c r="I32" s="42" t="s">
        <v>61</v>
      </c>
      <c r="J32" s="42" t="s">
        <v>61</v>
      </c>
      <c r="K32" s="42" t="s">
        <v>61</v>
      </c>
    </row>
    <row r="33" spans="1:11" x14ac:dyDescent="0.35">
      <c r="A33" s="40" t="s">
        <v>175</v>
      </c>
      <c r="B33" s="42">
        <v>17</v>
      </c>
      <c r="C33" s="42">
        <v>35</v>
      </c>
      <c r="D33" s="42">
        <v>3</v>
      </c>
      <c r="E33" s="42">
        <v>42</v>
      </c>
      <c r="F33" s="42">
        <v>119</v>
      </c>
      <c r="G33" s="42">
        <v>57</v>
      </c>
      <c r="H33" s="42">
        <v>89</v>
      </c>
      <c r="I33" s="42">
        <v>106</v>
      </c>
      <c r="J33" s="42">
        <v>21</v>
      </c>
      <c r="K33" s="42">
        <v>21</v>
      </c>
    </row>
    <row r="34" spans="1:11" x14ac:dyDescent="0.35">
      <c r="A34" s="40" t="s">
        <v>201</v>
      </c>
      <c r="B34" s="42">
        <v>186</v>
      </c>
      <c r="C34" s="42">
        <v>455</v>
      </c>
      <c r="D34" s="42">
        <v>573</v>
      </c>
      <c r="E34" s="42">
        <v>793</v>
      </c>
      <c r="F34" s="41">
        <v>1421</v>
      </c>
      <c r="G34" s="41">
        <v>1463</v>
      </c>
      <c r="H34" s="41">
        <v>1599</v>
      </c>
      <c r="I34" s="41">
        <v>3746</v>
      </c>
      <c r="J34" s="41">
        <v>3517</v>
      </c>
      <c r="K34" s="41">
        <v>3818</v>
      </c>
    </row>
    <row r="35" spans="1:11" x14ac:dyDescent="0.35">
      <c r="A35" s="48" t="s">
        <v>203</v>
      </c>
      <c r="B35" s="50">
        <v>13268</v>
      </c>
      <c r="C35" s="50">
        <v>13170</v>
      </c>
      <c r="D35" s="50">
        <v>12564</v>
      </c>
      <c r="E35" s="50">
        <v>28319</v>
      </c>
      <c r="F35" s="50">
        <v>28518</v>
      </c>
      <c r="G35" s="50">
        <v>27957</v>
      </c>
      <c r="H35" s="50">
        <v>27163</v>
      </c>
      <c r="I35" s="50">
        <v>120002</v>
      </c>
      <c r="J35" s="50">
        <v>108539</v>
      </c>
      <c r="K35" s="50">
        <v>90482</v>
      </c>
    </row>
    <row r="36" spans="1:11" x14ac:dyDescent="0.35">
      <c r="A36" s="48" t="s">
        <v>148</v>
      </c>
      <c r="B36" s="50">
        <v>15864</v>
      </c>
      <c r="C36" s="50">
        <v>15672</v>
      </c>
      <c r="D36" s="50">
        <v>22555</v>
      </c>
      <c r="E36" s="50">
        <v>32550</v>
      </c>
      <c r="F36" s="50">
        <v>33735</v>
      </c>
      <c r="G36" s="50">
        <v>34087</v>
      </c>
      <c r="H36" s="50">
        <v>34427</v>
      </c>
      <c r="I36" s="50">
        <v>134001</v>
      </c>
      <c r="J36" s="50">
        <v>122757</v>
      </c>
      <c r="K36" s="50">
        <v>104560</v>
      </c>
    </row>
    <row r="37" spans="1:11" x14ac:dyDescent="0.35">
      <c r="A37" s="48"/>
      <c r="B37" s="49"/>
      <c r="C37" s="49"/>
      <c r="D37" s="49"/>
      <c r="E37" s="49"/>
      <c r="F37" s="49"/>
      <c r="G37" s="49"/>
      <c r="H37" s="49"/>
      <c r="I37" s="49"/>
      <c r="J37" s="49"/>
      <c r="K37" s="49"/>
    </row>
    <row r="38" spans="1:11" x14ac:dyDescent="0.35">
      <c r="A38" s="48" t="s">
        <v>206</v>
      </c>
      <c r="B38" s="49"/>
      <c r="C38" s="49"/>
      <c r="D38" s="49"/>
      <c r="E38" s="49"/>
      <c r="F38" s="49"/>
      <c r="G38" s="49"/>
      <c r="H38" s="49"/>
      <c r="I38" s="49"/>
      <c r="J38" s="49"/>
      <c r="K38" s="49"/>
    </row>
    <row r="39" spans="1:11" x14ac:dyDescent="0.35">
      <c r="A39" s="40" t="s">
        <v>207</v>
      </c>
      <c r="B39" s="41">
        <v>1266</v>
      </c>
      <c r="C39" s="41">
        <v>1295</v>
      </c>
      <c r="D39" s="41">
        <v>1553</v>
      </c>
      <c r="E39" s="41">
        <v>1887</v>
      </c>
      <c r="F39" s="41">
        <v>2000</v>
      </c>
      <c r="G39" s="41">
        <v>2048</v>
      </c>
      <c r="H39" s="41">
        <v>2446</v>
      </c>
      <c r="I39" s="41">
        <v>12473</v>
      </c>
      <c r="J39" s="41">
        <v>11177</v>
      </c>
      <c r="K39" s="41">
        <v>11024</v>
      </c>
    </row>
    <row r="40" spans="1:11" x14ac:dyDescent="0.35">
      <c r="A40" s="40" t="s">
        <v>209</v>
      </c>
      <c r="B40" s="42">
        <v>282</v>
      </c>
      <c r="C40" s="42">
        <v>241</v>
      </c>
      <c r="D40" s="42">
        <v>277</v>
      </c>
      <c r="E40" s="42">
        <v>325</v>
      </c>
      <c r="F40" s="42">
        <v>463</v>
      </c>
      <c r="G40" s="42">
        <v>397</v>
      </c>
      <c r="H40" s="42">
        <v>412</v>
      </c>
      <c r="I40" s="41">
        <v>1454</v>
      </c>
      <c r="J40" s="41">
        <v>1260</v>
      </c>
      <c r="K40" s="41">
        <v>1055</v>
      </c>
    </row>
    <row r="41" spans="1:11" x14ac:dyDescent="0.35">
      <c r="A41" s="40" t="s">
        <v>211</v>
      </c>
      <c r="B41" s="42">
        <v>30</v>
      </c>
      <c r="C41" s="42">
        <v>34</v>
      </c>
      <c r="D41" s="42">
        <v>45</v>
      </c>
      <c r="E41" s="42" t="s">
        <v>61</v>
      </c>
      <c r="F41" s="42" t="s">
        <v>61</v>
      </c>
      <c r="G41" s="42" t="s">
        <v>61</v>
      </c>
      <c r="H41" s="42" t="s">
        <v>61</v>
      </c>
      <c r="I41" s="42" t="s">
        <v>61</v>
      </c>
      <c r="J41" s="42" t="s">
        <v>61</v>
      </c>
      <c r="K41" s="42" t="s">
        <v>61</v>
      </c>
    </row>
    <row r="42" spans="1:11" x14ac:dyDescent="0.35">
      <c r="A42" s="40" t="s">
        <v>213</v>
      </c>
      <c r="B42" s="42">
        <v>61</v>
      </c>
      <c r="C42" s="42">
        <v>67</v>
      </c>
      <c r="D42" s="42">
        <v>148</v>
      </c>
      <c r="E42" s="42" t="s">
        <v>61</v>
      </c>
      <c r="F42" s="42" t="s">
        <v>61</v>
      </c>
      <c r="G42" s="42" t="s">
        <v>61</v>
      </c>
      <c r="H42" s="42" t="s">
        <v>61</v>
      </c>
      <c r="I42" s="42" t="s">
        <v>61</v>
      </c>
      <c r="J42" s="42" t="s">
        <v>61</v>
      </c>
      <c r="K42" s="42" t="s">
        <v>61</v>
      </c>
    </row>
    <row r="43" spans="1:11" x14ac:dyDescent="0.35">
      <c r="A43" s="40" t="s">
        <v>215</v>
      </c>
      <c r="B43" s="42">
        <v>893</v>
      </c>
      <c r="C43" s="42">
        <v>953</v>
      </c>
      <c r="D43" s="41">
        <v>1083</v>
      </c>
      <c r="E43" s="41">
        <v>1562</v>
      </c>
      <c r="F43" s="41">
        <v>1537</v>
      </c>
      <c r="G43" s="41">
        <v>1651</v>
      </c>
      <c r="H43" s="41">
        <v>2034</v>
      </c>
      <c r="I43" s="41">
        <v>11019</v>
      </c>
      <c r="J43" s="41">
        <v>9917</v>
      </c>
      <c r="K43" s="41">
        <v>9969</v>
      </c>
    </row>
    <row r="44" spans="1:11" x14ac:dyDescent="0.35">
      <c r="A44" s="40" t="s">
        <v>217</v>
      </c>
      <c r="B44" s="42">
        <v>119</v>
      </c>
      <c r="C44" s="42">
        <v>82</v>
      </c>
      <c r="D44" s="42">
        <v>30</v>
      </c>
      <c r="E44" s="41">
        <v>1819</v>
      </c>
      <c r="F44" s="42">
        <v>738</v>
      </c>
      <c r="G44" s="42">
        <v>463</v>
      </c>
      <c r="H44" s="42">
        <v>459</v>
      </c>
      <c r="I44" s="42">
        <v>792</v>
      </c>
      <c r="J44" s="41">
        <v>2186</v>
      </c>
      <c r="K44" s="41">
        <v>3162</v>
      </c>
    </row>
    <row r="45" spans="1:11" x14ac:dyDescent="0.35">
      <c r="A45" s="40" t="s">
        <v>219</v>
      </c>
      <c r="B45" s="42">
        <v>0</v>
      </c>
      <c r="C45" s="42">
        <v>0</v>
      </c>
      <c r="D45" s="42">
        <v>0</v>
      </c>
      <c r="E45" s="42">
        <v>0</v>
      </c>
      <c r="F45" s="42">
        <v>0</v>
      </c>
      <c r="G45" s="42">
        <v>0</v>
      </c>
      <c r="H45" s="42">
        <v>0</v>
      </c>
      <c r="I45" s="42">
        <v>0</v>
      </c>
      <c r="J45" s="42">
        <v>0</v>
      </c>
      <c r="K45" s="42">
        <v>0</v>
      </c>
    </row>
    <row r="46" spans="1:11" x14ac:dyDescent="0.35">
      <c r="A46" s="40" t="s">
        <v>221</v>
      </c>
      <c r="B46" s="42">
        <v>33</v>
      </c>
      <c r="C46" s="42">
        <v>34</v>
      </c>
      <c r="D46" s="42" t="s">
        <v>61</v>
      </c>
      <c r="E46" s="42" t="s">
        <v>61</v>
      </c>
      <c r="F46" s="42">
        <v>129</v>
      </c>
      <c r="G46" s="42">
        <v>128</v>
      </c>
      <c r="H46" s="42">
        <v>120</v>
      </c>
      <c r="I46" s="42">
        <v>427</v>
      </c>
      <c r="J46" s="42">
        <v>406</v>
      </c>
      <c r="K46" s="42">
        <v>414</v>
      </c>
    </row>
    <row r="47" spans="1:11" x14ac:dyDescent="0.35">
      <c r="A47" s="54" t="s">
        <v>223</v>
      </c>
      <c r="B47" s="55">
        <v>33</v>
      </c>
      <c r="C47" s="55">
        <v>34</v>
      </c>
      <c r="D47" s="55" t="s">
        <v>61</v>
      </c>
      <c r="E47" s="55" t="s">
        <v>61</v>
      </c>
      <c r="F47" s="55">
        <v>47</v>
      </c>
      <c r="G47" s="55">
        <v>57</v>
      </c>
      <c r="H47" s="55">
        <v>58</v>
      </c>
      <c r="I47" s="55">
        <v>82</v>
      </c>
      <c r="J47" s="55">
        <v>74</v>
      </c>
      <c r="K47" s="55">
        <v>107</v>
      </c>
    </row>
    <row r="48" spans="1:11" x14ac:dyDescent="0.35">
      <c r="A48" s="54" t="s">
        <v>225</v>
      </c>
      <c r="B48" s="55" t="s">
        <v>61</v>
      </c>
      <c r="C48" s="55" t="s">
        <v>61</v>
      </c>
      <c r="D48" s="55" t="s">
        <v>61</v>
      </c>
      <c r="E48" s="55" t="s">
        <v>61</v>
      </c>
      <c r="F48" s="55">
        <v>82</v>
      </c>
      <c r="G48" s="55">
        <v>71</v>
      </c>
      <c r="H48" s="55">
        <v>62</v>
      </c>
      <c r="I48" s="55">
        <v>345</v>
      </c>
      <c r="J48" s="55">
        <v>332</v>
      </c>
      <c r="K48" s="55">
        <v>307</v>
      </c>
    </row>
    <row r="49" spans="1:11" x14ac:dyDescent="0.35">
      <c r="A49" s="40" t="s">
        <v>496</v>
      </c>
      <c r="B49" s="42">
        <v>86</v>
      </c>
      <c r="C49" s="42">
        <v>48</v>
      </c>
      <c r="D49" s="42">
        <v>30</v>
      </c>
      <c r="E49" s="41">
        <v>1819</v>
      </c>
      <c r="F49" s="42">
        <v>609</v>
      </c>
      <c r="G49" s="42">
        <v>335</v>
      </c>
      <c r="H49" s="42">
        <v>339</v>
      </c>
      <c r="I49" s="42">
        <v>365</v>
      </c>
      <c r="J49" s="41">
        <v>1780</v>
      </c>
      <c r="K49" s="41">
        <v>2748</v>
      </c>
    </row>
    <row r="50" spans="1:11" x14ac:dyDescent="0.35">
      <c r="A50" s="40" t="s">
        <v>227</v>
      </c>
      <c r="B50" s="42">
        <v>194</v>
      </c>
      <c r="C50" s="42">
        <v>184</v>
      </c>
      <c r="D50" s="42">
        <v>288</v>
      </c>
      <c r="E50" s="42">
        <v>291</v>
      </c>
      <c r="F50" s="42">
        <v>501</v>
      </c>
      <c r="G50" s="42">
        <v>571</v>
      </c>
      <c r="H50" s="42">
        <v>554</v>
      </c>
      <c r="I50" s="41">
        <v>1752</v>
      </c>
      <c r="J50" s="41">
        <v>1969</v>
      </c>
      <c r="K50" s="41">
        <v>1624</v>
      </c>
    </row>
    <row r="51" spans="1:11" x14ac:dyDescent="0.35">
      <c r="A51" s="40" t="s">
        <v>229</v>
      </c>
      <c r="B51" s="42">
        <v>190</v>
      </c>
      <c r="C51" s="42">
        <v>163</v>
      </c>
      <c r="D51" s="42">
        <v>255</v>
      </c>
      <c r="E51" s="42">
        <v>249</v>
      </c>
      <c r="F51" s="42">
        <v>489</v>
      </c>
      <c r="G51" s="42">
        <v>557</v>
      </c>
      <c r="H51" s="42">
        <v>478</v>
      </c>
      <c r="I51" s="41">
        <v>1694</v>
      </c>
      <c r="J51" s="41">
        <v>1924</v>
      </c>
      <c r="K51" s="41">
        <v>1569</v>
      </c>
    </row>
    <row r="52" spans="1:11" x14ac:dyDescent="0.35">
      <c r="A52" s="40" t="s">
        <v>231</v>
      </c>
      <c r="B52" s="42">
        <v>4</v>
      </c>
      <c r="C52" s="42">
        <v>21</v>
      </c>
      <c r="D52" s="42">
        <v>33</v>
      </c>
      <c r="E52" s="42">
        <v>42</v>
      </c>
      <c r="F52" s="42">
        <v>12</v>
      </c>
      <c r="G52" s="42">
        <v>14</v>
      </c>
      <c r="H52" s="42">
        <v>76</v>
      </c>
      <c r="I52" s="42">
        <v>58</v>
      </c>
      <c r="J52" s="42">
        <v>45</v>
      </c>
      <c r="K52" s="42">
        <v>55</v>
      </c>
    </row>
    <row r="53" spans="1:11" x14ac:dyDescent="0.35">
      <c r="A53" s="40" t="s">
        <v>233</v>
      </c>
      <c r="B53" s="42">
        <v>0</v>
      </c>
      <c r="C53" s="42">
        <v>0</v>
      </c>
      <c r="D53" s="42">
        <v>0</v>
      </c>
      <c r="E53" s="42">
        <v>0</v>
      </c>
      <c r="F53" s="42">
        <v>0</v>
      </c>
      <c r="G53" s="42">
        <v>0</v>
      </c>
      <c r="H53" s="42">
        <v>0</v>
      </c>
      <c r="I53" s="42">
        <v>0</v>
      </c>
      <c r="J53" s="42">
        <v>0</v>
      </c>
      <c r="K53" s="42">
        <v>0</v>
      </c>
    </row>
    <row r="54" spans="1:11" x14ac:dyDescent="0.35">
      <c r="A54" s="48" t="s">
        <v>235</v>
      </c>
      <c r="B54" s="50">
        <v>1579</v>
      </c>
      <c r="C54" s="50">
        <v>1561</v>
      </c>
      <c r="D54" s="50">
        <v>1871</v>
      </c>
      <c r="E54" s="50">
        <v>3997</v>
      </c>
      <c r="F54" s="50">
        <v>3239</v>
      </c>
      <c r="G54" s="50">
        <v>3082</v>
      </c>
      <c r="H54" s="50">
        <v>3459</v>
      </c>
      <c r="I54" s="50">
        <v>15017</v>
      </c>
      <c r="J54" s="50">
        <v>15332</v>
      </c>
      <c r="K54" s="50">
        <v>15810</v>
      </c>
    </row>
    <row r="55" spans="1:11" x14ac:dyDescent="0.35">
      <c r="A55" s="40" t="s">
        <v>237</v>
      </c>
      <c r="B55" s="41">
        <v>7616</v>
      </c>
      <c r="C55" s="41">
        <v>7841</v>
      </c>
      <c r="D55" s="41">
        <v>14755</v>
      </c>
      <c r="E55" s="41">
        <v>14974</v>
      </c>
      <c r="F55" s="41">
        <v>15634</v>
      </c>
      <c r="G55" s="41">
        <v>15845</v>
      </c>
      <c r="H55" s="41">
        <v>15184</v>
      </c>
      <c r="I55" s="41">
        <v>51810</v>
      </c>
      <c r="J55" s="41">
        <v>45099</v>
      </c>
      <c r="K55" s="41">
        <v>39844</v>
      </c>
    </row>
    <row r="56" spans="1:11" x14ac:dyDescent="0.35">
      <c r="A56" s="40" t="s">
        <v>239</v>
      </c>
      <c r="B56" s="41">
        <v>7507</v>
      </c>
      <c r="C56" s="41">
        <v>7724</v>
      </c>
      <c r="D56" s="41">
        <v>14530</v>
      </c>
      <c r="E56" s="41">
        <v>14722</v>
      </c>
      <c r="F56" s="41">
        <v>14810</v>
      </c>
      <c r="G56" s="41">
        <v>15069</v>
      </c>
      <c r="H56" s="41">
        <v>14420</v>
      </c>
      <c r="I56" s="41">
        <v>48634</v>
      </c>
      <c r="J56" s="41">
        <v>41889</v>
      </c>
      <c r="K56" s="41">
        <v>36757</v>
      </c>
    </row>
    <row r="57" spans="1:11" x14ac:dyDescent="0.35">
      <c r="A57" s="40" t="s">
        <v>241</v>
      </c>
      <c r="B57" s="42">
        <v>109</v>
      </c>
      <c r="C57" s="42">
        <v>117</v>
      </c>
      <c r="D57" s="42">
        <v>225</v>
      </c>
      <c r="E57" s="42">
        <v>252</v>
      </c>
      <c r="F57" s="42">
        <v>824</v>
      </c>
      <c r="G57" s="42">
        <v>776</v>
      </c>
      <c r="H57" s="42">
        <v>764</v>
      </c>
      <c r="I57" s="41">
        <v>3176</v>
      </c>
      <c r="J57" s="41">
        <v>3210</v>
      </c>
      <c r="K57" s="41">
        <v>3087</v>
      </c>
    </row>
    <row r="58" spans="1:11" x14ac:dyDescent="0.35">
      <c r="A58" s="54" t="s">
        <v>243</v>
      </c>
      <c r="B58" s="55">
        <v>109</v>
      </c>
      <c r="C58" s="55">
        <v>117</v>
      </c>
      <c r="D58" s="55">
        <v>225</v>
      </c>
      <c r="E58" s="55">
        <v>252</v>
      </c>
      <c r="F58" s="55">
        <v>203</v>
      </c>
      <c r="G58" s="55">
        <v>184</v>
      </c>
      <c r="H58" s="55">
        <v>197</v>
      </c>
      <c r="I58" s="55">
        <v>186</v>
      </c>
      <c r="J58" s="55">
        <v>191</v>
      </c>
      <c r="K58" s="55">
        <v>356</v>
      </c>
    </row>
    <row r="59" spans="1:11" x14ac:dyDescent="0.35">
      <c r="A59" s="54" t="s">
        <v>245</v>
      </c>
      <c r="B59" s="55" t="s">
        <v>61</v>
      </c>
      <c r="C59" s="55" t="s">
        <v>61</v>
      </c>
      <c r="D59" s="55" t="s">
        <v>61</v>
      </c>
      <c r="E59" s="55" t="s">
        <v>61</v>
      </c>
      <c r="F59" s="55">
        <v>621</v>
      </c>
      <c r="G59" s="55">
        <v>592</v>
      </c>
      <c r="H59" s="55">
        <v>567</v>
      </c>
      <c r="I59" s="58">
        <v>2990</v>
      </c>
      <c r="J59" s="58">
        <v>3019</v>
      </c>
      <c r="K59" s="58">
        <v>2731</v>
      </c>
    </row>
    <row r="60" spans="1:11" x14ac:dyDescent="0.35">
      <c r="A60" s="40" t="s">
        <v>247</v>
      </c>
      <c r="B60" s="42">
        <v>736</v>
      </c>
      <c r="C60" s="42">
        <v>617</v>
      </c>
      <c r="D60" s="42">
        <v>906</v>
      </c>
      <c r="E60" s="41">
        <v>3062</v>
      </c>
      <c r="F60" s="41">
        <v>2896</v>
      </c>
      <c r="G60" s="41">
        <v>2777</v>
      </c>
      <c r="H60" s="41">
        <v>2388</v>
      </c>
      <c r="I60" s="41">
        <v>18507</v>
      </c>
      <c r="J60" s="41">
        <v>15854</v>
      </c>
      <c r="K60" s="41">
        <v>13968</v>
      </c>
    </row>
    <row r="61" spans="1:11" x14ac:dyDescent="0.35">
      <c r="A61" s="40" t="s">
        <v>249</v>
      </c>
      <c r="B61" s="42">
        <v>0</v>
      </c>
      <c r="C61" s="42">
        <v>0</v>
      </c>
      <c r="D61" s="42">
        <v>0</v>
      </c>
      <c r="E61" s="42">
        <v>0</v>
      </c>
      <c r="F61" s="42">
        <v>0</v>
      </c>
      <c r="G61" s="42">
        <v>0</v>
      </c>
      <c r="H61" s="42">
        <v>0</v>
      </c>
      <c r="I61" s="42">
        <v>0</v>
      </c>
      <c r="J61" s="42">
        <v>0</v>
      </c>
      <c r="K61" s="42">
        <v>0</v>
      </c>
    </row>
    <row r="62" spans="1:11" x14ac:dyDescent="0.35">
      <c r="A62" s="40" t="s">
        <v>251</v>
      </c>
      <c r="B62" s="42">
        <v>0</v>
      </c>
      <c r="C62" s="42">
        <v>0</v>
      </c>
      <c r="D62" s="42">
        <v>0</v>
      </c>
      <c r="E62" s="42">
        <v>0</v>
      </c>
      <c r="F62" s="42">
        <v>0</v>
      </c>
      <c r="G62" s="42">
        <v>0</v>
      </c>
      <c r="H62" s="42">
        <v>0</v>
      </c>
      <c r="I62" s="42" t="s">
        <v>61</v>
      </c>
      <c r="J62" s="42" t="s">
        <v>61</v>
      </c>
      <c r="K62" s="42" t="s">
        <v>61</v>
      </c>
    </row>
    <row r="63" spans="1:11" x14ac:dyDescent="0.35">
      <c r="A63" s="54" t="s">
        <v>253</v>
      </c>
      <c r="B63" s="55">
        <v>0</v>
      </c>
      <c r="C63" s="55">
        <v>0</v>
      </c>
      <c r="D63" s="55">
        <v>0</v>
      </c>
      <c r="E63" s="55">
        <v>0</v>
      </c>
      <c r="F63" s="55">
        <v>0</v>
      </c>
      <c r="G63" s="55">
        <v>0</v>
      </c>
      <c r="H63" s="55">
        <v>0</v>
      </c>
      <c r="I63" s="55" t="s">
        <v>61</v>
      </c>
      <c r="J63" s="55" t="s">
        <v>61</v>
      </c>
      <c r="K63" s="55" t="s">
        <v>61</v>
      </c>
    </row>
    <row r="64" spans="1:11" x14ac:dyDescent="0.35">
      <c r="A64" s="54" t="s">
        <v>255</v>
      </c>
      <c r="B64" s="55">
        <v>0</v>
      </c>
      <c r="C64" s="55">
        <v>0</v>
      </c>
      <c r="D64" s="55">
        <v>0</v>
      </c>
      <c r="E64" s="55">
        <v>0</v>
      </c>
      <c r="F64" s="55">
        <v>0</v>
      </c>
      <c r="G64" s="55">
        <v>0</v>
      </c>
      <c r="H64" s="55">
        <v>0</v>
      </c>
      <c r="I64" s="55" t="s">
        <v>61</v>
      </c>
      <c r="J64" s="55" t="s">
        <v>61</v>
      </c>
      <c r="K64" s="55" t="s">
        <v>61</v>
      </c>
    </row>
    <row r="65" spans="1:11" x14ac:dyDescent="0.35">
      <c r="A65" s="40" t="s">
        <v>229</v>
      </c>
      <c r="B65" s="42">
        <v>0</v>
      </c>
      <c r="C65" s="42">
        <v>0</v>
      </c>
      <c r="D65" s="42">
        <v>0</v>
      </c>
      <c r="E65" s="42">
        <v>0</v>
      </c>
      <c r="F65" s="42">
        <v>0</v>
      </c>
      <c r="G65" s="42">
        <v>0</v>
      </c>
      <c r="H65" s="42">
        <v>0</v>
      </c>
      <c r="I65" s="42">
        <v>0</v>
      </c>
      <c r="J65" s="42">
        <v>0</v>
      </c>
      <c r="K65" s="42">
        <v>0</v>
      </c>
    </row>
    <row r="66" spans="1:11" x14ac:dyDescent="0.35">
      <c r="A66" s="40" t="s">
        <v>498</v>
      </c>
      <c r="B66" s="42">
        <v>556</v>
      </c>
      <c r="C66" s="42">
        <v>467</v>
      </c>
      <c r="D66" s="42">
        <v>319</v>
      </c>
      <c r="E66" s="41">
        <v>1811</v>
      </c>
      <c r="F66" s="41">
        <v>1691</v>
      </c>
      <c r="G66" s="41">
        <v>1534</v>
      </c>
      <c r="H66" s="41">
        <v>1225</v>
      </c>
      <c r="I66" s="41">
        <v>11014</v>
      </c>
      <c r="J66" s="41">
        <v>8736</v>
      </c>
      <c r="K66" s="41">
        <v>6985</v>
      </c>
    </row>
    <row r="67" spans="1:11" x14ac:dyDescent="0.35">
      <c r="A67" s="40" t="s">
        <v>231</v>
      </c>
      <c r="B67" s="42">
        <v>0</v>
      </c>
      <c r="C67" s="42">
        <v>31</v>
      </c>
      <c r="D67" s="42">
        <v>98</v>
      </c>
      <c r="E67" s="42">
        <v>81</v>
      </c>
      <c r="F67" s="42">
        <v>110</v>
      </c>
      <c r="G67" s="42">
        <v>260</v>
      </c>
      <c r="H67" s="42">
        <v>152</v>
      </c>
      <c r="I67" s="42">
        <v>197</v>
      </c>
      <c r="J67" s="42">
        <v>138</v>
      </c>
      <c r="K67" s="42">
        <v>155</v>
      </c>
    </row>
    <row r="68" spans="1:11" x14ac:dyDescent="0.35">
      <c r="A68" s="40" t="s">
        <v>259</v>
      </c>
      <c r="B68" s="42">
        <v>180</v>
      </c>
      <c r="C68" s="42">
        <v>119</v>
      </c>
      <c r="D68" s="42">
        <v>489</v>
      </c>
      <c r="E68" s="41">
        <v>1170</v>
      </c>
      <c r="F68" s="41">
        <v>1095</v>
      </c>
      <c r="G68" s="42">
        <v>983</v>
      </c>
      <c r="H68" s="41">
        <v>1011</v>
      </c>
      <c r="I68" s="41">
        <v>7296</v>
      </c>
      <c r="J68" s="41">
        <v>6980</v>
      </c>
      <c r="K68" s="41">
        <v>6828</v>
      </c>
    </row>
    <row r="69" spans="1:11" x14ac:dyDescent="0.35">
      <c r="A69" s="48" t="s">
        <v>261</v>
      </c>
      <c r="B69" s="50">
        <v>8352</v>
      </c>
      <c r="C69" s="50">
        <v>8458</v>
      </c>
      <c r="D69" s="50">
        <v>15661</v>
      </c>
      <c r="E69" s="50">
        <v>18036</v>
      </c>
      <c r="F69" s="50">
        <v>18530</v>
      </c>
      <c r="G69" s="50">
        <v>18622</v>
      </c>
      <c r="H69" s="50">
        <v>17572</v>
      </c>
      <c r="I69" s="50">
        <v>70317</v>
      </c>
      <c r="J69" s="50">
        <v>60953</v>
      </c>
      <c r="K69" s="50">
        <v>53812</v>
      </c>
    </row>
    <row r="70" spans="1:11" x14ac:dyDescent="0.35">
      <c r="A70" s="48" t="s">
        <v>263</v>
      </c>
      <c r="B70" s="50">
        <v>9931</v>
      </c>
      <c r="C70" s="50">
        <v>10019</v>
      </c>
      <c r="D70" s="50">
        <v>17532</v>
      </c>
      <c r="E70" s="50">
        <v>22033</v>
      </c>
      <c r="F70" s="50">
        <v>21769</v>
      </c>
      <c r="G70" s="50">
        <v>21704</v>
      </c>
      <c r="H70" s="50">
        <v>21031</v>
      </c>
      <c r="I70" s="50">
        <v>85334</v>
      </c>
      <c r="J70" s="50">
        <v>76285</v>
      </c>
      <c r="K70" s="50">
        <v>69622</v>
      </c>
    </row>
    <row r="71" spans="1:11" x14ac:dyDescent="0.35">
      <c r="A71" s="40" t="s">
        <v>265</v>
      </c>
      <c r="B71" s="42">
        <v>2</v>
      </c>
      <c r="C71" s="42">
        <v>2</v>
      </c>
      <c r="D71" s="42">
        <v>0</v>
      </c>
      <c r="E71" s="42">
        <v>0</v>
      </c>
      <c r="F71" s="42">
        <v>0</v>
      </c>
      <c r="G71" s="42">
        <v>0</v>
      </c>
      <c r="H71" s="42">
        <v>0</v>
      </c>
      <c r="I71" s="42">
        <v>0</v>
      </c>
      <c r="J71" s="42">
        <v>0</v>
      </c>
      <c r="K71" s="42">
        <v>0</v>
      </c>
    </row>
    <row r="72" spans="1:11" x14ac:dyDescent="0.35">
      <c r="A72" s="40" t="s">
        <v>267</v>
      </c>
      <c r="B72" s="41">
        <v>7026</v>
      </c>
      <c r="C72" s="41">
        <v>7051</v>
      </c>
      <c r="D72" s="41">
        <v>7300</v>
      </c>
      <c r="E72" s="41">
        <v>10654</v>
      </c>
      <c r="F72" s="41">
        <v>10754</v>
      </c>
      <c r="G72" s="41">
        <v>10816</v>
      </c>
      <c r="H72" s="41">
        <v>11093</v>
      </c>
      <c r="I72" s="41">
        <v>54657</v>
      </c>
      <c r="J72" s="41">
        <v>55139</v>
      </c>
      <c r="K72" s="41">
        <v>55587</v>
      </c>
    </row>
    <row r="73" spans="1:11" x14ac:dyDescent="0.35">
      <c r="A73" s="40" t="s">
        <v>269</v>
      </c>
      <c r="B73" s="42">
        <v>5</v>
      </c>
      <c r="C73" s="42">
        <v>5</v>
      </c>
      <c r="D73" s="42">
        <v>5</v>
      </c>
      <c r="E73" s="42">
        <v>7</v>
      </c>
      <c r="F73" s="42">
        <v>7</v>
      </c>
      <c r="G73" s="42">
        <v>7</v>
      </c>
      <c r="H73" s="42">
        <v>7</v>
      </c>
      <c r="I73" s="42">
        <v>27</v>
      </c>
      <c r="J73" s="42">
        <v>27</v>
      </c>
      <c r="K73" s="42">
        <v>27</v>
      </c>
    </row>
    <row r="74" spans="1:11" x14ac:dyDescent="0.35">
      <c r="A74" s="40" t="s">
        <v>271</v>
      </c>
      <c r="B74" s="41">
        <v>7021</v>
      </c>
      <c r="C74" s="41">
        <v>7046</v>
      </c>
      <c r="D74" s="41">
        <v>7295</v>
      </c>
      <c r="E74" s="41">
        <v>10647</v>
      </c>
      <c r="F74" s="41">
        <v>10747</v>
      </c>
      <c r="G74" s="41">
        <v>10809</v>
      </c>
      <c r="H74" s="41">
        <v>11086</v>
      </c>
      <c r="I74" s="41">
        <v>54630</v>
      </c>
      <c r="J74" s="41">
        <v>55112</v>
      </c>
      <c r="K74" s="41">
        <v>55560</v>
      </c>
    </row>
    <row r="75" spans="1:11" x14ac:dyDescent="0.35">
      <c r="A75" s="40" t="s">
        <v>273</v>
      </c>
      <c r="B75" s="41">
        <v>5461</v>
      </c>
      <c r="C75" s="41">
        <v>6356</v>
      </c>
      <c r="D75" s="41">
        <v>6737</v>
      </c>
      <c r="E75" s="41">
        <v>6737</v>
      </c>
      <c r="F75" s="41">
        <v>7374</v>
      </c>
      <c r="G75" s="41">
        <v>8244</v>
      </c>
      <c r="H75" s="41">
        <v>8244</v>
      </c>
      <c r="I75" s="41">
        <v>8244</v>
      </c>
      <c r="J75" s="41">
        <v>8244</v>
      </c>
      <c r="K75" s="41">
        <v>8244</v>
      </c>
    </row>
    <row r="76" spans="1:11" x14ac:dyDescent="0.35">
      <c r="A76" s="40" t="s">
        <v>275</v>
      </c>
      <c r="B76" s="41">
        <v>4517</v>
      </c>
      <c r="C76" s="41">
        <v>5232</v>
      </c>
      <c r="D76" s="41">
        <v>4632</v>
      </c>
      <c r="E76" s="41">
        <v>5254</v>
      </c>
      <c r="F76" s="41">
        <v>7333</v>
      </c>
      <c r="G76" s="41">
        <v>8543</v>
      </c>
      <c r="H76" s="41">
        <v>9580</v>
      </c>
      <c r="I76" s="41">
        <v>2205</v>
      </c>
      <c r="J76" s="42">
        <v>-928</v>
      </c>
      <c r="K76" s="41">
        <v>-12239</v>
      </c>
    </row>
    <row r="77" spans="1:11" x14ac:dyDescent="0.35">
      <c r="A77" s="40" t="s">
        <v>277</v>
      </c>
      <c r="B77" s="42">
        <v>-633</v>
      </c>
      <c r="C77" s="42">
        <v>-762</v>
      </c>
      <c r="D77" s="42">
        <v>-585</v>
      </c>
      <c r="E77" s="42">
        <v>-785</v>
      </c>
      <c r="F77" s="42">
        <v>-822</v>
      </c>
      <c r="G77" s="42">
        <v>-651</v>
      </c>
      <c r="H77" s="42">
        <v>-830</v>
      </c>
      <c r="I77" s="41">
        <v>-1523</v>
      </c>
      <c r="J77" s="42">
        <v>-741</v>
      </c>
      <c r="K77" s="41">
        <v>-1067</v>
      </c>
    </row>
    <row r="78" spans="1:11" x14ac:dyDescent="0.35">
      <c r="A78" s="48" t="s">
        <v>279</v>
      </c>
      <c r="B78" s="50">
        <v>5451</v>
      </c>
      <c r="C78" s="50">
        <v>5167</v>
      </c>
      <c r="D78" s="50">
        <v>4610</v>
      </c>
      <c r="E78" s="50">
        <v>8386</v>
      </c>
      <c r="F78" s="50">
        <v>9891</v>
      </c>
      <c r="G78" s="50">
        <v>10464</v>
      </c>
      <c r="H78" s="50">
        <v>11599</v>
      </c>
      <c r="I78" s="50">
        <v>47095</v>
      </c>
      <c r="J78" s="50">
        <v>45226</v>
      </c>
      <c r="K78" s="50">
        <v>34037</v>
      </c>
    </row>
    <row r="79" spans="1:11" x14ac:dyDescent="0.35">
      <c r="A79" s="40" t="s">
        <v>281</v>
      </c>
      <c r="B79" s="42">
        <v>482</v>
      </c>
      <c r="C79" s="42">
        <v>486</v>
      </c>
      <c r="D79" s="42">
        <v>413</v>
      </c>
      <c r="E79" s="41">
        <v>2131</v>
      </c>
      <c r="F79" s="41">
        <v>2075</v>
      </c>
      <c r="G79" s="41">
        <v>1919</v>
      </c>
      <c r="H79" s="41">
        <v>1797</v>
      </c>
      <c r="I79" s="41">
        <v>1572</v>
      </c>
      <c r="J79" s="41">
        <v>1246</v>
      </c>
      <c r="K79" s="42">
        <v>901</v>
      </c>
    </row>
    <row r="80" spans="1:11" x14ac:dyDescent="0.35">
      <c r="A80" s="48" t="s">
        <v>283</v>
      </c>
      <c r="B80" s="50">
        <v>5933</v>
      </c>
      <c r="C80" s="50">
        <v>5653</v>
      </c>
      <c r="D80" s="50">
        <v>5023</v>
      </c>
      <c r="E80" s="50">
        <v>10517</v>
      </c>
      <c r="F80" s="50">
        <v>11966</v>
      </c>
      <c r="G80" s="50">
        <v>12383</v>
      </c>
      <c r="H80" s="50">
        <v>13396</v>
      </c>
      <c r="I80" s="50">
        <v>48667</v>
      </c>
      <c r="J80" s="50">
        <v>46472</v>
      </c>
      <c r="K80" s="50">
        <v>34938</v>
      </c>
    </row>
    <row r="81" spans="1:11" x14ac:dyDescent="0.35">
      <c r="A81" s="48" t="s">
        <v>285</v>
      </c>
      <c r="B81" s="50">
        <v>15864</v>
      </c>
      <c r="C81" s="50">
        <v>15672</v>
      </c>
      <c r="D81" s="50">
        <v>22555</v>
      </c>
      <c r="E81" s="50">
        <v>32550</v>
      </c>
      <c r="F81" s="50">
        <v>33735</v>
      </c>
      <c r="G81" s="50">
        <v>34087</v>
      </c>
      <c r="H81" s="50">
        <v>34427</v>
      </c>
      <c r="I81" s="50">
        <v>134001</v>
      </c>
      <c r="J81" s="50">
        <v>122757</v>
      </c>
      <c r="K81" s="50">
        <v>104560</v>
      </c>
    </row>
    <row r="82" spans="1:11" x14ac:dyDescent="0.35">
      <c r="A82" s="48"/>
      <c r="B82" s="49"/>
      <c r="C82" s="49"/>
      <c r="D82" s="49"/>
      <c r="E82" s="49"/>
      <c r="F82" s="49"/>
      <c r="G82" s="49"/>
      <c r="H82" s="49"/>
      <c r="I82" s="49"/>
      <c r="J82" s="49"/>
      <c r="K82" s="49"/>
    </row>
    <row r="83" spans="1:11" x14ac:dyDescent="0.35">
      <c r="A83" s="48" t="s">
        <v>114</v>
      </c>
      <c r="B83" s="49"/>
      <c r="C83" s="49"/>
      <c r="D83" s="49"/>
      <c r="E83" s="49"/>
      <c r="F83" s="49"/>
      <c r="G83" s="49"/>
      <c r="H83" s="49"/>
      <c r="I83" s="49"/>
      <c r="J83" s="49"/>
      <c r="K83" s="49"/>
    </row>
    <row r="84" spans="1:11" x14ac:dyDescent="0.35">
      <c r="A84" s="40" t="s">
        <v>115</v>
      </c>
      <c r="B84" s="42" t="s">
        <v>117</v>
      </c>
      <c r="C84" s="42" t="s">
        <v>117</v>
      </c>
      <c r="D84" s="42" t="s">
        <v>117</v>
      </c>
      <c r="E84" s="42" t="s">
        <v>117</v>
      </c>
      <c r="F84" s="42" t="s">
        <v>117</v>
      </c>
      <c r="G84" s="42" t="s">
        <v>117</v>
      </c>
      <c r="H84" s="42" t="s">
        <v>117</v>
      </c>
      <c r="I84" s="42" t="s">
        <v>117</v>
      </c>
      <c r="J84" s="42" t="s">
        <v>117</v>
      </c>
      <c r="K84" s="42" t="s">
        <v>117</v>
      </c>
    </row>
    <row r="85" spans="1:11" x14ac:dyDescent="0.35">
      <c r="A85" s="40" t="s">
        <v>287</v>
      </c>
      <c r="B85" s="42">
        <v>418</v>
      </c>
      <c r="C85" s="42">
        <v>389.7</v>
      </c>
      <c r="D85" s="42">
        <v>381.9</v>
      </c>
      <c r="E85" s="42">
        <v>524</v>
      </c>
      <c r="F85" s="42">
        <v>525</v>
      </c>
      <c r="G85" s="42">
        <v>487</v>
      </c>
      <c r="H85" s="42">
        <v>506</v>
      </c>
      <c r="I85" s="41">
        <v>2430</v>
      </c>
      <c r="J85" s="41">
        <v>2439</v>
      </c>
      <c r="K85" s="41">
        <v>2454</v>
      </c>
    </row>
    <row r="86" spans="1:11" x14ac:dyDescent="0.35">
      <c r="A86" s="40" t="s">
        <v>289</v>
      </c>
      <c r="B86" s="42">
        <v>118</v>
      </c>
      <c r="C86" s="42">
        <v>153.30000000000001</v>
      </c>
      <c r="D86" s="42">
        <v>165.1</v>
      </c>
      <c r="E86" s="42">
        <v>167</v>
      </c>
      <c r="F86" s="42">
        <v>190</v>
      </c>
      <c r="G86" s="42">
        <v>230</v>
      </c>
      <c r="H86" s="42">
        <v>230</v>
      </c>
      <c r="I86" s="42">
        <v>230</v>
      </c>
      <c r="J86" s="42">
        <v>230</v>
      </c>
      <c r="K86" s="42">
        <v>230</v>
      </c>
    </row>
    <row r="87" spans="1:11" x14ac:dyDescent="0.35">
      <c r="A87" s="40" t="s">
        <v>291</v>
      </c>
      <c r="B87" s="42">
        <v>0</v>
      </c>
      <c r="C87" s="42">
        <v>0</v>
      </c>
      <c r="D87" s="42">
        <v>0</v>
      </c>
      <c r="E87" s="42">
        <v>0</v>
      </c>
      <c r="F87" s="42">
        <v>0</v>
      </c>
      <c r="G87" s="42">
        <v>0</v>
      </c>
      <c r="H87" s="42">
        <v>0</v>
      </c>
      <c r="I87" s="42">
        <v>0</v>
      </c>
      <c r="J87" s="42">
        <v>0</v>
      </c>
      <c r="K87" s="42">
        <v>0</v>
      </c>
    </row>
    <row r="88" spans="1:11" x14ac:dyDescent="0.35">
      <c r="A88" s="40" t="s">
        <v>293</v>
      </c>
      <c r="B88" s="42">
        <v>281</v>
      </c>
      <c r="C88" s="42">
        <v>198</v>
      </c>
      <c r="D88" s="42">
        <v>230</v>
      </c>
      <c r="E88" s="42">
        <v>944</v>
      </c>
      <c r="F88" s="42">
        <v>920</v>
      </c>
      <c r="G88" s="42">
        <v>859</v>
      </c>
      <c r="H88" s="42">
        <v>801</v>
      </c>
      <c r="I88" s="41">
        <v>4304</v>
      </c>
      <c r="J88" s="41">
        <v>4360</v>
      </c>
      <c r="K88" s="41">
        <v>3902</v>
      </c>
    </row>
    <row r="89" spans="1:11" x14ac:dyDescent="0.35">
      <c r="A89" s="40" t="s">
        <v>295</v>
      </c>
      <c r="B89" s="42">
        <v>142</v>
      </c>
      <c r="C89" s="42">
        <v>151</v>
      </c>
      <c r="D89" s="42">
        <v>225</v>
      </c>
      <c r="E89" s="42">
        <v>252</v>
      </c>
      <c r="F89" s="42">
        <v>250</v>
      </c>
      <c r="G89" s="42">
        <v>241</v>
      </c>
      <c r="H89" s="42">
        <v>255</v>
      </c>
      <c r="I89" s="42">
        <v>268</v>
      </c>
      <c r="J89" s="42">
        <v>265</v>
      </c>
      <c r="K89" s="42">
        <v>463</v>
      </c>
    </row>
    <row r="90" spans="1:11" x14ac:dyDescent="0.35">
      <c r="A90" s="40" t="s">
        <v>297</v>
      </c>
      <c r="B90" s="42">
        <v>3.2</v>
      </c>
      <c r="C90" s="42">
        <v>3</v>
      </c>
      <c r="D90" s="42">
        <v>2.6</v>
      </c>
      <c r="E90" s="42">
        <v>15.1</v>
      </c>
      <c r="F90" s="42">
        <v>2.1</v>
      </c>
      <c r="G90" s="42">
        <v>1.3</v>
      </c>
      <c r="H90" s="42">
        <v>15.5</v>
      </c>
      <c r="I90" s="42">
        <v>0.3</v>
      </c>
      <c r="J90" s="42">
        <v>2.2000000000000002</v>
      </c>
      <c r="K90" s="42">
        <v>4.0999999999999996</v>
      </c>
    </row>
    <row r="91" spans="1:11" x14ac:dyDescent="0.35">
      <c r="A91" s="40" t="s">
        <v>299</v>
      </c>
      <c r="B91" s="42">
        <v>15.3</v>
      </c>
      <c r="C91" s="42">
        <v>13.7</v>
      </c>
      <c r="D91" s="42">
        <v>12.3</v>
      </c>
      <c r="E91" s="42">
        <v>21.1</v>
      </c>
      <c r="F91" s="42">
        <v>21.4</v>
      </c>
      <c r="G91" s="42">
        <v>21</v>
      </c>
      <c r="H91" s="42">
        <v>30.4</v>
      </c>
      <c r="I91" s="42">
        <v>30.5</v>
      </c>
      <c r="J91" s="42">
        <v>32.1</v>
      </c>
      <c r="K91" s="42">
        <v>36</v>
      </c>
    </row>
    <row r="92" spans="1:11" x14ac:dyDescent="0.35">
      <c r="A92" s="40" t="s">
        <v>301</v>
      </c>
      <c r="B92" s="41">
        <v>7345</v>
      </c>
      <c r="C92" s="41">
        <v>7623</v>
      </c>
      <c r="D92" s="41">
        <v>7476</v>
      </c>
      <c r="E92" s="41">
        <v>15807</v>
      </c>
      <c r="F92" s="41">
        <v>14820</v>
      </c>
      <c r="G92" s="41">
        <v>14217</v>
      </c>
      <c r="H92" s="41">
        <v>11738</v>
      </c>
      <c r="I92" s="41">
        <v>48871</v>
      </c>
      <c r="J92" s="41">
        <v>43505</v>
      </c>
      <c r="K92" s="41">
        <v>37694</v>
      </c>
    </row>
    <row r="93" spans="1:11" x14ac:dyDescent="0.35">
      <c r="A93" s="40" t="s">
        <v>303</v>
      </c>
      <c r="B93" s="42">
        <v>123.8</v>
      </c>
      <c r="C93" s="42">
        <v>134.85</v>
      </c>
      <c r="D93" s="42">
        <v>148.84</v>
      </c>
      <c r="E93" s="42">
        <v>150.30000000000001</v>
      </c>
      <c r="F93" s="42">
        <v>123.85</v>
      </c>
      <c r="G93" s="42">
        <v>114.81</v>
      </c>
      <c r="H93" s="42">
        <v>87.62</v>
      </c>
      <c r="I93" s="42">
        <v>100.42</v>
      </c>
      <c r="J93" s="42">
        <v>93.62</v>
      </c>
      <c r="K93" s="42">
        <v>107.89</v>
      </c>
    </row>
    <row r="94" spans="1:11" x14ac:dyDescent="0.35">
      <c r="A94" s="40" t="s">
        <v>305</v>
      </c>
      <c r="B94" s="42">
        <v>-164.34</v>
      </c>
      <c r="C94" s="42">
        <v>-160.65</v>
      </c>
      <c r="D94" s="42">
        <v>-56.06</v>
      </c>
      <c r="E94" s="42">
        <v>-255.3</v>
      </c>
      <c r="F94" s="42">
        <v>-168.24</v>
      </c>
      <c r="G94" s="42">
        <v>-137.69999999999999</v>
      </c>
      <c r="H94" s="42">
        <v>-100.84</v>
      </c>
      <c r="I94" s="42">
        <v>-211.17</v>
      </c>
      <c r="J94" s="42">
        <v>-174.21</v>
      </c>
      <c r="K94" s="42">
        <v>-156.52000000000001</v>
      </c>
    </row>
    <row r="95" spans="1:11" x14ac:dyDescent="0.35">
      <c r="A95" s="40" t="s">
        <v>307</v>
      </c>
      <c r="B95" s="42">
        <v>1.64</v>
      </c>
      <c r="C95" s="42">
        <v>1.6</v>
      </c>
      <c r="D95" s="42">
        <v>5.34</v>
      </c>
      <c r="E95" s="42">
        <v>1.06</v>
      </c>
      <c r="F95" s="42">
        <v>1.61</v>
      </c>
      <c r="G95" s="42">
        <v>1.99</v>
      </c>
      <c r="H95" s="42">
        <v>2.1</v>
      </c>
      <c r="I95" s="42">
        <v>0.93</v>
      </c>
      <c r="J95" s="42">
        <v>0.93</v>
      </c>
      <c r="K95" s="42">
        <v>0.89</v>
      </c>
    </row>
    <row r="96" spans="1:11" x14ac:dyDescent="0.35">
      <c r="A96" s="40" t="s">
        <v>309</v>
      </c>
      <c r="B96" s="42">
        <v>95</v>
      </c>
      <c r="C96" s="42">
        <v>86</v>
      </c>
      <c r="D96" s="42">
        <v>103</v>
      </c>
      <c r="E96" s="42">
        <v>242</v>
      </c>
      <c r="F96" s="42">
        <v>219</v>
      </c>
      <c r="G96" s="42">
        <v>161</v>
      </c>
      <c r="H96" s="42">
        <v>236</v>
      </c>
      <c r="I96" s="41">
        <v>3100</v>
      </c>
      <c r="J96" s="41">
        <v>3500</v>
      </c>
      <c r="K96" s="41">
        <v>1608</v>
      </c>
    </row>
    <row r="97" spans="1:11" x14ac:dyDescent="0.35">
      <c r="A97" s="40" t="s">
        <v>311</v>
      </c>
      <c r="B97" s="41">
        <v>7000</v>
      </c>
      <c r="C97" s="41">
        <v>7000</v>
      </c>
      <c r="D97" s="41">
        <v>7000</v>
      </c>
      <c r="E97" s="41">
        <v>9000</v>
      </c>
      <c r="F97" s="41">
        <v>9200</v>
      </c>
      <c r="G97" s="41">
        <v>9800</v>
      </c>
      <c r="H97" s="41">
        <v>11000</v>
      </c>
      <c r="I97" s="41">
        <v>37500</v>
      </c>
      <c r="J97" s="41">
        <v>35300</v>
      </c>
      <c r="K97" s="41">
        <v>35000</v>
      </c>
    </row>
    <row r="98" spans="1:11" x14ac:dyDescent="0.35">
      <c r="A98" s="43" t="s">
        <v>139</v>
      </c>
      <c r="B98" s="43" t="s">
        <v>140</v>
      </c>
      <c r="C98" s="43"/>
      <c r="D98" s="43"/>
      <c r="E98" s="43"/>
      <c r="F98" s="43"/>
      <c r="G98" s="43"/>
      <c r="H98" s="43"/>
      <c r="I98" s="43"/>
      <c r="J98" s="43"/>
      <c r="K98" s="43"/>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7B2896-5F75-8C40-850D-E9EB039865CE}">
  <sheetPr>
    <tabColor rgb="FFFFC000"/>
  </sheetPr>
  <dimension ref="A1:K71"/>
  <sheetViews>
    <sheetView workbookViewId="0">
      <selection activeCell="O21" sqref="O21"/>
    </sheetView>
  </sheetViews>
  <sheetFormatPr defaultColWidth="10.88671875" defaultRowHeight="17.399999999999999" x14ac:dyDescent="0.35"/>
  <cols>
    <col min="1" max="1" width="50.6640625" style="2" bestFit="1" customWidth="1"/>
    <col min="2" max="2" width="10.33203125" style="2" customWidth="1"/>
    <col min="3" max="5" width="9" style="2" bestFit="1" customWidth="1"/>
    <col min="6" max="6" width="9.109375" style="2" bestFit="1" customWidth="1"/>
    <col min="7" max="7" width="9" style="2" bestFit="1" customWidth="1"/>
    <col min="8" max="8" width="9.109375" style="2" bestFit="1" customWidth="1"/>
    <col min="9" max="9" width="9.33203125" style="2" bestFit="1" customWidth="1"/>
    <col min="10" max="10" width="9.88671875" style="2" bestFit="1" customWidth="1"/>
    <col min="11" max="11" width="9.33203125" style="2" bestFit="1" customWidth="1"/>
    <col min="12" max="16384" width="10.88671875" style="2"/>
  </cols>
  <sheetData>
    <row r="1" spans="1:11" x14ac:dyDescent="0.35">
      <c r="A1" s="44"/>
      <c r="B1" s="44"/>
      <c r="C1" s="44"/>
      <c r="D1" s="44"/>
      <c r="E1" s="44"/>
      <c r="F1" s="44"/>
      <c r="G1" s="44"/>
      <c r="H1" s="44"/>
      <c r="I1" s="44"/>
      <c r="J1" s="44"/>
      <c r="K1" s="44"/>
    </row>
    <row r="2" spans="1:11" x14ac:dyDescent="0.35">
      <c r="A2" s="34" t="s">
        <v>608</v>
      </c>
      <c r="B2" s="34"/>
      <c r="C2" s="34"/>
      <c r="D2" s="34"/>
      <c r="E2" s="34"/>
      <c r="F2" s="34"/>
      <c r="G2" s="34"/>
      <c r="H2" s="34"/>
      <c r="I2" s="34"/>
      <c r="J2" s="34"/>
      <c r="K2" s="34"/>
    </row>
    <row r="3" spans="1:11" x14ac:dyDescent="0.35">
      <c r="A3" s="45"/>
      <c r="B3" s="45"/>
      <c r="C3" s="45"/>
      <c r="D3" s="45"/>
      <c r="E3" s="45"/>
      <c r="F3" s="45"/>
      <c r="G3" s="45"/>
      <c r="H3" s="45"/>
      <c r="I3" s="45"/>
      <c r="J3" s="45"/>
      <c r="K3" s="45"/>
    </row>
    <row r="4" spans="1:11" x14ac:dyDescent="0.35">
      <c r="A4" s="37" t="s">
        <v>1</v>
      </c>
      <c r="B4" s="46" t="s">
        <v>143</v>
      </c>
      <c r="C4" s="46" t="s">
        <v>144</v>
      </c>
      <c r="D4" s="46" t="s">
        <v>2</v>
      </c>
      <c r="E4" s="46" t="s">
        <v>3</v>
      </c>
      <c r="F4" s="46" t="s">
        <v>4</v>
      </c>
      <c r="G4" s="46" t="s">
        <v>5</v>
      </c>
      <c r="H4" s="46" t="s">
        <v>6</v>
      </c>
      <c r="I4" s="46" t="s">
        <v>7</v>
      </c>
      <c r="J4" s="46" t="s">
        <v>8</v>
      </c>
      <c r="K4" s="46" t="s">
        <v>9</v>
      </c>
    </row>
    <row r="5" spans="1:11" x14ac:dyDescent="0.35">
      <c r="A5" s="38" t="s">
        <v>12</v>
      </c>
      <c r="B5" s="47">
        <v>42735</v>
      </c>
      <c r="C5" s="47">
        <v>43100</v>
      </c>
      <c r="D5" s="47">
        <v>43465</v>
      </c>
      <c r="E5" s="47">
        <v>43830</v>
      </c>
      <c r="F5" s="47">
        <v>44196</v>
      </c>
      <c r="G5" s="47">
        <v>44561</v>
      </c>
      <c r="H5" s="47">
        <v>44926</v>
      </c>
      <c r="I5" s="47">
        <v>45291</v>
      </c>
      <c r="J5" s="47">
        <v>45657</v>
      </c>
      <c r="K5" s="47">
        <v>45930</v>
      </c>
    </row>
    <row r="6" spans="1:11" x14ac:dyDescent="0.35">
      <c r="A6" s="48" t="s">
        <v>313</v>
      </c>
      <c r="B6" s="49"/>
      <c r="C6" s="49"/>
      <c r="D6" s="49"/>
      <c r="E6" s="49"/>
      <c r="F6" s="49"/>
      <c r="G6" s="49"/>
      <c r="H6" s="49"/>
      <c r="I6" s="49"/>
      <c r="J6" s="49"/>
      <c r="K6" s="53"/>
    </row>
    <row r="7" spans="1:11" x14ac:dyDescent="0.35">
      <c r="A7" s="40" t="s">
        <v>314</v>
      </c>
      <c r="B7" s="41">
        <v>1194</v>
      </c>
      <c r="C7" s="42">
        <v>-337</v>
      </c>
      <c r="D7" s="42">
        <v>594</v>
      </c>
      <c r="E7" s="41">
        <v>2069</v>
      </c>
      <c r="F7" s="41">
        <v>1219</v>
      </c>
      <c r="G7" s="41">
        <v>1006</v>
      </c>
      <c r="H7" s="41">
        <v>-7371</v>
      </c>
      <c r="I7" s="41">
        <v>-3126</v>
      </c>
      <c r="J7" s="41">
        <v>-11311</v>
      </c>
      <c r="K7" s="57">
        <v>485</v>
      </c>
    </row>
    <row r="8" spans="1:11" x14ac:dyDescent="0.35">
      <c r="A8" s="40" t="s">
        <v>316</v>
      </c>
      <c r="B8" s="42">
        <v>322</v>
      </c>
      <c r="C8" s="42">
        <v>330</v>
      </c>
      <c r="D8" s="41">
        <v>1398</v>
      </c>
      <c r="E8" s="41">
        <v>1347</v>
      </c>
      <c r="F8" s="41">
        <v>1359</v>
      </c>
      <c r="G8" s="41">
        <v>1582</v>
      </c>
      <c r="H8" s="41">
        <v>7193</v>
      </c>
      <c r="I8" s="41">
        <v>7985</v>
      </c>
      <c r="J8" s="41">
        <v>7037</v>
      </c>
      <c r="K8" s="52">
        <v>6012</v>
      </c>
    </row>
    <row r="9" spans="1:11" x14ac:dyDescent="0.35">
      <c r="A9" s="40" t="s">
        <v>318</v>
      </c>
      <c r="B9" s="42">
        <v>-70</v>
      </c>
      <c r="C9" s="41">
        <v>1609</v>
      </c>
      <c r="D9" s="42">
        <v>742</v>
      </c>
      <c r="E9" s="42">
        <v>-132</v>
      </c>
      <c r="F9" s="42">
        <v>187</v>
      </c>
      <c r="G9" s="42">
        <v>-22</v>
      </c>
      <c r="H9" s="41">
        <v>2772</v>
      </c>
      <c r="I9" s="41">
        <v>3126</v>
      </c>
      <c r="J9" s="41">
        <v>9166</v>
      </c>
      <c r="K9" s="52">
        <v>-2124</v>
      </c>
    </row>
    <row r="10" spans="1:11" x14ac:dyDescent="0.35">
      <c r="A10" s="40" t="s">
        <v>320</v>
      </c>
      <c r="B10" s="42">
        <v>69</v>
      </c>
      <c r="C10" s="42">
        <v>39</v>
      </c>
      <c r="D10" s="42">
        <v>80</v>
      </c>
      <c r="E10" s="42">
        <v>142</v>
      </c>
      <c r="F10" s="42">
        <v>110</v>
      </c>
      <c r="G10" s="42">
        <v>178</v>
      </c>
      <c r="H10" s="42">
        <v>412</v>
      </c>
      <c r="I10" s="42">
        <v>500</v>
      </c>
      <c r="J10" s="42">
        <v>557</v>
      </c>
      <c r="K10" s="57">
        <v>678</v>
      </c>
    </row>
    <row r="11" spans="1:11" x14ac:dyDescent="0.35">
      <c r="A11" s="40" t="s">
        <v>322</v>
      </c>
      <c r="B11" s="42">
        <v>-27</v>
      </c>
      <c r="C11" s="42">
        <v>-199</v>
      </c>
      <c r="D11" s="42">
        <v>-131</v>
      </c>
      <c r="E11" s="42">
        <v>-504</v>
      </c>
      <c r="F11" s="42">
        <v>-186</v>
      </c>
      <c r="G11" s="42">
        <v>-511</v>
      </c>
      <c r="H11" s="41">
        <v>-2842</v>
      </c>
      <c r="I11" s="41">
        <v>-2344</v>
      </c>
      <c r="J11" s="41">
        <v>-1732</v>
      </c>
      <c r="K11" s="57">
        <v>-653</v>
      </c>
    </row>
    <row r="12" spans="1:11" x14ac:dyDescent="0.35">
      <c r="A12" s="40" t="s">
        <v>324</v>
      </c>
      <c r="B12" s="42">
        <v>-112</v>
      </c>
      <c r="C12" s="41">
        <v>1769</v>
      </c>
      <c r="D12" s="42">
        <v>793</v>
      </c>
      <c r="E12" s="42">
        <v>230</v>
      </c>
      <c r="F12" s="42">
        <v>263</v>
      </c>
      <c r="G12" s="42">
        <v>311</v>
      </c>
      <c r="H12" s="41">
        <v>5202</v>
      </c>
      <c r="I12" s="41">
        <v>4970</v>
      </c>
      <c r="J12" s="41">
        <v>10341</v>
      </c>
      <c r="K12" s="52">
        <v>-2149</v>
      </c>
    </row>
    <row r="13" spans="1:11" x14ac:dyDescent="0.35">
      <c r="A13" s="40" t="s">
        <v>326</v>
      </c>
      <c r="B13" s="42">
        <v>-66</v>
      </c>
      <c r="C13" s="42">
        <v>27</v>
      </c>
      <c r="D13" s="42">
        <v>-158</v>
      </c>
      <c r="E13" s="42">
        <v>115</v>
      </c>
      <c r="F13" s="42">
        <v>-26</v>
      </c>
      <c r="G13" s="42">
        <v>232</v>
      </c>
      <c r="H13" s="41">
        <v>1710</v>
      </c>
      <c r="I13" s="42">
        <v>-508</v>
      </c>
      <c r="J13" s="42">
        <v>483</v>
      </c>
      <c r="K13" s="57">
        <v>857</v>
      </c>
    </row>
    <row r="14" spans="1:11" x14ac:dyDescent="0.35">
      <c r="A14" s="40" t="s">
        <v>328</v>
      </c>
      <c r="B14" s="42">
        <v>-25</v>
      </c>
      <c r="C14" s="42">
        <v>-258</v>
      </c>
      <c r="D14" s="42">
        <v>-84</v>
      </c>
      <c r="E14" s="42">
        <v>-7</v>
      </c>
      <c r="F14" s="42">
        <v>105</v>
      </c>
      <c r="G14" s="42">
        <v>47</v>
      </c>
      <c r="H14" s="42">
        <v>181</v>
      </c>
      <c r="I14" s="42">
        <v>312</v>
      </c>
      <c r="J14" s="41">
        <v>1012</v>
      </c>
      <c r="K14" s="57">
        <v>295</v>
      </c>
    </row>
    <row r="15" spans="1:11" x14ac:dyDescent="0.35">
      <c r="A15" s="40" t="s">
        <v>330</v>
      </c>
      <c r="B15" s="42">
        <v>0</v>
      </c>
      <c r="C15" s="42" t="s">
        <v>61</v>
      </c>
      <c r="D15" s="42" t="s">
        <v>61</v>
      </c>
      <c r="E15" s="42" t="s">
        <v>61</v>
      </c>
      <c r="F15" s="42" t="s">
        <v>61</v>
      </c>
      <c r="G15" s="42" t="s">
        <v>61</v>
      </c>
      <c r="H15" s="42" t="s">
        <v>61</v>
      </c>
      <c r="I15" s="42">
        <v>0</v>
      </c>
      <c r="J15" s="42">
        <v>0</v>
      </c>
      <c r="K15" s="57">
        <v>0</v>
      </c>
    </row>
    <row r="16" spans="1:11" x14ac:dyDescent="0.35">
      <c r="A16" s="40" t="s">
        <v>332</v>
      </c>
      <c r="B16" s="42" t="s">
        <v>61</v>
      </c>
      <c r="C16" s="42" t="s">
        <v>61</v>
      </c>
      <c r="D16" s="42" t="s">
        <v>61</v>
      </c>
      <c r="E16" s="42" t="s">
        <v>61</v>
      </c>
      <c r="F16" s="42" t="s">
        <v>61</v>
      </c>
      <c r="G16" s="42" t="s">
        <v>61</v>
      </c>
      <c r="H16" s="42" t="s">
        <v>61</v>
      </c>
      <c r="I16" s="42">
        <v>0</v>
      </c>
      <c r="J16" s="42">
        <v>0</v>
      </c>
      <c r="K16" s="57">
        <v>0</v>
      </c>
    </row>
    <row r="17" spans="1:11" x14ac:dyDescent="0.35">
      <c r="A17" s="40" t="s">
        <v>334</v>
      </c>
      <c r="B17" s="42">
        <v>-41</v>
      </c>
      <c r="C17" s="42">
        <v>285</v>
      </c>
      <c r="D17" s="42">
        <v>-74</v>
      </c>
      <c r="E17" s="42">
        <v>122</v>
      </c>
      <c r="F17" s="42">
        <v>-131</v>
      </c>
      <c r="G17" s="42">
        <v>185</v>
      </c>
      <c r="H17" s="41">
        <v>1529</v>
      </c>
      <c r="I17" s="42">
        <v>-820</v>
      </c>
      <c r="J17" s="42">
        <v>-529</v>
      </c>
      <c r="K17" s="57">
        <v>562</v>
      </c>
    </row>
    <row r="18" spans="1:11" x14ac:dyDescent="0.35">
      <c r="A18" s="40" t="s">
        <v>336</v>
      </c>
      <c r="B18" s="42">
        <v>0</v>
      </c>
      <c r="C18" s="42">
        <v>0</v>
      </c>
      <c r="D18" s="42">
        <v>0</v>
      </c>
      <c r="E18" s="42">
        <v>0</v>
      </c>
      <c r="F18" s="42">
        <v>0</v>
      </c>
      <c r="G18" s="42">
        <v>0</v>
      </c>
      <c r="H18" s="42">
        <v>0</v>
      </c>
      <c r="I18" s="42">
        <v>0</v>
      </c>
      <c r="J18" s="42">
        <v>0</v>
      </c>
      <c r="K18" s="57">
        <v>0</v>
      </c>
    </row>
    <row r="19" spans="1:11" x14ac:dyDescent="0.35">
      <c r="A19" s="48" t="s">
        <v>313</v>
      </c>
      <c r="B19" s="50">
        <v>1380</v>
      </c>
      <c r="C19" s="50">
        <v>1629</v>
      </c>
      <c r="D19" s="50">
        <v>2576</v>
      </c>
      <c r="E19" s="50">
        <v>3399</v>
      </c>
      <c r="F19" s="50">
        <v>2739</v>
      </c>
      <c r="G19" s="50">
        <v>2798</v>
      </c>
      <c r="H19" s="50">
        <v>4304</v>
      </c>
      <c r="I19" s="50">
        <v>7477</v>
      </c>
      <c r="J19" s="50">
        <v>5375</v>
      </c>
      <c r="K19" s="51">
        <v>5230</v>
      </c>
    </row>
    <row r="20" spans="1:11" x14ac:dyDescent="0.35">
      <c r="A20" s="48"/>
      <c r="B20" s="49"/>
      <c r="C20" s="49"/>
      <c r="D20" s="49"/>
      <c r="E20" s="49"/>
      <c r="F20" s="49"/>
      <c r="G20" s="49"/>
      <c r="H20" s="49"/>
      <c r="I20" s="49"/>
      <c r="J20" s="49"/>
      <c r="K20" s="53"/>
    </row>
    <row r="21" spans="1:11" x14ac:dyDescent="0.35">
      <c r="A21" s="48" t="s">
        <v>339</v>
      </c>
      <c r="B21" s="49"/>
      <c r="C21" s="49"/>
      <c r="D21" s="49"/>
      <c r="E21" s="49"/>
      <c r="F21" s="49"/>
      <c r="G21" s="49"/>
      <c r="H21" s="49"/>
      <c r="I21" s="49"/>
      <c r="J21" s="49"/>
      <c r="K21" s="53"/>
    </row>
    <row r="22" spans="1:11" x14ac:dyDescent="0.35">
      <c r="A22" s="40" t="s">
        <v>340</v>
      </c>
      <c r="B22" s="42">
        <v>-88</v>
      </c>
      <c r="C22" s="42">
        <v>-135</v>
      </c>
      <c r="D22" s="42">
        <v>-40</v>
      </c>
      <c r="E22" s="42">
        <v>-289</v>
      </c>
      <c r="F22" s="42">
        <v>-402</v>
      </c>
      <c r="G22" s="42">
        <v>-373</v>
      </c>
      <c r="H22" s="42">
        <v>-987</v>
      </c>
      <c r="I22" s="41">
        <v>-1316</v>
      </c>
      <c r="J22" s="42">
        <v>-948</v>
      </c>
      <c r="K22" s="52">
        <v>-1030</v>
      </c>
    </row>
    <row r="23" spans="1:11" x14ac:dyDescent="0.35">
      <c r="A23" s="40" t="s">
        <v>342</v>
      </c>
      <c r="B23" s="42">
        <v>0</v>
      </c>
      <c r="C23" s="42">
        <v>0</v>
      </c>
      <c r="D23" s="42">
        <v>107</v>
      </c>
      <c r="E23" s="42">
        <v>0</v>
      </c>
      <c r="F23" s="42">
        <v>0</v>
      </c>
      <c r="G23" s="42">
        <v>0</v>
      </c>
      <c r="H23" s="42">
        <v>0</v>
      </c>
      <c r="I23" s="42">
        <v>0</v>
      </c>
      <c r="J23" s="42">
        <v>0</v>
      </c>
      <c r="K23" s="57">
        <v>66</v>
      </c>
    </row>
    <row r="24" spans="1:11" x14ac:dyDescent="0.35">
      <c r="A24" s="54" t="s">
        <v>344</v>
      </c>
      <c r="B24" s="55">
        <v>0</v>
      </c>
      <c r="C24" s="55">
        <v>0</v>
      </c>
      <c r="D24" s="55">
        <v>107</v>
      </c>
      <c r="E24" s="55">
        <v>0</v>
      </c>
      <c r="F24" s="55">
        <v>0</v>
      </c>
      <c r="G24" s="55">
        <v>0</v>
      </c>
      <c r="H24" s="55">
        <v>0</v>
      </c>
      <c r="I24" s="55">
        <v>0</v>
      </c>
      <c r="J24" s="55">
        <v>0</v>
      </c>
      <c r="K24" s="56">
        <v>66</v>
      </c>
    </row>
    <row r="25" spans="1:11" x14ac:dyDescent="0.35">
      <c r="A25" s="54" t="s">
        <v>346</v>
      </c>
      <c r="B25" s="55">
        <v>0</v>
      </c>
      <c r="C25" s="55">
        <v>0</v>
      </c>
      <c r="D25" s="55">
        <v>0</v>
      </c>
      <c r="E25" s="55">
        <v>0</v>
      </c>
      <c r="F25" s="55">
        <v>0</v>
      </c>
      <c r="G25" s="55">
        <v>0</v>
      </c>
      <c r="H25" s="55">
        <v>0</v>
      </c>
      <c r="I25" s="55">
        <v>0</v>
      </c>
      <c r="J25" s="55">
        <v>0</v>
      </c>
      <c r="K25" s="56">
        <v>0</v>
      </c>
    </row>
    <row r="26" spans="1:11" x14ac:dyDescent="0.35">
      <c r="A26" s="62" t="s">
        <v>348</v>
      </c>
      <c r="B26" s="63">
        <v>-88</v>
      </c>
      <c r="C26" s="63">
        <v>-135</v>
      </c>
      <c r="D26" s="63">
        <v>-147</v>
      </c>
      <c r="E26" s="63">
        <v>-289</v>
      </c>
      <c r="F26" s="63">
        <v>-402</v>
      </c>
      <c r="G26" s="63">
        <v>-373</v>
      </c>
      <c r="H26" s="63">
        <v>-987</v>
      </c>
      <c r="I26" s="64">
        <v>-1316</v>
      </c>
      <c r="J26" s="63">
        <v>-948</v>
      </c>
      <c r="K26" s="64">
        <v>-1096</v>
      </c>
    </row>
    <row r="27" spans="1:11" x14ac:dyDescent="0.35">
      <c r="A27" s="54" t="s">
        <v>350</v>
      </c>
      <c r="B27" s="55">
        <v>-88</v>
      </c>
      <c r="C27" s="55">
        <v>-135</v>
      </c>
      <c r="D27" s="55">
        <v>-147</v>
      </c>
      <c r="E27" s="55">
        <v>-289</v>
      </c>
      <c r="F27" s="55">
        <v>-402</v>
      </c>
      <c r="G27" s="55">
        <v>-373</v>
      </c>
      <c r="H27" s="55">
        <v>-987</v>
      </c>
      <c r="I27" s="58">
        <v>-1316</v>
      </c>
      <c r="J27" s="55">
        <v>-948</v>
      </c>
      <c r="K27" s="59">
        <v>-1096</v>
      </c>
    </row>
    <row r="28" spans="1:11" x14ac:dyDescent="0.35">
      <c r="A28" s="54" t="s">
        <v>352</v>
      </c>
      <c r="B28" s="55">
        <v>0</v>
      </c>
      <c r="C28" s="55">
        <v>0</v>
      </c>
      <c r="D28" s="55">
        <v>0</v>
      </c>
      <c r="E28" s="55">
        <v>0</v>
      </c>
      <c r="F28" s="55">
        <v>0</v>
      </c>
      <c r="G28" s="55">
        <v>0</v>
      </c>
      <c r="H28" s="55">
        <v>0</v>
      </c>
      <c r="I28" s="55">
        <v>0</v>
      </c>
      <c r="J28" s="55">
        <v>0</v>
      </c>
      <c r="K28" s="56">
        <v>0</v>
      </c>
    </row>
    <row r="29" spans="1:11" x14ac:dyDescent="0.35">
      <c r="A29" s="40" t="s">
        <v>354</v>
      </c>
      <c r="B29" s="42">
        <v>0</v>
      </c>
      <c r="C29" s="42">
        <v>0</v>
      </c>
      <c r="D29" s="42">
        <v>0</v>
      </c>
      <c r="E29" s="42">
        <v>0</v>
      </c>
      <c r="F29" s="42">
        <v>-250</v>
      </c>
      <c r="G29" s="42">
        <v>0</v>
      </c>
      <c r="H29" s="42">
        <v>0</v>
      </c>
      <c r="I29" s="42">
        <v>0</v>
      </c>
      <c r="J29" s="42">
        <v>0</v>
      </c>
      <c r="K29" s="57">
        <v>0</v>
      </c>
    </row>
    <row r="30" spans="1:11" x14ac:dyDescent="0.35">
      <c r="A30" s="40" t="s">
        <v>356</v>
      </c>
      <c r="B30" s="42">
        <v>0</v>
      </c>
      <c r="C30" s="42">
        <v>0</v>
      </c>
      <c r="D30" s="42">
        <v>0</v>
      </c>
      <c r="E30" s="42">
        <v>0</v>
      </c>
      <c r="F30" s="42">
        <v>0</v>
      </c>
      <c r="G30" s="42">
        <v>0</v>
      </c>
      <c r="H30" s="42">
        <v>0</v>
      </c>
      <c r="I30" s="42">
        <v>0</v>
      </c>
      <c r="J30" s="42">
        <v>0</v>
      </c>
      <c r="K30" s="57">
        <v>0</v>
      </c>
    </row>
    <row r="31" spans="1:11" x14ac:dyDescent="0.35">
      <c r="A31" s="40" t="s">
        <v>358</v>
      </c>
      <c r="B31" s="42">
        <v>0</v>
      </c>
      <c r="C31" s="42">
        <v>0</v>
      </c>
      <c r="D31" s="42">
        <v>0</v>
      </c>
      <c r="E31" s="42">
        <v>0</v>
      </c>
      <c r="F31" s="42">
        <v>-250</v>
      </c>
      <c r="G31" s="42">
        <v>0</v>
      </c>
      <c r="H31" s="42">
        <v>0</v>
      </c>
      <c r="I31" s="42">
        <v>0</v>
      </c>
      <c r="J31" s="42">
        <v>0</v>
      </c>
      <c r="K31" s="57">
        <v>0</v>
      </c>
    </row>
    <row r="32" spans="1:11" x14ac:dyDescent="0.35">
      <c r="A32" s="40" t="s">
        <v>360</v>
      </c>
      <c r="B32" s="42">
        <v>19</v>
      </c>
      <c r="C32" s="42">
        <v>-31</v>
      </c>
      <c r="D32" s="41">
        <v>-8565</v>
      </c>
      <c r="E32" s="42">
        <v>-73</v>
      </c>
      <c r="F32" s="42">
        <v>-39</v>
      </c>
      <c r="G32" s="42">
        <v>-2</v>
      </c>
      <c r="H32" s="41">
        <v>3612</v>
      </c>
      <c r="I32" s="42">
        <v>-50</v>
      </c>
      <c r="J32" s="42">
        <v>0</v>
      </c>
      <c r="K32" s="57">
        <v>0</v>
      </c>
    </row>
    <row r="33" spans="1:11" x14ac:dyDescent="0.35">
      <c r="A33" s="40" t="s">
        <v>362</v>
      </c>
      <c r="B33" s="42">
        <v>19</v>
      </c>
      <c r="C33" s="42">
        <v>29</v>
      </c>
      <c r="D33" s="42">
        <v>0</v>
      </c>
      <c r="E33" s="42">
        <v>0</v>
      </c>
      <c r="F33" s="42">
        <v>0</v>
      </c>
      <c r="G33" s="42">
        <v>0</v>
      </c>
      <c r="H33" s="42">
        <v>0</v>
      </c>
      <c r="I33" s="42">
        <v>0</v>
      </c>
      <c r="J33" s="42">
        <v>0</v>
      </c>
      <c r="K33" s="57">
        <v>0</v>
      </c>
    </row>
    <row r="34" spans="1:11" x14ac:dyDescent="0.35">
      <c r="A34" s="40" t="s">
        <v>364</v>
      </c>
      <c r="B34" s="42">
        <v>0</v>
      </c>
      <c r="C34" s="42">
        <v>-60</v>
      </c>
      <c r="D34" s="41">
        <v>-8565</v>
      </c>
      <c r="E34" s="42">
        <v>-73</v>
      </c>
      <c r="F34" s="42">
        <v>-39</v>
      </c>
      <c r="G34" s="42">
        <v>-2</v>
      </c>
      <c r="H34" s="41">
        <v>3612</v>
      </c>
      <c r="I34" s="42">
        <v>-50</v>
      </c>
      <c r="J34" s="42">
        <v>0</v>
      </c>
      <c r="K34" s="57">
        <v>0</v>
      </c>
    </row>
    <row r="35" spans="1:11" x14ac:dyDescent="0.35">
      <c r="A35" s="40" t="s">
        <v>366</v>
      </c>
      <c r="B35" s="42">
        <v>0</v>
      </c>
      <c r="C35" s="42">
        <v>0</v>
      </c>
      <c r="D35" s="42">
        <v>0</v>
      </c>
      <c r="E35" s="42">
        <v>0</v>
      </c>
      <c r="F35" s="42">
        <v>0</v>
      </c>
      <c r="G35" s="42">
        <v>0</v>
      </c>
      <c r="H35" s="42">
        <v>0</v>
      </c>
      <c r="I35" s="42">
        <v>0</v>
      </c>
      <c r="J35" s="42">
        <v>0</v>
      </c>
      <c r="K35" s="57">
        <v>0</v>
      </c>
    </row>
    <row r="36" spans="1:11" x14ac:dyDescent="0.35">
      <c r="A36" s="40" t="s">
        <v>368</v>
      </c>
      <c r="B36" s="42">
        <v>-187</v>
      </c>
      <c r="C36" s="42">
        <v>-467</v>
      </c>
      <c r="D36" s="42">
        <v>12</v>
      </c>
      <c r="E36" s="42">
        <v>-76</v>
      </c>
      <c r="F36" s="42">
        <v>-12</v>
      </c>
      <c r="G36" s="42">
        <v>319</v>
      </c>
      <c r="H36" s="42">
        <v>899</v>
      </c>
      <c r="I36" s="42">
        <v>107</v>
      </c>
      <c r="J36" s="42">
        <v>599</v>
      </c>
      <c r="K36" s="57">
        <v>275</v>
      </c>
    </row>
    <row r="37" spans="1:11" x14ac:dyDescent="0.35">
      <c r="A37" s="40" t="s">
        <v>336</v>
      </c>
      <c r="B37" s="42">
        <v>0</v>
      </c>
      <c r="C37" s="42">
        <v>0</v>
      </c>
      <c r="D37" s="42">
        <v>0</v>
      </c>
      <c r="E37" s="42">
        <v>0</v>
      </c>
      <c r="F37" s="42">
        <v>0</v>
      </c>
      <c r="G37" s="42">
        <v>0</v>
      </c>
      <c r="H37" s="42">
        <v>0</v>
      </c>
      <c r="I37" s="42">
        <v>0</v>
      </c>
      <c r="J37" s="42">
        <v>0</v>
      </c>
      <c r="K37" s="57">
        <v>0</v>
      </c>
    </row>
    <row r="38" spans="1:11" x14ac:dyDescent="0.35">
      <c r="A38" s="48" t="s">
        <v>339</v>
      </c>
      <c r="B38" s="49">
        <v>-256</v>
      </c>
      <c r="C38" s="49">
        <v>-633</v>
      </c>
      <c r="D38" s="50">
        <v>-8593</v>
      </c>
      <c r="E38" s="49">
        <v>-438</v>
      </c>
      <c r="F38" s="49">
        <v>-703</v>
      </c>
      <c r="G38" s="49">
        <v>-56</v>
      </c>
      <c r="H38" s="50">
        <v>3524</v>
      </c>
      <c r="I38" s="50">
        <v>-1259</v>
      </c>
      <c r="J38" s="49">
        <v>-349</v>
      </c>
      <c r="K38" s="53">
        <v>-755</v>
      </c>
    </row>
    <row r="39" spans="1:11" x14ac:dyDescent="0.35">
      <c r="A39" s="48"/>
      <c r="B39" s="49"/>
      <c r="C39" s="49"/>
      <c r="D39" s="49"/>
      <c r="E39" s="49"/>
      <c r="F39" s="49"/>
      <c r="G39" s="49"/>
      <c r="H39" s="49"/>
      <c r="I39" s="49"/>
      <c r="J39" s="49"/>
      <c r="K39" s="53"/>
    </row>
    <row r="40" spans="1:11" x14ac:dyDescent="0.35">
      <c r="A40" s="48" t="s">
        <v>372</v>
      </c>
      <c r="B40" s="49"/>
      <c r="C40" s="49"/>
      <c r="D40" s="49"/>
      <c r="E40" s="49"/>
      <c r="F40" s="49"/>
      <c r="G40" s="49"/>
      <c r="H40" s="49"/>
      <c r="I40" s="49"/>
      <c r="J40" s="49"/>
      <c r="K40" s="53"/>
    </row>
    <row r="41" spans="1:11" x14ac:dyDescent="0.35">
      <c r="A41" s="40" t="s">
        <v>373</v>
      </c>
      <c r="B41" s="42">
        <v>0</v>
      </c>
      <c r="C41" s="42">
        <v>0</v>
      </c>
      <c r="D41" s="42">
        <v>0</v>
      </c>
      <c r="E41" s="42">
        <v>0</v>
      </c>
      <c r="F41" s="42">
        <v>0</v>
      </c>
      <c r="G41" s="42">
        <v>0</v>
      </c>
      <c r="H41" s="42">
        <v>0</v>
      </c>
      <c r="I41" s="42">
        <v>0</v>
      </c>
      <c r="J41" s="42">
        <v>0</v>
      </c>
      <c r="K41" s="57">
        <v>0</v>
      </c>
    </row>
    <row r="42" spans="1:11" x14ac:dyDescent="0.35">
      <c r="A42" s="40" t="s">
        <v>375</v>
      </c>
      <c r="B42" s="42">
        <v>243</v>
      </c>
      <c r="C42" s="41">
        <v>6632</v>
      </c>
      <c r="D42" s="42">
        <v>-216</v>
      </c>
      <c r="E42" s="41">
        <v>-1404</v>
      </c>
      <c r="F42" s="42">
        <v>-214</v>
      </c>
      <c r="G42" s="42">
        <v>-574</v>
      </c>
      <c r="H42" s="41">
        <v>-7317</v>
      </c>
      <c r="I42" s="41">
        <v>-5371</v>
      </c>
      <c r="J42" s="41">
        <v>-3426</v>
      </c>
      <c r="K42" s="52">
        <v>-3863</v>
      </c>
    </row>
    <row r="43" spans="1:11" x14ac:dyDescent="0.35">
      <c r="A43" s="40" t="s">
        <v>377</v>
      </c>
      <c r="B43" s="42" t="s">
        <v>61</v>
      </c>
      <c r="C43" s="42" t="s">
        <v>61</v>
      </c>
      <c r="D43" s="42" t="s">
        <v>61</v>
      </c>
      <c r="E43" s="42" t="s">
        <v>61</v>
      </c>
      <c r="F43" s="42" t="s">
        <v>61</v>
      </c>
      <c r="G43" s="42" t="s">
        <v>61</v>
      </c>
      <c r="H43" s="42" t="s">
        <v>61</v>
      </c>
      <c r="I43" s="42" t="s">
        <v>61</v>
      </c>
      <c r="J43" s="42" t="s">
        <v>61</v>
      </c>
      <c r="K43" s="57"/>
    </row>
    <row r="44" spans="1:11" x14ac:dyDescent="0.35">
      <c r="A44" s="40" t="s">
        <v>379</v>
      </c>
      <c r="B44" s="42" t="s">
        <v>61</v>
      </c>
      <c r="C44" s="42" t="s">
        <v>61</v>
      </c>
      <c r="D44" s="42" t="s">
        <v>61</v>
      </c>
      <c r="E44" s="42" t="s">
        <v>61</v>
      </c>
      <c r="F44" s="42" t="s">
        <v>61</v>
      </c>
      <c r="G44" s="42" t="s">
        <v>61</v>
      </c>
      <c r="H44" s="42" t="s">
        <v>61</v>
      </c>
      <c r="I44" s="42" t="s">
        <v>61</v>
      </c>
      <c r="J44" s="42" t="s">
        <v>61</v>
      </c>
      <c r="K44" s="57"/>
    </row>
    <row r="45" spans="1:11" x14ac:dyDescent="0.35">
      <c r="A45" s="40" t="s">
        <v>381</v>
      </c>
      <c r="B45" s="42" t="s">
        <v>61</v>
      </c>
      <c r="C45" s="42" t="s">
        <v>61</v>
      </c>
      <c r="D45" s="42" t="s">
        <v>61</v>
      </c>
      <c r="E45" s="42" t="s">
        <v>61</v>
      </c>
      <c r="F45" s="42" t="s">
        <v>61</v>
      </c>
      <c r="G45" s="42" t="s">
        <v>61</v>
      </c>
      <c r="H45" s="42" t="s">
        <v>61</v>
      </c>
      <c r="I45" s="42" t="s">
        <v>61</v>
      </c>
      <c r="J45" s="42" t="s">
        <v>61</v>
      </c>
      <c r="K45" s="57"/>
    </row>
    <row r="46" spans="1:11" x14ac:dyDescent="0.35">
      <c r="A46" s="40" t="s">
        <v>383</v>
      </c>
      <c r="B46" s="41">
        <v>-1374</v>
      </c>
      <c r="C46" s="42">
        <v>-603</v>
      </c>
      <c r="D46" s="42">
        <v>0</v>
      </c>
      <c r="E46" s="42">
        <v>-633</v>
      </c>
      <c r="F46" s="42">
        <v>-969</v>
      </c>
      <c r="G46" s="42">
        <v>0</v>
      </c>
      <c r="H46" s="42">
        <v>0</v>
      </c>
      <c r="I46" s="42">
        <v>0</v>
      </c>
      <c r="J46" s="42">
        <v>0</v>
      </c>
      <c r="K46" s="57">
        <v>0</v>
      </c>
    </row>
    <row r="47" spans="1:11" x14ac:dyDescent="0.35">
      <c r="A47" s="40" t="s">
        <v>385</v>
      </c>
      <c r="B47" s="42">
        <v>0</v>
      </c>
      <c r="C47" s="42">
        <v>0</v>
      </c>
      <c r="D47" s="42">
        <v>0</v>
      </c>
      <c r="E47" s="42">
        <v>0</v>
      </c>
      <c r="F47" s="42">
        <v>0</v>
      </c>
      <c r="G47" s="42">
        <v>0</v>
      </c>
      <c r="H47" s="42">
        <v>0</v>
      </c>
      <c r="I47" s="42">
        <v>0</v>
      </c>
      <c r="J47" s="42">
        <v>0</v>
      </c>
      <c r="K47" s="57">
        <v>0</v>
      </c>
    </row>
    <row r="48" spans="1:11" x14ac:dyDescent="0.35">
      <c r="A48" s="40" t="s">
        <v>387</v>
      </c>
      <c r="B48" s="41">
        <v>-1374</v>
      </c>
      <c r="C48" s="42">
        <v>-603</v>
      </c>
      <c r="D48" s="42">
        <v>0</v>
      </c>
      <c r="E48" s="42">
        <v>-633</v>
      </c>
      <c r="F48" s="42">
        <v>-969</v>
      </c>
      <c r="G48" s="42">
        <v>0</v>
      </c>
      <c r="H48" s="42">
        <v>0</v>
      </c>
      <c r="I48" s="42">
        <v>0</v>
      </c>
      <c r="J48" s="42">
        <v>0</v>
      </c>
      <c r="K48" s="57">
        <v>0</v>
      </c>
    </row>
    <row r="49" spans="1:11" x14ac:dyDescent="0.35">
      <c r="A49" s="40" t="s">
        <v>389</v>
      </c>
      <c r="B49" s="42">
        <v>-53</v>
      </c>
      <c r="C49" s="42">
        <v>-78</v>
      </c>
      <c r="D49" s="42">
        <v>-67</v>
      </c>
      <c r="E49" s="42">
        <v>-320</v>
      </c>
      <c r="F49" s="42">
        <v>-366</v>
      </c>
      <c r="G49" s="42">
        <v>-279</v>
      </c>
      <c r="H49" s="42">
        <v>-425</v>
      </c>
      <c r="I49" s="42">
        <v>-466</v>
      </c>
      <c r="J49" s="42">
        <v>-323</v>
      </c>
      <c r="K49" s="57">
        <v>140</v>
      </c>
    </row>
    <row r="50" spans="1:11" x14ac:dyDescent="0.35">
      <c r="A50" s="40" t="s">
        <v>336</v>
      </c>
      <c r="B50" s="42">
        <v>0</v>
      </c>
      <c r="C50" s="42">
        <v>0</v>
      </c>
      <c r="D50" s="42">
        <v>0</v>
      </c>
      <c r="E50" s="42">
        <v>0</v>
      </c>
      <c r="F50" s="42">
        <v>0</v>
      </c>
      <c r="G50" s="42">
        <v>0</v>
      </c>
      <c r="H50" s="42">
        <v>0</v>
      </c>
      <c r="I50" s="42">
        <v>0</v>
      </c>
      <c r="J50" s="42">
        <v>0</v>
      </c>
      <c r="K50" s="57">
        <v>0</v>
      </c>
    </row>
    <row r="51" spans="1:11" x14ac:dyDescent="0.35">
      <c r="A51" s="48" t="s">
        <v>372</v>
      </c>
      <c r="B51" s="50">
        <v>-1184</v>
      </c>
      <c r="C51" s="50">
        <v>5951</v>
      </c>
      <c r="D51" s="49">
        <v>-283</v>
      </c>
      <c r="E51" s="50">
        <v>-2357</v>
      </c>
      <c r="F51" s="50">
        <v>-1549</v>
      </c>
      <c r="G51" s="49">
        <v>-853</v>
      </c>
      <c r="H51" s="50">
        <v>-7742</v>
      </c>
      <c r="I51" s="50">
        <v>-5837</v>
      </c>
      <c r="J51" s="50">
        <v>-3749</v>
      </c>
      <c r="K51" s="51">
        <v>-3723</v>
      </c>
    </row>
    <row r="52" spans="1:11" x14ac:dyDescent="0.35">
      <c r="A52" s="48"/>
      <c r="B52" s="49"/>
      <c r="C52" s="49"/>
      <c r="D52" s="49"/>
      <c r="E52" s="49"/>
      <c r="F52" s="49"/>
      <c r="G52" s="49"/>
      <c r="H52" s="49"/>
      <c r="I52" s="49"/>
      <c r="J52" s="49"/>
      <c r="K52" s="53"/>
    </row>
    <row r="53" spans="1:11" x14ac:dyDescent="0.35">
      <c r="A53" s="40" t="s">
        <v>393</v>
      </c>
      <c r="B53" s="42">
        <v>-30</v>
      </c>
      <c r="C53" s="42">
        <v>62</v>
      </c>
      <c r="D53" s="42">
        <v>-23</v>
      </c>
      <c r="E53" s="42">
        <v>-38</v>
      </c>
      <c r="F53" s="42">
        <v>83</v>
      </c>
      <c r="G53" s="42">
        <v>-106</v>
      </c>
      <c r="H53" s="42">
        <v>-61</v>
      </c>
      <c r="I53" s="42">
        <v>8</v>
      </c>
      <c r="J53" s="42">
        <v>-180</v>
      </c>
      <c r="K53" s="57">
        <v>56</v>
      </c>
    </row>
    <row r="54" spans="1:11" x14ac:dyDescent="0.35">
      <c r="A54" s="48"/>
      <c r="B54" s="49"/>
      <c r="C54" s="49"/>
      <c r="D54" s="49"/>
      <c r="E54" s="49"/>
      <c r="F54" s="49"/>
      <c r="G54" s="49"/>
      <c r="H54" s="49"/>
      <c r="I54" s="49"/>
      <c r="J54" s="49"/>
      <c r="K54" s="53"/>
    </row>
    <row r="55" spans="1:11" x14ac:dyDescent="0.35">
      <c r="A55" s="48" t="s">
        <v>395</v>
      </c>
      <c r="B55" s="49">
        <v>-90</v>
      </c>
      <c r="C55" s="50">
        <v>7009</v>
      </c>
      <c r="D55" s="50">
        <v>-6323</v>
      </c>
      <c r="E55" s="49">
        <v>566</v>
      </c>
      <c r="F55" s="49">
        <v>570</v>
      </c>
      <c r="G55" s="50">
        <v>1783</v>
      </c>
      <c r="H55" s="49">
        <v>25</v>
      </c>
      <c r="I55" s="49">
        <v>389</v>
      </c>
      <c r="J55" s="50">
        <v>1097</v>
      </c>
      <c r="K55" s="53">
        <v>808</v>
      </c>
    </row>
    <row r="56" spans="1:11" x14ac:dyDescent="0.35">
      <c r="A56" s="48"/>
      <c r="B56" s="49"/>
      <c r="C56" s="49"/>
      <c r="D56" s="49"/>
      <c r="E56" s="49"/>
      <c r="F56" s="49"/>
      <c r="G56" s="49"/>
      <c r="H56" s="49"/>
      <c r="I56" s="49"/>
      <c r="J56" s="49"/>
      <c r="K56" s="53"/>
    </row>
    <row r="57" spans="1:11" x14ac:dyDescent="0.35">
      <c r="A57" s="48" t="s">
        <v>397</v>
      </c>
      <c r="B57" s="49">
        <v>527</v>
      </c>
      <c r="C57" s="49">
        <v>274</v>
      </c>
      <c r="D57" s="49">
        <v>389</v>
      </c>
      <c r="E57" s="49">
        <v>562</v>
      </c>
      <c r="F57" s="49">
        <v>641</v>
      </c>
      <c r="G57" s="49">
        <v>643</v>
      </c>
      <c r="H57" s="50">
        <v>1027</v>
      </c>
      <c r="I57" s="50">
        <v>1440</v>
      </c>
      <c r="J57" s="50">
        <v>1113</v>
      </c>
      <c r="K57" s="53"/>
    </row>
    <row r="58" spans="1:11" x14ac:dyDescent="0.35">
      <c r="A58" s="48" t="s">
        <v>399</v>
      </c>
      <c r="B58" s="49">
        <v>343</v>
      </c>
      <c r="C58" s="49">
        <v>357</v>
      </c>
      <c r="D58" s="49">
        <v>740</v>
      </c>
      <c r="E58" s="49">
        <v>708</v>
      </c>
      <c r="F58" s="49">
        <v>673</v>
      </c>
      <c r="G58" s="49">
        <v>664</v>
      </c>
      <c r="H58" s="50">
        <v>1539</v>
      </c>
      <c r="I58" s="50">
        <v>2237</v>
      </c>
      <c r="J58" s="50">
        <v>1996</v>
      </c>
      <c r="K58" s="53"/>
    </row>
    <row r="59" spans="1:11" x14ac:dyDescent="0.35">
      <c r="A59" s="48"/>
      <c r="B59" s="49"/>
      <c r="C59" s="49"/>
      <c r="D59" s="49"/>
      <c r="E59" s="49"/>
      <c r="F59" s="49"/>
      <c r="G59" s="49"/>
      <c r="H59" s="49"/>
      <c r="I59" s="49"/>
      <c r="J59" s="49"/>
      <c r="K59" s="53"/>
    </row>
    <row r="60" spans="1:11" x14ac:dyDescent="0.35">
      <c r="A60" s="48" t="s">
        <v>114</v>
      </c>
      <c r="B60" s="49"/>
      <c r="C60" s="49"/>
      <c r="D60" s="49"/>
      <c r="E60" s="49"/>
      <c r="F60" s="49"/>
      <c r="G60" s="49"/>
      <c r="H60" s="49"/>
      <c r="I60" s="49"/>
      <c r="J60" s="49"/>
      <c r="K60" s="53"/>
    </row>
    <row r="61" spans="1:11" x14ac:dyDescent="0.35">
      <c r="A61" s="40" t="s">
        <v>118</v>
      </c>
      <c r="B61" s="41">
        <v>2380</v>
      </c>
      <c r="C61" s="41">
        <v>1043</v>
      </c>
      <c r="D61" s="41">
        <v>3332</v>
      </c>
      <c r="E61" s="41">
        <v>4470</v>
      </c>
      <c r="F61" s="41">
        <v>3990</v>
      </c>
      <c r="G61" s="41">
        <v>3697</v>
      </c>
      <c r="H61" s="42">
        <v>195</v>
      </c>
      <c r="I61" s="41">
        <v>6977</v>
      </c>
      <c r="J61" s="41">
        <v>-2554</v>
      </c>
      <c r="K61" s="52">
        <v>6563</v>
      </c>
    </row>
    <row r="62" spans="1:11" x14ac:dyDescent="0.35">
      <c r="A62" s="40" t="s">
        <v>401</v>
      </c>
      <c r="B62" s="42">
        <v>36.630000000000003</v>
      </c>
      <c r="C62" s="42">
        <v>15.18</v>
      </c>
      <c r="D62" s="42">
        <v>31.57</v>
      </c>
      <c r="E62" s="42">
        <v>40.11</v>
      </c>
      <c r="F62" s="42">
        <v>37.39</v>
      </c>
      <c r="G62" s="42">
        <v>30.33</v>
      </c>
      <c r="H62" s="42">
        <v>0.57999999999999996</v>
      </c>
      <c r="I62" s="42">
        <v>16.88</v>
      </c>
      <c r="J62" s="42">
        <v>-6.5</v>
      </c>
      <c r="K62" s="57">
        <v>17.329999999999998</v>
      </c>
    </row>
    <row r="63" spans="1:11" x14ac:dyDescent="0.35">
      <c r="A63" s="40" t="s">
        <v>402</v>
      </c>
      <c r="B63" s="42">
        <v>0</v>
      </c>
      <c r="C63" s="42">
        <v>60</v>
      </c>
      <c r="D63" s="41">
        <v>8565</v>
      </c>
      <c r="E63" s="42">
        <v>73</v>
      </c>
      <c r="F63" s="42">
        <v>39</v>
      </c>
      <c r="G63" s="42">
        <v>2</v>
      </c>
      <c r="H63" s="41">
        <v>-3612</v>
      </c>
      <c r="I63" s="42">
        <v>50</v>
      </c>
      <c r="J63" s="42">
        <v>0</v>
      </c>
      <c r="K63" s="57"/>
    </row>
    <row r="64" spans="1:11" x14ac:dyDescent="0.35">
      <c r="A64" s="40" t="s">
        <v>404</v>
      </c>
      <c r="B64" s="42" t="s">
        <v>61</v>
      </c>
      <c r="C64" s="42" t="s">
        <v>61</v>
      </c>
      <c r="D64" s="42" t="s">
        <v>61</v>
      </c>
      <c r="E64" s="42" t="s">
        <v>61</v>
      </c>
      <c r="F64" s="42" t="s">
        <v>61</v>
      </c>
      <c r="G64" s="42" t="s">
        <v>61</v>
      </c>
      <c r="H64" s="42" t="s">
        <v>61</v>
      </c>
      <c r="I64" s="42" t="s">
        <v>61</v>
      </c>
      <c r="J64" s="42" t="s">
        <v>61</v>
      </c>
      <c r="K64" s="57"/>
    </row>
    <row r="65" spans="1:11" x14ac:dyDescent="0.35">
      <c r="A65" s="40" t="s">
        <v>406</v>
      </c>
      <c r="B65" s="41">
        <v>1292</v>
      </c>
      <c r="C65" s="41">
        <v>1494</v>
      </c>
      <c r="D65" s="41">
        <v>2429</v>
      </c>
      <c r="E65" s="41">
        <v>3110</v>
      </c>
      <c r="F65" s="41">
        <v>2337</v>
      </c>
      <c r="G65" s="41">
        <v>2425</v>
      </c>
      <c r="H65" s="41">
        <v>3317</v>
      </c>
      <c r="I65" s="41">
        <v>6161</v>
      </c>
      <c r="J65" s="41">
        <v>4427</v>
      </c>
      <c r="K65" s="52">
        <v>4134</v>
      </c>
    </row>
    <row r="66" spans="1:11" x14ac:dyDescent="0.35">
      <c r="A66" s="40" t="s">
        <v>408</v>
      </c>
      <c r="B66" s="41">
        <v>1549.3</v>
      </c>
      <c r="C66" s="42" t="s">
        <v>61</v>
      </c>
      <c r="D66" s="41">
        <v>2917.4</v>
      </c>
      <c r="E66" s="41">
        <v>3764.1</v>
      </c>
      <c r="F66" s="41">
        <v>2845.1</v>
      </c>
      <c r="G66" s="41">
        <v>2968.8</v>
      </c>
      <c r="H66" s="42" t="s">
        <v>61</v>
      </c>
      <c r="I66" s="42" t="s">
        <v>61</v>
      </c>
      <c r="J66" s="42" t="s">
        <v>61</v>
      </c>
      <c r="K66" s="52">
        <v>-1316.3</v>
      </c>
    </row>
    <row r="67" spans="1:11" x14ac:dyDescent="0.35">
      <c r="A67" s="40" t="s">
        <v>410</v>
      </c>
      <c r="B67" s="41">
        <v>1257</v>
      </c>
      <c r="C67" s="41">
        <v>8083</v>
      </c>
      <c r="D67" s="41">
        <v>2260</v>
      </c>
      <c r="E67" s="41">
        <v>1502</v>
      </c>
      <c r="F67" s="41">
        <v>1995</v>
      </c>
      <c r="G67" s="41">
        <v>1741</v>
      </c>
      <c r="H67" s="41">
        <v>-4049</v>
      </c>
      <c r="I67" s="42">
        <v>790</v>
      </c>
      <c r="J67" s="41">
        <v>1001</v>
      </c>
      <c r="K67" s="57">
        <v>337</v>
      </c>
    </row>
    <row r="68" spans="1:11" x14ac:dyDescent="0.35">
      <c r="A68" s="40" t="s">
        <v>412</v>
      </c>
      <c r="B68" s="42">
        <v>3.22</v>
      </c>
      <c r="C68" s="42">
        <v>3.89</v>
      </c>
      <c r="D68" s="42">
        <v>4.88</v>
      </c>
      <c r="E68" s="42">
        <v>5.88</v>
      </c>
      <c r="F68" s="42">
        <v>4.63</v>
      </c>
      <c r="G68" s="42">
        <v>4.82</v>
      </c>
      <c r="H68" s="42">
        <v>1.71</v>
      </c>
      <c r="I68" s="42">
        <v>2.5299999999999998</v>
      </c>
      <c r="J68" s="42">
        <v>1.81</v>
      </c>
      <c r="K68" s="57">
        <v>1.68</v>
      </c>
    </row>
    <row r="69" spans="1:11" x14ac:dyDescent="0.35">
      <c r="A69" s="40" t="s">
        <v>414</v>
      </c>
      <c r="B69" s="42" t="s">
        <v>61</v>
      </c>
      <c r="C69" s="42" t="s">
        <v>61</v>
      </c>
      <c r="D69" s="42" t="s">
        <v>61</v>
      </c>
      <c r="E69" s="42" t="s">
        <v>61</v>
      </c>
      <c r="F69" s="42" t="s">
        <v>61</v>
      </c>
      <c r="G69" s="42" t="s">
        <v>61</v>
      </c>
      <c r="H69" s="42">
        <v>5.54</v>
      </c>
      <c r="I69" s="42">
        <v>4.5</v>
      </c>
      <c r="J69" s="42">
        <v>5.85</v>
      </c>
      <c r="K69" s="57">
        <v>17.739999999999998</v>
      </c>
    </row>
    <row r="70" spans="1:11" x14ac:dyDescent="0.35">
      <c r="A70" s="40" t="s">
        <v>416</v>
      </c>
      <c r="B70" s="42">
        <v>1.1599999999999999</v>
      </c>
      <c r="C70" s="42" t="s">
        <v>61</v>
      </c>
      <c r="D70" s="42">
        <v>4.34</v>
      </c>
      <c r="E70" s="42">
        <v>1.64</v>
      </c>
      <c r="F70" s="42">
        <v>2.25</v>
      </c>
      <c r="G70" s="42">
        <v>2.78</v>
      </c>
      <c r="H70" s="42" t="s">
        <v>61</v>
      </c>
      <c r="I70" s="42" t="s">
        <v>61</v>
      </c>
      <c r="J70" s="42" t="s">
        <v>61</v>
      </c>
      <c r="K70" s="57"/>
    </row>
    <row r="71" spans="1:11" x14ac:dyDescent="0.35">
      <c r="A71" s="43" t="s">
        <v>139</v>
      </c>
      <c r="B71" s="43" t="s">
        <v>140</v>
      </c>
      <c r="C71" s="43"/>
      <c r="D71" s="43"/>
      <c r="E71" s="43"/>
      <c r="F71" s="43"/>
      <c r="G71" s="43"/>
      <c r="H71" s="43"/>
      <c r="I71" s="43"/>
      <c r="J71" s="43"/>
      <c r="K71" s="4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52F67-EDAD-DF4F-9BE0-F2AA1B45B94A}">
  <sheetPr>
    <tabColor rgb="FFFFC000"/>
  </sheetPr>
  <dimension ref="A1:Q71"/>
  <sheetViews>
    <sheetView workbookViewId="0">
      <selection activeCell="D72" sqref="D72"/>
    </sheetView>
  </sheetViews>
  <sheetFormatPr defaultColWidth="8.88671875" defaultRowHeight="17.399999999999999" x14ac:dyDescent="0.35"/>
  <cols>
    <col min="1" max="1" width="15.33203125" style="2" bestFit="1" customWidth="1"/>
    <col min="2" max="2" width="18.44140625" style="2" bestFit="1" customWidth="1"/>
    <col min="3" max="3" width="25.44140625" style="2" bestFit="1" customWidth="1"/>
    <col min="4" max="4" width="20.44140625" style="2" bestFit="1" customWidth="1"/>
    <col min="5" max="5" width="11.44140625" style="2" bestFit="1" customWidth="1"/>
    <col min="6" max="6" width="13.6640625" style="2" bestFit="1" customWidth="1"/>
    <col min="7" max="7" width="20.6640625" style="2" bestFit="1" customWidth="1"/>
    <col min="8" max="8" width="12.109375" style="2" bestFit="1" customWidth="1"/>
    <col min="9" max="9" width="10.109375" style="2" bestFit="1" customWidth="1"/>
    <col min="10" max="10" width="9.33203125" style="2" bestFit="1" customWidth="1"/>
    <col min="11" max="11" width="26.109375" style="2" bestFit="1" customWidth="1"/>
    <col min="12" max="12" width="22.6640625" style="2" bestFit="1" customWidth="1"/>
    <col min="13" max="14" width="11.88671875" style="2" bestFit="1" customWidth="1"/>
    <col min="15" max="15" width="22.44140625" style="2" bestFit="1" customWidth="1"/>
    <col min="16" max="16" width="23" style="2" bestFit="1" customWidth="1"/>
    <col min="17" max="17" width="11.88671875" style="2" bestFit="1" customWidth="1"/>
    <col min="18" max="16384" width="8.88671875" style="2"/>
  </cols>
  <sheetData>
    <row r="1" spans="1:17" x14ac:dyDescent="0.35">
      <c r="A1" s="1" t="s">
        <v>418</v>
      </c>
      <c r="B1" s="1" t="s">
        <v>419</v>
      </c>
      <c r="C1" s="1" t="s">
        <v>420</v>
      </c>
      <c r="D1" s="1" t="s">
        <v>421</v>
      </c>
      <c r="E1" s="1" t="s">
        <v>422</v>
      </c>
      <c r="F1" s="1" t="s">
        <v>423</v>
      </c>
      <c r="G1" s="1" t="s">
        <v>424</v>
      </c>
      <c r="H1" s="1" t="s">
        <v>425</v>
      </c>
      <c r="I1" s="1" t="s">
        <v>426</v>
      </c>
      <c r="J1" s="1" t="s">
        <v>427</v>
      </c>
      <c r="K1" s="1" t="s">
        <v>428</v>
      </c>
      <c r="L1" s="1" t="s">
        <v>609</v>
      </c>
      <c r="M1" s="1" t="s">
        <v>429</v>
      </c>
      <c r="N1" s="1" t="s">
        <v>610</v>
      </c>
      <c r="O1" s="1" t="s">
        <v>611</v>
      </c>
      <c r="P1" s="1" t="s">
        <v>430</v>
      </c>
      <c r="Q1" s="1" t="s">
        <v>612</v>
      </c>
    </row>
    <row r="2" spans="1:17" x14ac:dyDescent="0.35">
      <c r="A2" s="2" t="s">
        <v>613</v>
      </c>
      <c r="B2" s="2" t="s">
        <v>614</v>
      </c>
      <c r="C2" s="2" t="s">
        <v>467</v>
      </c>
      <c r="D2" s="2" t="s">
        <v>615</v>
      </c>
      <c r="E2" s="2" t="s">
        <v>506</v>
      </c>
      <c r="F2" s="2">
        <v>20207000</v>
      </c>
      <c r="G2" s="2">
        <v>20207000</v>
      </c>
      <c r="H2" s="2">
        <v>391510.625</v>
      </c>
      <c r="I2" s="2">
        <v>3.875</v>
      </c>
      <c r="J2" s="2" t="s">
        <v>436</v>
      </c>
      <c r="K2" s="2" t="s">
        <v>437</v>
      </c>
      <c r="L2" s="2">
        <v>6.342377610009736</v>
      </c>
      <c r="M2" s="2">
        <v>99.759</v>
      </c>
      <c r="N2" s="2">
        <v>99.616</v>
      </c>
      <c r="O2" s="2">
        <v>7.847688867723325</v>
      </c>
      <c r="P2" s="2">
        <v>7.0945017812904663</v>
      </c>
      <c r="Q2" s="2">
        <v>99.6875</v>
      </c>
    </row>
    <row r="3" spans="1:17" x14ac:dyDescent="0.35">
      <c r="A3" s="2" t="s">
        <v>616</v>
      </c>
      <c r="B3" s="2" t="s">
        <v>617</v>
      </c>
      <c r="C3" s="2" t="s">
        <v>618</v>
      </c>
      <c r="D3" s="2" t="s">
        <v>619</v>
      </c>
      <c r="E3" s="2" t="s">
        <v>506</v>
      </c>
      <c r="F3" s="2">
        <v>1581000</v>
      </c>
      <c r="G3" s="2">
        <v>1581000</v>
      </c>
      <c r="H3" s="2">
        <v>54149.25</v>
      </c>
      <c r="I3" s="2">
        <v>6.85</v>
      </c>
      <c r="J3" s="2" t="s">
        <v>436</v>
      </c>
      <c r="K3" s="2" t="s">
        <v>437</v>
      </c>
      <c r="L3" s="2">
        <v>5.15342853371705</v>
      </c>
      <c r="M3" s="2">
        <v>100.146</v>
      </c>
      <c r="N3" s="2">
        <v>100.017</v>
      </c>
      <c r="O3" s="2">
        <v>6.4886389369139623</v>
      </c>
      <c r="P3" s="2">
        <v>5.8206151010397909</v>
      </c>
      <c r="Q3" s="2">
        <v>100.08150000000001</v>
      </c>
    </row>
    <row r="4" spans="1:17" x14ac:dyDescent="0.35">
      <c r="A4" s="2" t="s">
        <v>620</v>
      </c>
      <c r="B4" s="2" t="s">
        <v>621</v>
      </c>
      <c r="C4" s="2" t="s">
        <v>467</v>
      </c>
      <c r="D4" s="2" t="s">
        <v>622</v>
      </c>
      <c r="E4" s="2" t="s">
        <v>623</v>
      </c>
      <c r="F4" s="2">
        <v>101864000</v>
      </c>
      <c r="G4" s="2">
        <v>101864000</v>
      </c>
      <c r="H4" s="2">
        <v>2495668</v>
      </c>
      <c r="I4" s="2">
        <v>4.9000000000000004</v>
      </c>
      <c r="J4" s="2" t="s">
        <v>436</v>
      </c>
      <c r="K4" s="2" t="s">
        <v>437</v>
      </c>
      <c r="L4" s="2">
        <v>5.7385570439896227</v>
      </c>
      <c r="M4" s="2">
        <v>99.775999999999996</v>
      </c>
      <c r="N4" s="2">
        <v>99.634</v>
      </c>
      <c r="O4" s="2">
        <v>6.3097988280669703</v>
      </c>
      <c r="P4" s="2">
        <v>6.0239770137719972</v>
      </c>
      <c r="Q4" s="2">
        <v>99.704999999999998</v>
      </c>
    </row>
    <row r="5" spans="1:17" x14ac:dyDescent="0.35">
      <c r="A5" s="2" t="s">
        <v>624</v>
      </c>
      <c r="B5" s="2" t="s">
        <v>625</v>
      </c>
      <c r="C5" s="2" t="s">
        <v>467</v>
      </c>
      <c r="D5" s="2" t="s">
        <v>626</v>
      </c>
      <c r="E5" s="2" t="s">
        <v>627</v>
      </c>
      <c r="F5" s="2">
        <v>16195000</v>
      </c>
      <c r="G5" s="2">
        <v>16195000</v>
      </c>
      <c r="H5" s="2">
        <v>477752.5</v>
      </c>
      <c r="I5" s="2">
        <v>2.95</v>
      </c>
      <c r="J5" s="2" t="s">
        <v>436</v>
      </c>
      <c r="K5" s="2" t="s">
        <v>437</v>
      </c>
      <c r="L5" s="2">
        <v>4.9041576666204216</v>
      </c>
      <c r="M5" s="2">
        <v>98.866</v>
      </c>
      <c r="N5" s="2">
        <v>98.525999999999996</v>
      </c>
      <c r="O5" s="2">
        <v>5.4989800486289058</v>
      </c>
      <c r="P5" s="2">
        <v>5.2010976000842346</v>
      </c>
      <c r="Q5" s="2">
        <v>98.695999999999998</v>
      </c>
    </row>
    <row r="6" spans="1:17" x14ac:dyDescent="0.35">
      <c r="A6" s="2" t="s">
        <v>628</v>
      </c>
      <c r="B6" s="2" t="s">
        <v>629</v>
      </c>
      <c r="C6" s="2" t="s">
        <v>467</v>
      </c>
      <c r="D6" s="2" t="s">
        <v>630</v>
      </c>
      <c r="E6" s="2" t="s">
        <v>631</v>
      </c>
      <c r="F6" s="2">
        <v>33955000</v>
      </c>
      <c r="G6" s="2">
        <v>33955000</v>
      </c>
      <c r="H6" s="2">
        <v>1935435</v>
      </c>
      <c r="I6" s="2">
        <v>3.8</v>
      </c>
      <c r="J6" s="2" t="s">
        <v>436</v>
      </c>
      <c r="K6" s="2" t="s">
        <v>437</v>
      </c>
      <c r="L6" s="2">
        <v>5.7549568580780894</v>
      </c>
      <c r="M6" s="2">
        <v>97.798000000000002</v>
      </c>
      <c r="N6" s="2">
        <v>97.572000000000003</v>
      </c>
      <c r="O6" s="2">
        <v>5.9595482540741322</v>
      </c>
      <c r="P6" s="2">
        <v>5.8571676953622864</v>
      </c>
      <c r="Q6" s="2">
        <v>97.685000000000002</v>
      </c>
    </row>
    <row r="7" spans="1:17" x14ac:dyDescent="0.35">
      <c r="A7" s="2" t="s">
        <v>632</v>
      </c>
      <c r="B7" s="2" t="s">
        <v>633</v>
      </c>
      <c r="C7" s="2" t="s">
        <v>467</v>
      </c>
      <c r="D7" s="2" t="s">
        <v>634</v>
      </c>
      <c r="E7" s="2" t="s">
        <v>635</v>
      </c>
      <c r="F7" s="2">
        <v>154696000</v>
      </c>
      <c r="G7" s="2">
        <v>154696000</v>
      </c>
      <c r="H7" s="2">
        <v>8713252.1999999993</v>
      </c>
      <c r="I7" s="2">
        <v>3.7549999999999999</v>
      </c>
      <c r="J7" s="2" t="s">
        <v>436</v>
      </c>
      <c r="K7" s="2" t="s">
        <v>437</v>
      </c>
      <c r="L7" s="2">
        <v>5.243619682769161</v>
      </c>
      <c r="M7" s="2">
        <v>98.2</v>
      </c>
      <c r="N7" s="2">
        <v>97.763999999999996</v>
      </c>
      <c r="O7" s="2">
        <v>5.610861421056839</v>
      </c>
      <c r="P7" s="2">
        <v>5.4269530761763543</v>
      </c>
      <c r="Q7" s="2">
        <v>97.981999999999999</v>
      </c>
    </row>
    <row r="8" spans="1:17" x14ac:dyDescent="0.35">
      <c r="A8" s="2" t="s">
        <v>636</v>
      </c>
      <c r="B8" s="2" t="s">
        <v>637</v>
      </c>
      <c r="C8" s="2" t="s">
        <v>467</v>
      </c>
      <c r="D8" s="2" t="s">
        <v>634</v>
      </c>
      <c r="E8" s="2" t="s">
        <v>635</v>
      </c>
      <c r="F8" s="2">
        <v>72000</v>
      </c>
      <c r="G8" s="2">
        <v>72000</v>
      </c>
      <c r="H8" s="2">
        <v>4055.4</v>
      </c>
      <c r="I8" s="2">
        <v>3.7549999999999999</v>
      </c>
      <c r="J8" s="2" t="s">
        <v>436</v>
      </c>
      <c r="K8" s="2" t="s">
        <v>437</v>
      </c>
      <c r="L8" s="2">
        <v>5.243619682769161</v>
      </c>
      <c r="M8" s="2">
        <v>98.2</v>
      </c>
      <c r="N8" s="2">
        <v>97.763999999999996</v>
      </c>
      <c r="O8" s="2">
        <v>5.610861421056839</v>
      </c>
      <c r="P8" s="2">
        <v>5.4269530761763543</v>
      </c>
      <c r="Q8" s="2">
        <v>97.981999999999999</v>
      </c>
    </row>
    <row r="9" spans="1:17" x14ac:dyDescent="0.35">
      <c r="A9" s="2" t="s">
        <v>638</v>
      </c>
      <c r="B9" s="2" t="s">
        <v>639</v>
      </c>
      <c r="C9" s="2" t="s">
        <v>467</v>
      </c>
      <c r="D9" s="2" t="s">
        <v>634</v>
      </c>
      <c r="E9" s="2" t="s">
        <v>635</v>
      </c>
      <c r="F9" s="2">
        <v>1194766000</v>
      </c>
      <c r="G9" s="2">
        <v>1194766000</v>
      </c>
      <c r="H9" s="2">
        <v>67295194.950000003</v>
      </c>
      <c r="I9" s="2">
        <v>3.7549999999999999</v>
      </c>
      <c r="J9" s="2" t="s">
        <v>436</v>
      </c>
      <c r="K9" s="2" t="s">
        <v>437</v>
      </c>
      <c r="L9" s="2">
        <v>4.4372457939538776</v>
      </c>
      <c r="M9" s="2">
        <v>99.167000000000002</v>
      </c>
      <c r="N9" s="2">
        <v>98.971999999999994</v>
      </c>
      <c r="O9" s="2">
        <v>4.5989617799861016</v>
      </c>
      <c r="P9" s="2">
        <v>4.518047792615933</v>
      </c>
      <c r="Q9" s="2">
        <v>99.069500000000005</v>
      </c>
    </row>
    <row r="10" spans="1:17" x14ac:dyDescent="0.35">
      <c r="A10" s="2" t="s">
        <v>640</v>
      </c>
      <c r="B10" s="2" t="s">
        <v>641</v>
      </c>
      <c r="C10" s="2" t="s">
        <v>467</v>
      </c>
      <c r="D10" s="2" t="s">
        <v>634</v>
      </c>
      <c r="E10" s="2" t="s">
        <v>635</v>
      </c>
      <c r="F10" s="2">
        <v>505000</v>
      </c>
      <c r="G10" s="2">
        <v>505000</v>
      </c>
      <c r="H10" s="2">
        <v>28444.125</v>
      </c>
      <c r="I10" s="2">
        <v>3.7549999999999999</v>
      </c>
      <c r="J10" s="2" t="s">
        <v>436</v>
      </c>
      <c r="K10" s="2" t="s">
        <v>437</v>
      </c>
      <c r="L10" s="2">
        <v>4.4372457939538776</v>
      </c>
      <c r="M10" s="2">
        <v>99.167000000000002</v>
      </c>
      <c r="N10" s="2">
        <v>98.971999999999994</v>
      </c>
      <c r="O10" s="2">
        <v>4.5989617799861016</v>
      </c>
      <c r="P10" s="2">
        <v>4.518047792615933</v>
      </c>
      <c r="Q10" s="2">
        <v>99.069500000000005</v>
      </c>
    </row>
    <row r="11" spans="1:17" x14ac:dyDescent="0.35">
      <c r="A11" s="2" t="s">
        <v>642</v>
      </c>
      <c r="B11" s="2" t="s">
        <v>643</v>
      </c>
      <c r="C11" s="2" t="s">
        <v>467</v>
      </c>
      <c r="D11" s="2" t="s">
        <v>644</v>
      </c>
      <c r="E11" s="2" t="s">
        <v>645</v>
      </c>
      <c r="F11" s="2">
        <v>98099311.5</v>
      </c>
      <c r="G11" s="2">
        <v>84285000</v>
      </c>
      <c r="H11" s="2">
        <v>3727773.8369999998</v>
      </c>
      <c r="I11" s="2">
        <v>1.9</v>
      </c>
      <c r="J11" s="2" t="s">
        <v>442</v>
      </c>
      <c r="K11" s="2" t="s">
        <v>437</v>
      </c>
      <c r="L11" s="2">
        <v>3.4697508103990078</v>
      </c>
      <c r="M11" s="2">
        <f>1.17*98.082</f>
        <v>114.75593999999998</v>
      </c>
      <c r="N11" s="2">
        <v>97.078000000000003</v>
      </c>
      <c r="O11" s="2">
        <v>4.3150561115616659</v>
      </c>
      <c r="P11" s="2">
        <v>3.8904590499802318</v>
      </c>
      <c r="Q11" s="2">
        <v>97.58</v>
      </c>
    </row>
    <row r="12" spans="1:17" x14ac:dyDescent="0.35">
      <c r="A12" s="2" t="s">
        <v>646</v>
      </c>
      <c r="B12" s="2" t="s">
        <v>647</v>
      </c>
      <c r="C12" s="2" t="s">
        <v>433</v>
      </c>
      <c r="D12" s="2" t="s">
        <v>648</v>
      </c>
      <c r="E12" s="2" t="s">
        <v>649</v>
      </c>
      <c r="F12" s="2">
        <v>19412000</v>
      </c>
      <c r="G12" s="2">
        <v>19412000.000000101</v>
      </c>
      <c r="H12" s="2">
        <v>3372835</v>
      </c>
      <c r="I12" s="2">
        <v>6.95</v>
      </c>
      <c r="J12" s="2" t="s">
        <v>436</v>
      </c>
      <c r="K12" s="2" t="s">
        <v>437</v>
      </c>
      <c r="L12" s="2">
        <v>6.6871965042029711</v>
      </c>
      <c r="M12" s="2">
        <v>100.497</v>
      </c>
      <c r="N12" s="2">
        <v>99.385999999999996</v>
      </c>
      <c r="O12" s="2">
        <v>7.2663236661696677</v>
      </c>
      <c r="P12" s="2">
        <v>6.9757287391423555</v>
      </c>
      <c r="Q12" s="2">
        <v>99.941499999999991</v>
      </c>
    </row>
    <row r="13" spans="1:17" x14ac:dyDescent="0.35">
      <c r="A13" s="2" t="s">
        <v>650</v>
      </c>
      <c r="B13" s="2" t="s">
        <v>651</v>
      </c>
      <c r="C13" s="2" t="s">
        <v>467</v>
      </c>
      <c r="D13" s="2" t="s">
        <v>652</v>
      </c>
      <c r="E13" s="2" t="s">
        <v>653</v>
      </c>
      <c r="F13" s="2">
        <v>1249026000</v>
      </c>
      <c r="G13" s="2">
        <v>1249026000</v>
      </c>
      <c r="H13" s="2">
        <v>123341317.5</v>
      </c>
      <c r="I13" s="2">
        <v>3.95</v>
      </c>
      <c r="J13" s="2" t="s">
        <v>436</v>
      </c>
      <c r="K13" s="2" t="s">
        <v>437</v>
      </c>
      <c r="L13" s="2">
        <v>4.8749249143310518</v>
      </c>
      <c r="M13" s="2">
        <v>98.025000000000006</v>
      </c>
      <c r="N13" s="2">
        <v>97.730999999999995</v>
      </c>
      <c r="O13" s="2">
        <v>5.0149307392917919</v>
      </c>
      <c r="P13" s="2">
        <v>4.9448622804697244</v>
      </c>
      <c r="Q13" s="2">
        <v>97.878</v>
      </c>
    </row>
    <row r="14" spans="1:17" x14ac:dyDescent="0.35">
      <c r="A14" s="2" t="s">
        <v>654</v>
      </c>
      <c r="B14" s="2" t="s">
        <v>655</v>
      </c>
      <c r="C14" s="2" t="s">
        <v>467</v>
      </c>
      <c r="D14" s="2" t="s">
        <v>652</v>
      </c>
      <c r="E14" s="2" t="s">
        <v>653</v>
      </c>
      <c r="F14" s="2">
        <v>140339000</v>
      </c>
      <c r="G14" s="2">
        <v>140339000</v>
      </c>
      <c r="H14" s="2">
        <v>13858476.25</v>
      </c>
      <c r="I14" s="2">
        <v>3.95</v>
      </c>
      <c r="J14" s="2" t="s">
        <v>436</v>
      </c>
      <c r="K14" s="2" t="s">
        <v>437</v>
      </c>
      <c r="L14" s="2">
        <v>6.4524636333177687</v>
      </c>
      <c r="M14" s="2">
        <v>94.775000000000006</v>
      </c>
      <c r="N14" s="2">
        <v>94.29</v>
      </c>
      <c r="O14" s="2">
        <v>6.693664419020589</v>
      </c>
      <c r="P14" s="2">
        <v>6.5728710613703756</v>
      </c>
      <c r="Q14" s="2">
        <v>94.532499999999999</v>
      </c>
    </row>
    <row r="15" spans="1:17" x14ac:dyDescent="0.35">
      <c r="A15" s="2" t="s">
        <v>656</v>
      </c>
      <c r="B15" s="2" t="s">
        <v>657</v>
      </c>
      <c r="C15" s="2" t="s">
        <v>467</v>
      </c>
      <c r="D15" s="2" t="s">
        <v>658</v>
      </c>
      <c r="E15" s="2" t="s">
        <v>659</v>
      </c>
      <c r="F15" s="2">
        <v>1357989000</v>
      </c>
      <c r="G15" s="2">
        <v>1357989000</v>
      </c>
      <c r="H15" s="2">
        <v>192685059.21000001</v>
      </c>
      <c r="I15" s="2">
        <v>4.0540000000000003</v>
      </c>
      <c r="J15" s="2" t="s">
        <v>436</v>
      </c>
      <c r="K15" s="2" t="s">
        <v>437</v>
      </c>
      <c r="L15" s="2">
        <v>5.1141816262482287</v>
      </c>
      <c r="M15" s="2">
        <v>96.846000000000004</v>
      </c>
      <c r="N15" s="2">
        <v>96.56</v>
      </c>
      <c r="O15" s="2">
        <v>5.2125090050236036</v>
      </c>
      <c r="P15" s="2">
        <v>5.1633018534693953</v>
      </c>
      <c r="Q15" s="2">
        <v>96.703000000000003</v>
      </c>
    </row>
    <row r="16" spans="1:17" x14ac:dyDescent="0.35">
      <c r="A16" s="2" t="s">
        <v>660</v>
      </c>
      <c r="B16" s="2" t="s">
        <v>661</v>
      </c>
      <c r="C16" s="2" t="s">
        <v>467</v>
      </c>
      <c r="D16" s="2" t="s">
        <v>658</v>
      </c>
      <c r="E16" s="2" t="s">
        <v>659</v>
      </c>
      <c r="F16" s="2">
        <v>134476000</v>
      </c>
      <c r="G16" s="2">
        <v>134476000</v>
      </c>
      <c r="H16" s="2">
        <v>19080799.640000001</v>
      </c>
      <c r="I16" s="2">
        <v>4.0540000000000003</v>
      </c>
      <c r="J16" s="2" t="s">
        <v>436</v>
      </c>
      <c r="K16" s="2" t="s">
        <v>437</v>
      </c>
      <c r="L16" s="2">
        <v>6.1825300198536777</v>
      </c>
      <c r="M16" s="2">
        <v>93.792000000000002</v>
      </c>
      <c r="N16" s="2">
        <v>92.974999999999994</v>
      </c>
      <c r="O16" s="2">
        <v>6.4754026882138778</v>
      </c>
      <c r="P16" s="2">
        <v>6.32858308676051</v>
      </c>
      <c r="Q16" s="2">
        <v>93.383499999999998</v>
      </c>
    </row>
    <row r="17" spans="1:17" x14ac:dyDescent="0.35">
      <c r="A17" s="2" t="s">
        <v>662</v>
      </c>
      <c r="B17" s="2" t="s">
        <v>663</v>
      </c>
      <c r="C17" s="2" t="s">
        <v>467</v>
      </c>
      <c r="D17" s="2" t="s">
        <v>658</v>
      </c>
      <c r="E17" s="2" t="s">
        <v>659</v>
      </c>
      <c r="F17" s="2">
        <v>905000</v>
      </c>
      <c r="G17" s="2">
        <v>905000</v>
      </c>
      <c r="H17" s="2">
        <v>128410.45</v>
      </c>
      <c r="I17" s="2">
        <v>4.0540000000000003</v>
      </c>
      <c r="J17" s="2" t="s">
        <v>436</v>
      </c>
      <c r="K17" s="2" t="s">
        <v>437</v>
      </c>
      <c r="L17" s="2">
        <v>6.1825300198536777</v>
      </c>
      <c r="M17" s="2">
        <v>93.792000000000002</v>
      </c>
      <c r="N17" s="2">
        <v>92.974999999999994</v>
      </c>
      <c r="O17" s="2">
        <v>6.4754026882138778</v>
      </c>
      <c r="P17" s="2">
        <v>6.32858308676051</v>
      </c>
      <c r="Q17" s="2">
        <v>93.383499999999998</v>
      </c>
    </row>
    <row r="18" spans="1:17" x14ac:dyDescent="0.35">
      <c r="A18" s="2" t="s">
        <v>664</v>
      </c>
      <c r="B18" s="2" t="s">
        <v>665</v>
      </c>
      <c r="C18" s="2" t="s">
        <v>467</v>
      </c>
      <c r="D18" s="2" t="s">
        <v>658</v>
      </c>
      <c r="E18" s="2" t="s">
        <v>659</v>
      </c>
      <c r="F18" s="2">
        <v>6630000</v>
      </c>
      <c r="G18" s="2">
        <v>6630000</v>
      </c>
      <c r="H18" s="2">
        <v>940730.7</v>
      </c>
      <c r="I18" s="2">
        <v>4.0540000000000003</v>
      </c>
      <c r="J18" s="2" t="s">
        <v>436</v>
      </c>
      <c r="K18" s="2" t="s">
        <v>437</v>
      </c>
      <c r="L18" s="2">
        <v>5.1141816262482287</v>
      </c>
      <c r="M18" s="2">
        <v>96.846000000000004</v>
      </c>
      <c r="N18" s="2">
        <v>96.56</v>
      </c>
      <c r="O18" s="2">
        <v>5.2125090050236036</v>
      </c>
      <c r="P18" s="2">
        <v>5.1633018534693953</v>
      </c>
      <c r="Q18" s="2">
        <v>96.703000000000003</v>
      </c>
    </row>
    <row r="19" spans="1:17" x14ac:dyDescent="0.35">
      <c r="A19" s="2" t="s">
        <v>666</v>
      </c>
      <c r="B19" s="2" t="s">
        <v>667</v>
      </c>
      <c r="C19" s="2" t="s">
        <v>433</v>
      </c>
      <c r="D19" s="2" t="s">
        <v>668</v>
      </c>
      <c r="E19" s="2" t="s">
        <v>454</v>
      </c>
      <c r="F19" s="2">
        <v>24356000</v>
      </c>
      <c r="G19" s="2">
        <v>24356000</v>
      </c>
      <c r="H19" s="2">
        <v>5647547.5</v>
      </c>
      <c r="I19" s="2">
        <v>6.625</v>
      </c>
      <c r="J19" s="2" t="s">
        <v>436</v>
      </c>
      <c r="K19" s="2" t="s">
        <v>437</v>
      </c>
      <c r="L19" s="2">
        <v>6.5947019135199421</v>
      </c>
      <c r="M19" s="2">
        <v>100.08499999999999</v>
      </c>
      <c r="N19" s="2">
        <v>99.231999999999999</v>
      </c>
      <c r="O19" s="2">
        <v>6.8780223526468305</v>
      </c>
      <c r="P19" s="2">
        <v>6.7359931076117752</v>
      </c>
      <c r="Q19" s="2">
        <v>99.658500000000004</v>
      </c>
    </row>
    <row r="20" spans="1:17" x14ac:dyDescent="0.35">
      <c r="A20" s="2" t="s">
        <v>669</v>
      </c>
      <c r="B20" s="2" t="s">
        <v>670</v>
      </c>
      <c r="C20" s="2" t="s">
        <v>467</v>
      </c>
      <c r="D20" s="2" t="s">
        <v>671</v>
      </c>
      <c r="E20" s="2" t="s">
        <v>454</v>
      </c>
      <c r="F20" s="2">
        <v>662268000</v>
      </c>
      <c r="G20" s="2">
        <v>662268000</v>
      </c>
      <c r="H20" s="2">
        <v>95614942.5</v>
      </c>
      <c r="I20" s="2">
        <v>4.125</v>
      </c>
      <c r="J20" s="2" t="s">
        <v>436</v>
      </c>
      <c r="K20" s="2" t="s">
        <v>437</v>
      </c>
      <c r="L20" s="2">
        <v>5.3226140634499775</v>
      </c>
      <c r="M20" s="2">
        <v>96.289000000000001</v>
      </c>
      <c r="N20" s="2">
        <v>96.090999999999994</v>
      </c>
      <c r="O20" s="2">
        <v>5.3880973871552769</v>
      </c>
      <c r="P20" s="2">
        <v>5.3553356411804733</v>
      </c>
      <c r="Q20" s="2">
        <v>96.19</v>
      </c>
    </row>
    <row r="21" spans="1:17" x14ac:dyDescent="0.35">
      <c r="A21" s="2" t="s">
        <v>672</v>
      </c>
      <c r="B21" s="2" t="s">
        <v>673</v>
      </c>
      <c r="C21" s="2" t="s">
        <v>467</v>
      </c>
      <c r="D21" s="2" t="s">
        <v>671</v>
      </c>
      <c r="E21" s="2" t="s">
        <v>454</v>
      </c>
      <c r="F21" s="2">
        <v>87732000</v>
      </c>
      <c r="G21" s="2">
        <v>87732000</v>
      </c>
      <c r="H21" s="2">
        <v>12666307.5</v>
      </c>
      <c r="I21" s="2">
        <v>4.125</v>
      </c>
      <c r="J21" s="2" t="s">
        <v>436</v>
      </c>
      <c r="K21" s="2" t="s">
        <v>437</v>
      </c>
      <c r="L21" s="2">
        <v>6.3423544436157568</v>
      </c>
      <c r="M21" s="2">
        <v>93.26</v>
      </c>
      <c r="N21" s="2">
        <v>92.885000000000005</v>
      </c>
      <c r="O21" s="2">
        <v>6.4713457986327567</v>
      </c>
      <c r="P21" s="2">
        <v>6.4067726147605164</v>
      </c>
      <c r="Q21" s="2">
        <v>93.072500000000005</v>
      </c>
    </row>
    <row r="22" spans="1:17" x14ac:dyDescent="0.35">
      <c r="A22" s="2" t="s">
        <v>674</v>
      </c>
      <c r="B22" s="2" t="s">
        <v>675</v>
      </c>
      <c r="C22" s="2" t="s">
        <v>467</v>
      </c>
      <c r="D22" s="2" t="s">
        <v>676</v>
      </c>
      <c r="E22" s="2" t="s">
        <v>677</v>
      </c>
      <c r="F22" s="2">
        <v>284885475.19999999</v>
      </c>
      <c r="G22" s="2">
        <f>1.17*244768000</f>
        <v>286378560</v>
      </c>
      <c r="H22" s="2">
        <v>61278865.715520002</v>
      </c>
      <c r="I22" s="2">
        <v>4.3019999999999996</v>
      </c>
      <c r="J22" s="2" t="s">
        <v>442</v>
      </c>
      <c r="K22" s="2" t="s">
        <v>437</v>
      </c>
      <c r="L22" s="2">
        <v>4.5933472240553055</v>
      </c>
      <c r="M22" s="2">
        <f>1.17*98.925</f>
        <v>115.74224999999998</v>
      </c>
      <c r="N22" s="2">
        <v>97.903999999999996</v>
      </c>
      <c r="O22" s="2">
        <v>4.876000386739209</v>
      </c>
      <c r="P22" s="2">
        <v>4.7341985094212502</v>
      </c>
      <c r="Q22" s="2">
        <v>98.414500000000004</v>
      </c>
    </row>
    <row r="23" spans="1:17" x14ac:dyDescent="0.35">
      <c r="A23" s="2" t="s">
        <v>678</v>
      </c>
      <c r="B23" s="2" t="s">
        <v>679</v>
      </c>
      <c r="C23" s="2" t="s">
        <v>467</v>
      </c>
      <c r="D23" s="2" t="s">
        <v>676</v>
      </c>
      <c r="E23" s="2" t="s">
        <v>677</v>
      </c>
      <c r="F23" s="2">
        <v>65538045.100000001</v>
      </c>
      <c r="G23" s="2">
        <f>1.17*56309000</f>
        <v>65881529.999999993</v>
      </c>
      <c r="H23" s="2">
        <v>14097233.501010001</v>
      </c>
      <c r="I23" s="2">
        <v>4.3019999999999996</v>
      </c>
      <c r="J23" s="2" t="s">
        <v>442</v>
      </c>
      <c r="K23" s="2" t="s">
        <v>437</v>
      </c>
      <c r="L23" s="2">
        <v>5.2553743950682108</v>
      </c>
      <c r="M23" s="2">
        <f>1.17*96.555</f>
        <v>112.96935000000001</v>
      </c>
      <c r="N23" s="2">
        <v>94.561000000000007</v>
      </c>
      <c r="O23" s="2">
        <v>5.8289152270231028</v>
      </c>
      <c r="P23" s="2">
        <v>5.5402035285904176</v>
      </c>
      <c r="Q23" s="2">
        <v>95.558000000000007</v>
      </c>
    </row>
    <row r="24" spans="1:17" x14ac:dyDescent="0.35">
      <c r="A24" s="2" t="s">
        <v>680</v>
      </c>
      <c r="B24" s="2" t="s">
        <v>681</v>
      </c>
      <c r="C24" s="2" t="s">
        <v>467</v>
      </c>
      <c r="D24" s="2" t="s">
        <v>682</v>
      </c>
      <c r="E24" s="2" t="s">
        <v>683</v>
      </c>
      <c r="F24" s="2">
        <v>917517000</v>
      </c>
      <c r="G24" s="2">
        <v>917517000</v>
      </c>
      <c r="H24" s="2">
        <v>149669960.625</v>
      </c>
      <c r="I24" s="2">
        <v>3.625</v>
      </c>
      <c r="J24" s="2" t="s">
        <v>436</v>
      </c>
      <c r="K24" s="2" t="s">
        <v>437</v>
      </c>
      <c r="L24" s="2">
        <v>5.6595412638287241</v>
      </c>
      <c r="M24" s="2">
        <v>92.126000000000005</v>
      </c>
      <c r="N24" s="2">
        <v>91.876999999999995</v>
      </c>
      <c r="O24" s="2">
        <v>5.7271741976905224</v>
      </c>
      <c r="P24" s="2">
        <v>5.6933310106438721</v>
      </c>
      <c r="Q24" s="2">
        <v>92.001499999999993</v>
      </c>
    </row>
    <row r="25" spans="1:17" x14ac:dyDescent="0.35">
      <c r="A25" s="2" t="s">
        <v>684</v>
      </c>
      <c r="B25" s="2" t="s">
        <v>685</v>
      </c>
      <c r="C25" s="2" t="s">
        <v>467</v>
      </c>
      <c r="D25" s="2" t="s">
        <v>682</v>
      </c>
      <c r="E25" s="2" t="s">
        <v>683</v>
      </c>
      <c r="F25" s="2">
        <v>82483000</v>
      </c>
      <c r="G25" s="2">
        <v>82483000</v>
      </c>
      <c r="H25" s="2">
        <v>13455039.375</v>
      </c>
      <c r="I25" s="2">
        <v>3.625</v>
      </c>
      <c r="J25" s="2" t="s">
        <v>436</v>
      </c>
      <c r="K25" s="2" t="s">
        <v>437</v>
      </c>
      <c r="L25" s="2">
        <v>6.9830963505510955</v>
      </c>
      <c r="M25" s="2">
        <v>87.393000000000001</v>
      </c>
      <c r="N25" s="2">
        <v>86.915999999999997</v>
      </c>
      <c r="O25" s="2">
        <v>7.1211196091630384</v>
      </c>
      <c r="P25" s="2">
        <v>7.0519975085256945</v>
      </c>
      <c r="Q25" s="2">
        <v>87.154499999999999</v>
      </c>
    </row>
    <row r="26" spans="1:17" x14ac:dyDescent="0.35">
      <c r="A26" s="2" t="s">
        <v>686</v>
      </c>
      <c r="B26" s="2" t="s">
        <v>687</v>
      </c>
      <c r="C26" s="2" t="s">
        <v>433</v>
      </c>
      <c r="D26" s="2" t="s">
        <v>688</v>
      </c>
      <c r="E26" s="2" t="s">
        <v>689</v>
      </c>
      <c r="F26" s="2">
        <v>32518000</v>
      </c>
      <c r="G26" s="2">
        <v>32518000</v>
      </c>
      <c r="H26" s="2">
        <v>13637236.25</v>
      </c>
      <c r="I26" s="2">
        <v>7.625</v>
      </c>
      <c r="J26" s="2" t="s">
        <v>436</v>
      </c>
      <c r="K26" s="2" t="s">
        <v>437</v>
      </c>
      <c r="L26" s="2">
        <v>7.4674532566875547</v>
      </c>
      <c r="M26" s="2">
        <v>100.669</v>
      </c>
      <c r="N26" s="2">
        <v>99.563999999999993</v>
      </c>
      <c r="O26" s="2">
        <v>7.7225324607017507</v>
      </c>
      <c r="P26" s="2">
        <v>7.5945626635064745</v>
      </c>
      <c r="Q26" s="2">
        <v>100.1165</v>
      </c>
    </row>
    <row r="27" spans="1:17" x14ac:dyDescent="0.35">
      <c r="A27" s="2" t="s">
        <v>690</v>
      </c>
      <c r="B27" s="2" t="s">
        <v>691</v>
      </c>
      <c r="C27" s="2" t="s">
        <v>467</v>
      </c>
      <c r="D27" s="2" t="s">
        <v>692</v>
      </c>
      <c r="E27" s="2" t="s">
        <v>693</v>
      </c>
      <c r="F27" s="2">
        <v>2701606000</v>
      </c>
      <c r="G27" s="2">
        <v>2701606000</v>
      </c>
      <c r="H27" s="2">
        <v>751411184.80999994</v>
      </c>
      <c r="I27" s="2">
        <v>4.2789999999999999</v>
      </c>
      <c r="J27" s="2" t="s">
        <v>436</v>
      </c>
      <c r="K27" s="2" t="s">
        <v>437</v>
      </c>
      <c r="L27" s="2">
        <v>6.3082368767266912</v>
      </c>
      <c r="M27" s="2">
        <v>89.628</v>
      </c>
      <c r="N27" s="2">
        <v>89.391999999999996</v>
      </c>
      <c r="O27" s="2">
        <v>6.3575921962566646</v>
      </c>
      <c r="P27" s="2">
        <v>6.3328954455028228</v>
      </c>
      <c r="Q27" s="2">
        <v>89.509999999999991</v>
      </c>
    </row>
    <row r="28" spans="1:17" x14ac:dyDescent="0.35">
      <c r="A28" s="2" t="s">
        <v>694</v>
      </c>
      <c r="B28" s="2" t="s">
        <v>695</v>
      </c>
      <c r="C28" s="2" t="s">
        <v>467</v>
      </c>
      <c r="D28" s="2" t="s">
        <v>692</v>
      </c>
      <c r="E28" s="2" t="s">
        <v>693</v>
      </c>
      <c r="F28" s="2">
        <v>5282000</v>
      </c>
      <c r="G28" s="2">
        <v>5282000</v>
      </c>
      <c r="H28" s="2">
        <v>1469109.07</v>
      </c>
      <c r="I28" s="2">
        <v>4.2789999999999999</v>
      </c>
      <c r="J28" s="2" t="s">
        <v>436</v>
      </c>
      <c r="K28" s="2" t="s">
        <v>437</v>
      </c>
      <c r="L28" s="2">
        <v>6.9577190453203457</v>
      </c>
      <c r="M28" s="2">
        <v>86.58</v>
      </c>
      <c r="N28" s="2">
        <v>86.161000000000001</v>
      </c>
      <c r="O28" s="2">
        <v>7.0490998449154363</v>
      </c>
      <c r="P28" s="2">
        <v>7.0033442706709987</v>
      </c>
      <c r="Q28" s="2">
        <v>86.370499999999993</v>
      </c>
    </row>
    <row r="29" spans="1:17" x14ac:dyDescent="0.35">
      <c r="A29" s="2" t="s">
        <v>696</v>
      </c>
      <c r="B29" s="2" t="s">
        <v>697</v>
      </c>
      <c r="C29" s="2" t="s">
        <v>467</v>
      </c>
      <c r="D29" s="2" t="s">
        <v>692</v>
      </c>
      <c r="E29" s="2" t="s">
        <v>693</v>
      </c>
      <c r="F29" s="2">
        <v>623000</v>
      </c>
      <c r="G29" s="2">
        <v>623000</v>
      </c>
      <c r="H29" s="2">
        <v>173278.10500000001</v>
      </c>
      <c r="I29" s="2">
        <v>4.2789999999999999</v>
      </c>
      <c r="J29" s="2" t="s">
        <v>436</v>
      </c>
      <c r="K29" s="2" t="s">
        <v>437</v>
      </c>
      <c r="L29" s="2">
        <v>6.3082368767266912</v>
      </c>
      <c r="M29" s="2">
        <v>89.628</v>
      </c>
      <c r="N29" s="2">
        <v>89.391999999999996</v>
      </c>
      <c r="O29" s="2">
        <v>6.3575921962566646</v>
      </c>
      <c r="P29" s="2">
        <v>6.3328954455028228</v>
      </c>
      <c r="Q29" s="2">
        <v>89.509999999999991</v>
      </c>
    </row>
    <row r="30" spans="1:17" x14ac:dyDescent="0.35">
      <c r="A30" s="2" t="s">
        <v>698</v>
      </c>
      <c r="B30" s="2" t="s">
        <v>699</v>
      </c>
      <c r="C30" s="2" t="s">
        <v>467</v>
      </c>
      <c r="D30" s="2" t="s">
        <v>692</v>
      </c>
      <c r="E30" s="2" t="s">
        <v>693</v>
      </c>
      <c r="F30" s="2">
        <v>304641000</v>
      </c>
      <c r="G30" s="2">
        <v>304641000</v>
      </c>
      <c r="H30" s="2">
        <v>84731324.534999996</v>
      </c>
      <c r="I30" s="2">
        <v>4.2789999999999999</v>
      </c>
      <c r="J30" s="2" t="s">
        <v>436</v>
      </c>
      <c r="K30" s="2" t="s">
        <v>437</v>
      </c>
      <c r="L30" s="2">
        <v>6.9577190453203457</v>
      </c>
      <c r="M30" s="2">
        <v>86.58</v>
      </c>
      <c r="N30" s="2">
        <v>86.161000000000001</v>
      </c>
      <c r="O30" s="2">
        <v>7.0490998449154363</v>
      </c>
      <c r="P30" s="2">
        <v>7.0033442706709987</v>
      </c>
      <c r="Q30" s="2">
        <v>86.370499999999993</v>
      </c>
    </row>
    <row r="31" spans="1:17" x14ac:dyDescent="0.35">
      <c r="A31" s="2" t="s">
        <v>700</v>
      </c>
      <c r="B31" s="2" t="s">
        <v>701</v>
      </c>
      <c r="C31" s="2" t="s">
        <v>433</v>
      </c>
      <c r="D31" s="2" t="s">
        <v>702</v>
      </c>
      <c r="E31" s="2" t="s">
        <v>703</v>
      </c>
      <c r="F31" s="2">
        <v>39042000</v>
      </c>
      <c r="G31" s="2">
        <v>39042000</v>
      </c>
      <c r="H31" s="2">
        <v>19540521</v>
      </c>
      <c r="I31" s="2">
        <v>7.7</v>
      </c>
      <c r="J31" s="2" t="s">
        <v>436</v>
      </c>
      <c r="K31" s="2" t="s">
        <v>437</v>
      </c>
      <c r="L31" s="2">
        <v>7.5173762054851929</v>
      </c>
      <c r="M31" s="2">
        <v>100.901</v>
      </c>
      <c r="N31" s="2">
        <v>100.426</v>
      </c>
      <c r="O31" s="2">
        <v>7.6120781562426014</v>
      </c>
      <c r="P31" s="2">
        <v>7.5646582634687176</v>
      </c>
      <c r="Q31" s="2">
        <v>100.6635</v>
      </c>
    </row>
    <row r="32" spans="1:17" x14ac:dyDescent="0.35">
      <c r="A32" s="2" t="s">
        <v>704</v>
      </c>
      <c r="B32" s="2" t="s">
        <v>705</v>
      </c>
      <c r="C32" s="2" t="s">
        <v>467</v>
      </c>
      <c r="D32" s="2" t="s">
        <v>706</v>
      </c>
      <c r="E32" s="2" t="s">
        <v>707</v>
      </c>
      <c r="F32" s="2">
        <v>383726191</v>
      </c>
      <c r="G32" s="2">
        <f>1.17*329690000</f>
        <v>385737300</v>
      </c>
      <c r="H32" s="2">
        <v>144066161.14904001</v>
      </c>
      <c r="I32" s="2">
        <v>4.6929999999999996</v>
      </c>
      <c r="J32" s="2" t="s">
        <v>442</v>
      </c>
      <c r="K32" s="2" t="s">
        <v>437</v>
      </c>
      <c r="L32" s="2">
        <v>5.4298694159536609</v>
      </c>
      <c r="M32" s="2">
        <f>1.17*95.562</f>
        <v>111.80753999999999</v>
      </c>
      <c r="N32" s="2">
        <v>94.284999999999997</v>
      </c>
      <c r="O32" s="2">
        <v>5.6511005423615819</v>
      </c>
      <c r="P32" s="2">
        <v>5.5400214784800319</v>
      </c>
      <c r="Q32" s="2">
        <v>94.92349999999999</v>
      </c>
    </row>
    <row r="33" spans="1:17" x14ac:dyDescent="0.35">
      <c r="A33" s="2" t="s">
        <v>708</v>
      </c>
      <c r="B33" s="2" t="s">
        <v>709</v>
      </c>
      <c r="C33" s="2" t="s">
        <v>467</v>
      </c>
      <c r="D33" s="2" t="s">
        <v>706</v>
      </c>
      <c r="E33" s="2" t="s">
        <v>707</v>
      </c>
      <c r="F33" s="2">
        <v>76675404.200000003</v>
      </c>
      <c r="G33" s="2">
        <f>1.17*65878000</f>
        <v>77077260</v>
      </c>
      <c r="H33" s="2">
        <v>28787013.752847999</v>
      </c>
      <c r="I33" s="2">
        <v>4.6929999999999996</v>
      </c>
      <c r="J33" s="2" t="s">
        <v>442</v>
      </c>
      <c r="K33" s="2" t="s">
        <v>437</v>
      </c>
      <c r="L33" s="2">
        <v>6.1428219331751928</v>
      </c>
      <c r="M33" s="2">
        <f>1.17*91.522</f>
        <v>107.08074000000001</v>
      </c>
      <c r="N33" s="2">
        <v>89.091999999999999</v>
      </c>
      <c r="O33" s="2">
        <v>6.5908523587887347</v>
      </c>
      <c r="P33" s="2">
        <v>6.3649538083109443</v>
      </c>
      <c r="Q33" s="2">
        <v>90.307000000000002</v>
      </c>
    </row>
    <row r="34" spans="1:17" x14ac:dyDescent="0.35">
      <c r="A34" s="2" t="s">
        <v>710</v>
      </c>
      <c r="B34" s="2" t="s">
        <v>711</v>
      </c>
      <c r="C34" s="2" t="s">
        <v>433</v>
      </c>
      <c r="D34" s="2" t="s">
        <v>712</v>
      </c>
      <c r="E34" s="2" t="s">
        <v>713</v>
      </c>
      <c r="F34" s="2">
        <v>6562000</v>
      </c>
      <c r="G34" s="2">
        <v>6562000</v>
      </c>
      <c r="H34" s="2">
        <v>5718783</v>
      </c>
      <c r="I34" s="2">
        <v>8.3000000000000025</v>
      </c>
      <c r="J34" s="2" t="s">
        <v>436</v>
      </c>
      <c r="K34" s="2" t="s">
        <v>437</v>
      </c>
      <c r="L34" s="2">
        <v>5.2924003595032252</v>
      </c>
      <c r="M34" s="2">
        <v>123.28</v>
      </c>
      <c r="N34" s="2">
        <v>122.339</v>
      </c>
      <c r="O34" s="2">
        <v>5.3992889601790157</v>
      </c>
      <c r="P34" s="2">
        <v>5.3457141746425982</v>
      </c>
      <c r="Q34" s="2">
        <v>122.8095</v>
      </c>
    </row>
    <row r="35" spans="1:17" x14ac:dyDescent="0.35">
      <c r="A35" s="2" t="s">
        <v>714</v>
      </c>
      <c r="B35" s="2" t="s">
        <v>715</v>
      </c>
      <c r="C35" s="2" t="s">
        <v>433</v>
      </c>
      <c r="D35" s="2" t="s">
        <v>716</v>
      </c>
      <c r="E35" s="2" t="s">
        <v>717</v>
      </c>
      <c r="F35" s="2">
        <v>5823000</v>
      </c>
      <c r="G35" s="2">
        <v>5823000</v>
      </c>
      <c r="H35" s="2">
        <v>4163445</v>
      </c>
      <c r="I35" s="2">
        <v>6.5</v>
      </c>
      <c r="J35" s="2" t="s">
        <v>436</v>
      </c>
      <c r="K35" s="2" t="s">
        <v>437</v>
      </c>
      <c r="L35" s="2">
        <v>7.3844819726242559</v>
      </c>
      <c r="M35" s="2">
        <v>93.438000000000002</v>
      </c>
      <c r="N35" s="2">
        <v>92.137</v>
      </c>
      <c r="O35" s="2">
        <v>7.5694923050857881</v>
      </c>
      <c r="P35" s="2">
        <v>7.4765701406574179</v>
      </c>
      <c r="Q35" s="2">
        <v>92.787499999999994</v>
      </c>
    </row>
    <row r="36" spans="1:17" x14ac:dyDescent="0.35">
      <c r="A36" s="2" t="s">
        <v>718</v>
      </c>
      <c r="B36" s="2" t="s">
        <v>719</v>
      </c>
      <c r="C36" s="2" t="s">
        <v>467</v>
      </c>
      <c r="D36" s="2" t="s">
        <v>720</v>
      </c>
      <c r="E36" s="2" t="s">
        <v>721</v>
      </c>
      <c r="F36" s="2">
        <v>93270000</v>
      </c>
      <c r="G36" s="2">
        <v>93270000</v>
      </c>
      <c r="H36" s="2">
        <v>55962000</v>
      </c>
      <c r="I36" s="2">
        <v>5</v>
      </c>
      <c r="J36" s="2" t="s">
        <v>436</v>
      </c>
      <c r="K36" s="2" t="s">
        <v>437</v>
      </c>
      <c r="L36" s="2">
        <v>8.18863324097161</v>
      </c>
      <c r="M36" s="2">
        <v>76.183000000000007</v>
      </c>
      <c r="N36" s="2">
        <v>75.611000000000004</v>
      </c>
      <c r="O36" s="2">
        <v>8.2802725622290225</v>
      </c>
      <c r="P36" s="2">
        <v>8.2343425692631591</v>
      </c>
      <c r="Q36" s="2">
        <v>75.897000000000006</v>
      </c>
    </row>
    <row r="37" spans="1:17" x14ac:dyDescent="0.35">
      <c r="A37" s="2" t="s">
        <v>722</v>
      </c>
      <c r="B37" s="2" t="s">
        <v>723</v>
      </c>
      <c r="C37" s="2" t="s">
        <v>467</v>
      </c>
      <c r="D37" s="2" t="s">
        <v>720</v>
      </c>
      <c r="E37" s="2" t="s">
        <v>721</v>
      </c>
      <c r="F37" s="2">
        <v>454862000</v>
      </c>
      <c r="G37" s="2">
        <v>454862000</v>
      </c>
      <c r="H37" s="2">
        <v>272917200</v>
      </c>
      <c r="I37" s="2">
        <v>5</v>
      </c>
      <c r="J37" s="2" t="s">
        <v>436</v>
      </c>
      <c r="K37" s="2" t="s">
        <v>437</v>
      </c>
      <c r="L37" s="2">
        <v>7.415679889680451</v>
      </c>
      <c r="M37" s="2">
        <v>81.233999999999995</v>
      </c>
      <c r="N37" s="2">
        <v>80.745999999999995</v>
      </c>
      <c r="O37" s="2">
        <v>7.4876619463859884</v>
      </c>
      <c r="P37" s="2">
        <v>7.4516022716192003</v>
      </c>
      <c r="Q37" s="2">
        <v>80.989999999999995</v>
      </c>
    </row>
    <row r="38" spans="1:17" x14ac:dyDescent="0.35">
      <c r="A38" s="2" t="s">
        <v>724</v>
      </c>
      <c r="B38" s="2" t="s">
        <v>725</v>
      </c>
      <c r="C38" s="2" t="s">
        <v>433</v>
      </c>
      <c r="D38" s="2" t="s">
        <v>726</v>
      </c>
      <c r="E38" s="2" t="s">
        <v>727</v>
      </c>
      <c r="F38" s="2">
        <v>2137000</v>
      </c>
      <c r="G38" s="2">
        <v>2137000</v>
      </c>
      <c r="H38" s="2">
        <v>1921163</v>
      </c>
      <c r="I38" s="2">
        <v>6.2</v>
      </c>
      <c r="J38" s="2" t="s">
        <v>436</v>
      </c>
      <c r="K38" s="2" t="s">
        <v>437</v>
      </c>
      <c r="L38" s="2">
        <v>7.8752115819184114</v>
      </c>
      <c r="M38" s="2">
        <v>85.783000000000001</v>
      </c>
      <c r="N38" s="2">
        <v>84.739000000000004</v>
      </c>
      <c r="O38" s="2">
        <v>8.0128827973837904</v>
      </c>
      <c r="P38" s="2">
        <v>7.9437620969443969</v>
      </c>
      <c r="Q38" s="2">
        <v>85.260999999999996</v>
      </c>
    </row>
    <row r="39" spans="1:17" x14ac:dyDescent="0.35">
      <c r="A39" s="2" t="s">
        <v>728</v>
      </c>
      <c r="B39" s="2" t="s">
        <v>729</v>
      </c>
      <c r="C39" s="2" t="s">
        <v>433</v>
      </c>
      <c r="D39" s="2" t="s">
        <v>730</v>
      </c>
      <c r="E39" s="2" t="s">
        <v>731</v>
      </c>
      <c r="F39" s="2">
        <v>443529000</v>
      </c>
      <c r="G39" s="2">
        <v>443529000</v>
      </c>
      <c r="H39" s="2">
        <v>408379326.75</v>
      </c>
      <c r="I39" s="2">
        <v>6.35</v>
      </c>
      <c r="J39" s="2" t="s">
        <v>436</v>
      </c>
      <c r="K39" s="2" t="s">
        <v>437</v>
      </c>
      <c r="L39" s="2">
        <v>8.2066649408215397</v>
      </c>
      <c r="M39" s="2">
        <v>84.436999999999998</v>
      </c>
      <c r="N39" s="2">
        <v>83.852999999999994</v>
      </c>
      <c r="O39" s="2">
        <v>8.2852488036913883</v>
      </c>
      <c r="P39" s="2">
        <v>8.2458635761360561</v>
      </c>
      <c r="Q39" s="2">
        <v>84.144999999999996</v>
      </c>
    </row>
    <row r="40" spans="1:17" x14ac:dyDescent="0.35">
      <c r="A40" s="2" t="s">
        <v>732</v>
      </c>
      <c r="B40" s="2" t="s">
        <v>733</v>
      </c>
      <c r="C40" s="2" t="s">
        <v>433</v>
      </c>
      <c r="D40" s="2" t="s">
        <v>730</v>
      </c>
      <c r="E40" s="2" t="s">
        <v>731</v>
      </c>
      <c r="F40" s="2">
        <v>220946000</v>
      </c>
      <c r="G40" s="2">
        <v>220946000</v>
      </c>
      <c r="H40" s="2">
        <v>203436029.5</v>
      </c>
      <c r="I40" s="2">
        <v>6.35</v>
      </c>
      <c r="J40" s="2" t="s">
        <v>436</v>
      </c>
      <c r="K40" s="2" t="s">
        <v>437</v>
      </c>
      <c r="L40" s="2">
        <v>8.2787616343872266</v>
      </c>
      <c r="M40" s="2">
        <v>83.900999999999996</v>
      </c>
      <c r="N40" s="2">
        <v>82.71</v>
      </c>
      <c r="O40" s="2">
        <v>8.4412444126080324</v>
      </c>
      <c r="P40" s="2">
        <v>8.3596048663092493</v>
      </c>
      <c r="Q40" s="2">
        <v>83.305499999999995</v>
      </c>
    </row>
    <row r="41" spans="1:17" x14ac:dyDescent="0.35">
      <c r="A41" s="2" t="s">
        <v>734</v>
      </c>
      <c r="B41" s="2" t="s">
        <v>735</v>
      </c>
      <c r="C41" s="2" t="s">
        <v>433</v>
      </c>
      <c r="D41" s="2" t="s">
        <v>736</v>
      </c>
      <c r="E41" s="2" t="s">
        <v>737</v>
      </c>
      <c r="F41" s="2">
        <v>6866000</v>
      </c>
      <c r="G41" s="2">
        <v>6866000</v>
      </c>
      <c r="H41" s="2">
        <v>6282390</v>
      </c>
      <c r="I41" s="2">
        <v>6.1</v>
      </c>
      <c r="J41" s="2" t="s">
        <v>436</v>
      </c>
      <c r="K41" s="2" t="s">
        <v>437</v>
      </c>
      <c r="L41" s="2">
        <v>7.609249944131224</v>
      </c>
      <c r="M41" s="2">
        <v>86.825999999999993</v>
      </c>
      <c r="N41" s="2">
        <v>85.010999999999996</v>
      </c>
      <c r="O41" s="2">
        <v>7.8413670108906661</v>
      </c>
      <c r="P41" s="2">
        <v>7.7244792951540555</v>
      </c>
      <c r="Q41" s="2">
        <v>85.918499999999995</v>
      </c>
    </row>
    <row r="42" spans="1:17" x14ac:dyDescent="0.35">
      <c r="A42" s="2" t="s">
        <v>738</v>
      </c>
      <c r="B42" s="2" t="s">
        <v>739</v>
      </c>
      <c r="C42" s="2" t="s">
        <v>433</v>
      </c>
      <c r="D42" s="2" t="s">
        <v>740</v>
      </c>
      <c r="E42" s="2" t="s">
        <v>741</v>
      </c>
      <c r="F42" s="2">
        <v>1095000</v>
      </c>
      <c r="G42" s="2">
        <v>1095000</v>
      </c>
      <c r="H42" s="2">
        <v>1060781.25</v>
      </c>
      <c r="I42" s="2">
        <v>6.25</v>
      </c>
      <c r="J42" s="2" t="s">
        <v>436</v>
      </c>
      <c r="K42" s="2" t="s">
        <v>437</v>
      </c>
      <c r="L42" s="2">
        <v>8.7303468023662241</v>
      </c>
      <c r="M42" s="2">
        <v>79.259</v>
      </c>
      <c r="N42" s="2">
        <v>78.259</v>
      </c>
      <c r="O42" s="2">
        <v>8.872240391313154</v>
      </c>
      <c r="P42" s="2">
        <v>8.8009787660667005</v>
      </c>
      <c r="Q42" s="2">
        <v>78.759</v>
      </c>
    </row>
    <row r="43" spans="1:17" x14ac:dyDescent="0.35">
      <c r="A43" s="2" t="s">
        <v>742</v>
      </c>
      <c r="B43" s="2" t="s">
        <v>743</v>
      </c>
      <c r="C43" s="2" t="s">
        <v>433</v>
      </c>
      <c r="D43" s="2" t="s">
        <v>744</v>
      </c>
      <c r="E43" s="2" t="s">
        <v>745</v>
      </c>
      <c r="F43" s="2">
        <v>4271000</v>
      </c>
      <c r="G43" s="2">
        <v>4271000</v>
      </c>
      <c r="H43" s="2">
        <v>3673060</v>
      </c>
      <c r="I43" s="2">
        <v>5.375</v>
      </c>
      <c r="J43" s="2" t="s">
        <v>436</v>
      </c>
      <c r="K43" s="2" t="s">
        <v>437</v>
      </c>
      <c r="L43" s="2">
        <v>8.5161222022846648</v>
      </c>
      <c r="M43" s="2">
        <v>72.942999999999998</v>
      </c>
      <c r="N43" s="2">
        <v>70.548000000000002</v>
      </c>
      <c r="O43" s="2">
        <v>8.8697395262686101</v>
      </c>
      <c r="P43" s="2">
        <v>8.6908854016398465</v>
      </c>
      <c r="Q43" s="2">
        <v>71.745499999999993</v>
      </c>
    </row>
    <row r="44" spans="1:17" x14ac:dyDescent="0.35">
      <c r="A44" s="2" t="s">
        <v>746</v>
      </c>
      <c r="B44" s="2" t="s">
        <v>747</v>
      </c>
      <c r="C44" s="2" t="s">
        <v>467</v>
      </c>
      <c r="D44" s="2" t="s">
        <v>748</v>
      </c>
      <c r="E44" s="2" t="s">
        <v>749</v>
      </c>
      <c r="F44" s="2">
        <v>4120639000</v>
      </c>
      <c r="G44" s="2">
        <v>4120639000</v>
      </c>
      <c r="H44" s="2">
        <v>3433522446.75</v>
      </c>
      <c r="I44" s="2">
        <v>5.05</v>
      </c>
      <c r="J44" s="2" t="s">
        <v>436</v>
      </c>
      <c r="K44" s="2" t="s">
        <v>437</v>
      </c>
      <c r="L44" s="2">
        <v>7.8825727592587409</v>
      </c>
      <c r="M44" s="2">
        <v>74.275000000000006</v>
      </c>
      <c r="N44" s="2">
        <v>73.938000000000002</v>
      </c>
      <c r="O44" s="2">
        <v>7.9281547806622203</v>
      </c>
      <c r="P44" s="2">
        <v>7.9053284111759892</v>
      </c>
      <c r="Q44" s="2">
        <v>74.106500000000011</v>
      </c>
    </row>
    <row r="45" spans="1:17" x14ac:dyDescent="0.35">
      <c r="A45" s="2" t="s">
        <v>750</v>
      </c>
      <c r="B45" s="2" t="s">
        <v>751</v>
      </c>
      <c r="C45" s="2" t="s">
        <v>467</v>
      </c>
      <c r="D45" s="2" t="s">
        <v>748</v>
      </c>
      <c r="E45" s="2" t="s">
        <v>749</v>
      </c>
      <c r="F45" s="2">
        <v>1330000</v>
      </c>
      <c r="G45" s="2">
        <v>1330000</v>
      </c>
      <c r="H45" s="2">
        <v>1108222.5</v>
      </c>
      <c r="I45" s="2">
        <v>5.05</v>
      </c>
      <c r="J45" s="2" t="s">
        <v>436</v>
      </c>
      <c r="K45" s="2" t="s">
        <v>437</v>
      </c>
      <c r="L45" s="2">
        <v>7.8825727592587409</v>
      </c>
      <c r="M45" s="2">
        <v>74.275000000000006</v>
      </c>
      <c r="N45" s="2">
        <v>73.938000000000002</v>
      </c>
      <c r="O45" s="2">
        <v>7.9281547806622203</v>
      </c>
      <c r="P45" s="2">
        <v>7.9053284111759892</v>
      </c>
      <c r="Q45" s="2">
        <v>74.106500000000011</v>
      </c>
    </row>
    <row r="46" spans="1:17" x14ac:dyDescent="0.35">
      <c r="A46" s="2" t="s">
        <v>752</v>
      </c>
      <c r="B46" s="2" t="s">
        <v>753</v>
      </c>
      <c r="C46" s="2" t="s">
        <v>467</v>
      </c>
      <c r="D46" s="2" t="s">
        <v>748</v>
      </c>
      <c r="E46" s="2" t="s">
        <v>749</v>
      </c>
      <c r="F46" s="2">
        <v>179173000</v>
      </c>
      <c r="G46" s="2">
        <v>179173000</v>
      </c>
      <c r="H46" s="2">
        <v>149295902.25</v>
      </c>
      <c r="I46" s="2">
        <v>5.05</v>
      </c>
      <c r="J46" s="2" t="s">
        <v>436</v>
      </c>
      <c r="K46" s="2" t="s">
        <v>437</v>
      </c>
      <c r="L46" s="2">
        <v>8.0829539066396201</v>
      </c>
      <c r="M46" s="2">
        <v>72.808999999999997</v>
      </c>
      <c r="N46" s="2">
        <v>71.283000000000001</v>
      </c>
      <c r="O46" s="2">
        <v>8.2974923948203845</v>
      </c>
      <c r="P46" s="2">
        <v>8.1894435608584679</v>
      </c>
      <c r="Q46" s="2">
        <v>72.045999999999992</v>
      </c>
    </row>
    <row r="47" spans="1:17" x14ac:dyDescent="0.35">
      <c r="A47" s="2" t="s">
        <v>754</v>
      </c>
      <c r="B47" s="2" t="s">
        <v>755</v>
      </c>
      <c r="C47" s="2" t="s">
        <v>433</v>
      </c>
      <c r="D47" s="2" t="s">
        <v>756</v>
      </c>
      <c r="E47" s="2" t="s">
        <v>757</v>
      </c>
      <c r="F47" s="2">
        <v>130643000</v>
      </c>
      <c r="G47" s="2">
        <v>130643000</v>
      </c>
      <c r="H47" s="2">
        <v>106702670.25</v>
      </c>
      <c r="I47" s="2">
        <v>4.95</v>
      </c>
      <c r="J47" s="2" t="s">
        <v>436</v>
      </c>
      <c r="K47" s="2" t="s">
        <v>437</v>
      </c>
      <c r="L47" s="2">
        <v>8.631370473193039</v>
      </c>
      <c r="M47" s="2">
        <v>67.984999999999999</v>
      </c>
      <c r="N47" s="2">
        <v>65.227000000000004</v>
      </c>
      <c r="O47" s="2">
        <v>9.0573575009230733</v>
      </c>
      <c r="P47" s="2">
        <v>8.8412939966609674</v>
      </c>
      <c r="Q47" s="2">
        <v>66.605999999999995</v>
      </c>
    </row>
    <row r="48" spans="1:17" x14ac:dyDescent="0.35">
      <c r="A48" s="2" t="s">
        <v>758</v>
      </c>
      <c r="B48" s="2" t="s">
        <v>759</v>
      </c>
      <c r="C48" s="2" t="s">
        <v>433</v>
      </c>
      <c r="D48" s="2" t="s">
        <v>756</v>
      </c>
      <c r="E48" s="2" t="s">
        <v>757</v>
      </c>
      <c r="F48" s="2">
        <v>94865000</v>
      </c>
      <c r="G48" s="2">
        <v>94865000</v>
      </c>
      <c r="H48" s="2">
        <v>77480988.75</v>
      </c>
      <c r="I48" s="2">
        <v>4.95</v>
      </c>
      <c r="J48" s="2" t="s">
        <v>436</v>
      </c>
      <c r="K48" s="2" t="s">
        <v>437</v>
      </c>
      <c r="L48" s="2">
        <v>8.3663602298944575</v>
      </c>
      <c r="M48" s="2">
        <v>69.783000000000001</v>
      </c>
      <c r="N48" s="2">
        <v>69.338999999999999</v>
      </c>
      <c r="O48" s="2">
        <v>8.4309180871581439</v>
      </c>
      <c r="P48" s="2">
        <v>8.3985681038004536</v>
      </c>
      <c r="Q48" s="2">
        <v>69.561000000000007</v>
      </c>
    </row>
    <row r="49" spans="1:17" x14ac:dyDescent="0.35">
      <c r="A49" s="2" t="s">
        <v>760</v>
      </c>
      <c r="B49" s="2" t="s">
        <v>761</v>
      </c>
      <c r="C49" s="2" t="s">
        <v>433</v>
      </c>
      <c r="D49" s="2" t="s">
        <v>762</v>
      </c>
      <c r="E49" s="2" t="s">
        <v>763</v>
      </c>
      <c r="F49" s="2">
        <v>4466000</v>
      </c>
      <c r="G49" s="2">
        <v>4466000</v>
      </c>
      <c r="H49" s="2">
        <v>3720178</v>
      </c>
      <c r="I49" s="2">
        <v>4.9000000000000004</v>
      </c>
      <c r="J49" s="2" t="s">
        <v>436</v>
      </c>
      <c r="K49" s="2" t="s">
        <v>437</v>
      </c>
      <c r="L49" s="2">
        <v>8.6169131777203916</v>
      </c>
      <c r="M49" s="2">
        <v>67.575999999999993</v>
      </c>
      <c r="N49" s="2">
        <v>66.575999999999993</v>
      </c>
      <c r="O49" s="2">
        <v>8.7687116461177528</v>
      </c>
      <c r="P49" s="2">
        <v>8.692419568795696</v>
      </c>
      <c r="Q49" s="2">
        <v>67.075999999999993</v>
      </c>
    </row>
    <row r="50" spans="1:17" x14ac:dyDescent="0.35">
      <c r="A50" s="2" t="s">
        <v>764</v>
      </c>
      <c r="B50" s="2" t="s">
        <v>765</v>
      </c>
      <c r="C50" s="2" t="s">
        <v>433</v>
      </c>
      <c r="D50" s="2" t="s">
        <v>766</v>
      </c>
      <c r="E50" s="2" t="s">
        <v>767</v>
      </c>
      <c r="F50" s="2">
        <v>142017000</v>
      </c>
      <c r="G50" s="2">
        <v>142017000</v>
      </c>
      <c r="H50" s="2">
        <v>121158253.125</v>
      </c>
      <c r="I50" s="2">
        <v>4.875</v>
      </c>
      <c r="J50" s="2" t="s">
        <v>436</v>
      </c>
      <c r="K50" s="2" t="s">
        <v>437</v>
      </c>
      <c r="L50" s="2">
        <v>8.0560602387579294</v>
      </c>
      <c r="M50" s="2">
        <v>70.567999999999998</v>
      </c>
      <c r="N50" s="2">
        <v>68.554000000000002</v>
      </c>
      <c r="O50" s="2">
        <v>8.3386072605385699</v>
      </c>
      <c r="P50" s="2">
        <v>8.1959118249398308</v>
      </c>
      <c r="Q50" s="2">
        <v>69.561000000000007</v>
      </c>
    </row>
    <row r="51" spans="1:17" x14ac:dyDescent="0.35">
      <c r="A51" s="2" t="s">
        <v>768</v>
      </c>
      <c r="B51" s="2" t="s">
        <v>769</v>
      </c>
      <c r="C51" s="2" t="s">
        <v>433</v>
      </c>
      <c r="D51" s="2" t="s">
        <v>766</v>
      </c>
      <c r="E51" s="2" t="s">
        <v>767</v>
      </c>
      <c r="F51" s="2">
        <v>77957000</v>
      </c>
      <c r="G51" s="2">
        <v>77957000</v>
      </c>
      <c r="H51" s="2">
        <v>66507065.625</v>
      </c>
      <c r="I51" s="2">
        <v>4.875</v>
      </c>
      <c r="J51" s="2" t="s">
        <v>436</v>
      </c>
      <c r="K51" s="2" t="s">
        <v>437</v>
      </c>
      <c r="L51" s="2">
        <v>8.2413670964178074</v>
      </c>
      <c r="M51" s="2">
        <v>69.238</v>
      </c>
      <c r="N51" s="2">
        <v>68.39</v>
      </c>
      <c r="O51" s="2">
        <v>8.3621233652951101</v>
      </c>
      <c r="P51" s="2">
        <v>8.3014859832532846</v>
      </c>
      <c r="Q51" s="2">
        <v>68.813999999999993</v>
      </c>
    </row>
    <row r="52" spans="1:17" x14ac:dyDescent="0.35">
      <c r="A52" s="2" t="s">
        <v>770</v>
      </c>
      <c r="B52" s="2" t="s">
        <v>771</v>
      </c>
      <c r="C52" s="2" t="s">
        <v>433</v>
      </c>
      <c r="D52" s="2" t="s">
        <v>772</v>
      </c>
      <c r="E52" s="2" t="s">
        <v>773</v>
      </c>
      <c r="F52" s="2">
        <v>8389000</v>
      </c>
      <c r="G52" s="2">
        <v>8389000</v>
      </c>
      <c r="H52" s="2">
        <v>8303012.75</v>
      </c>
      <c r="I52" s="2">
        <v>5.35</v>
      </c>
      <c r="J52" s="2" t="s">
        <v>436</v>
      </c>
      <c r="K52" s="2" t="s">
        <v>437</v>
      </c>
      <c r="L52" s="2">
        <v>7.9735451502779062</v>
      </c>
      <c r="M52" s="2">
        <v>75.143000000000001</v>
      </c>
      <c r="N52" s="2">
        <v>74.009</v>
      </c>
      <c r="O52" s="2">
        <v>8.1214329320789762</v>
      </c>
      <c r="P52" s="2">
        <v>8.0470911696317948</v>
      </c>
      <c r="Q52" s="2">
        <v>74.575999999999993</v>
      </c>
    </row>
    <row r="53" spans="1:17" x14ac:dyDescent="0.35">
      <c r="A53" s="2" t="s">
        <v>774</v>
      </c>
      <c r="B53" s="2" t="s">
        <v>775</v>
      </c>
      <c r="C53" s="2" t="s">
        <v>467</v>
      </c>
      <c r="D53" s="2" t="s">
        <v>776</v>
      </c>
      <c r="E53" s="2" t="s">
        <v>777</v>
      </c>
      <c r="F53" s="2">
        <v>4076000</v>
      </c>
      <c r="G53" s="2">
        <v>4076000</v>
      </c>
      <c r="H53" s="2">
        <v>3506379</v>
      </c>
      <c r="I53" s="2">
        <v>4.6500000000000004</v>
      </c>
      <c r="J53" s="2" t="s">
        <v>436</v>
      </c>
      <c r="K53" s="2" t="s">
        <v>437</v>
      </c>
      <c r="L53" s="2">
        <v>8.1180948576603313</v>
      </c>
      <c r="M53" s="2">
        <v>67.099999999999994</v>
      </c>
      <c r="N53" s="2">
        <v>65.222999999999999</v>
      </c>
      <c r="O53" s="2">
        <v>8.3848865898381622</v>
      </c>
      <c r="P53" s="2">
        <v>8.2501548731445595</v>
      </c>
      <c r="Q53" s="2">
        <v>66.16149999999999</v>
      </c>
    </row>
    <row r="54" spans="1:17" x14ac:dyDescent="0.35">
      <c r="A54" s="2" t="s">
        <v>778</v>
      </c>
      <c r="B54" s="2" t="s">
        <v>779</v>
      </c>
      <c r="C54" s="2" t="s">
        <v>467</v>
      </c>
      <c r="D54" s="2" t="s">
        <v>780</v>
      </c>
      <c r="E54" s="2" t="s">
        <v>781</v>
      </c>
      <c r="F54" s="2">
        <v>3055000</v>
      </c>
      <c r="G54" s="2">
        <v>3055000</v>
      </c>
      <c r="H54" s="2">
        <v>2963350</v>
      </c>
      <c r="I54" s="2">
        <v>4.8499999999999996</v>
      </c>
      <c r="J54" s="2" t="s">
        <v>436</v>
      </c>
      <c r="K54" s="2" t="s">
        <v>437</v>
      </c>
      <c r="L54" s="2">
        <v>7.6632744682301404</v>
      </c>
      <c r="M54" s="2">
        <v>71.692999999999998</v>
      </c>
      <c r="N54" s="2">
        <v>70.027000000000001</v>
      </c>
      <c r="O54" s="2">
        <v>7.8762417864780128</v>
      </c>
      <c r="P54" s="2">
        <v>7.7688660340660487</v>
      </c>
      <c r="Q54" s="2">
        <v>70.86</v>
      </c>
    </row>
    <row r="55" spans="1:17" x14ac:dyDescent="0.35">
      <c r="A55" s="2" t="s">
        <v>782</v>
      </c>
      <c r="B55" s="2" t="s">
        <v>783</v>
      </c>
      <c r="C55" s="2" t="s">
        <v>467</v>
      </c>
      <c r="D55" s="2" t="s">
        <v>784</v>
      </c>
      <c r="E55" s="2" t="s">
        <v>785</v>
      </c>
      <c r="F55" s="2">
        <v>147873000</v>
      </c>
      <c r="G55" s="2">
        <v>147873000</v>
      </c>
      <c r="H55" s="2">
        <v>169166712</v>
      </c>
      <c r="I55" s="2">
        <v>5.2</v>
      </c>
      <c r="J55" s="2" t="s">
        <v>436</v>
      </c>
      <c r="K55" s="2" t="s">
        <v>437</v>
      </c>
      <c r="L55" s="2">
        <v>8.8729354284744222</v>
      </c>
      <c r="M55" s="2">
        <v>64.841999999999999</v>
      </c>
      <c r="N55" s="2">
        <v>63.497</v>
      </c>
      <c r="O55" s="2">
        <v>9.0706583001708303</v>
      </c>
      <c r="P55" s="2">
        <v>8.9710029764279025</v>
      </c>
      <c r="Q55" s="2">
        <v>64.169499999999999</v>
      </c>
    </row>
    <row r="56" spans="1:17" x14ac:dyDescent="0.35">
      <c r="A56" s="2" t="s">
        <v>786</v>
      </c>
      <c r="B56" s="2" t="s">
        <v>787</v>
      </c>
      <c r="C56" s="2" t="s">
        <v>467</v>
      </c>
      <c r="D56" s="2" t="s">
        <v>784</v>
      </c>
      <c r="E56" s="2" t="s">
        <v>785</v>
      </c>
      <c r="F56" s="2">
        <v>4879000</v>
      </c>
      <c r="G56" s="2">
        <v>4879000</v>
      </c>
      <c r="H56" s="2">
        <v>5581576</v>
      </c>
      <c r="I56" s="2">
        <v>5.2</v>
      </c>
      <c r="J56" s="2" t="s">
        <v>436</v>
      </c>
      <c r="K56" s="2" t="s">
        <v>437</v>
      </c>
      <c r="L56" s="2">
        <v>8.7288176683867338</v>
      </c>
      <c r="M56" s="2">
        <v>65.849999999999994</v>
      </c>
      <c r="N56" s="2">
        <v>64.33</v>
      </c>
      <c r="O56" s="2">
        <v>8.9474555029740159</v>
      </c>
      <c r="P56" s="2">
        <v>8.8371623001208448</v>
      </c>
      <c r="Q56" s="2">
        <v>65.09</v>
      </c>
    </row>
    <row r="57" spans="1:17" x14ac:dyDescent="0.35">
      <c r="A57" s="2" t="s">
        <v>788</v>
      </c>
      <c r="B57" s="2" t="s">
        <v>789</v>
      </c>
      <c r="C57" s="2" t="s">
        <v>467</v>
      </c>
      <c r="D57" s="2" t="s">
        <v>790</v>
      </c>
      <c r="E57" s="2" t="s">
        <v>791</v>
      </c>
      <c r="F57" s="2">
        <v>30573000</v>
      </c>
      <c r="G57" s="2">
        <v>30573000</v>
      </c>
      <c r="H57" s="2">
        <v>38078671.5</v>
      </c>
      <c r="I57" s="2">
        <v>5.3</v>
      </c>
      <c r="J57" s="2" t="s">
        <v>436</v>
      </c>
      <c r="K57" s="2" t="s">
        <v>437</v>
      </c>
      <c r="L57" s="2">
        <v>8.75358311954942</v>
      </c>
      <c r="M57" s="2">
        <v>65.840999999999994</v>
      </c>
      <c r="N57" s="2">
        <v>64.635999999999996</v>
      </c>
      <c r="O57" s="2">
        <v>8.9239001010477192</v>
      </c>
      <c r="P57" s="2">
        <v>8.838125174333511</v>
      </c>
      <c r="Q57" s="2">
        <v>65.238499999999988</v>
      </c>
    </row>
    <row r="58" spans="1:17" x14ac:dyDescent="0.35">
      <c r="A58" s="2" t="s">
        <v>792</v>
      </c>
      <c r="B58" s="2" t="s">
        <v>793</v>
      </c>
      <c r="C58" s="2" t="s">
        <v>467</v>
      </c>
      <c r="D58" s="2" t="s">
        <v>790</v>
      </c>
      <c r="E58" s="2" t="s">
        <v>791</v>
      </c>
      <c r="F58" s="2">
        <v>248458000</v>
      </c>
      <c r="G58" s="2">
        <v>248458000</v>
      </c>
      <c r="H58" s="2">
        <v>309454439</v>
      </c>
      <c r="I58" s="2">
        <v>5.3</v>
      </c>
      <c r="J58" s="2" t="s">
        <v>436</v>
      </c>
      <c r="K58" s="2" t="s">
        <v>437</v>
      </c>
      <c r="L58" s="2">
        <v>8.2827094420645953</v>
      </c>
      <c r="M58" s="2">
        <v>69.361000000000004</v>
      </c>
      <c r="N58" s="2">
        <v>68.561999999999998</v>
      </c>
      <c r="O58" s="2">
        <v>8.3862975324958313</v>
      </c>
      <c r="P58" s="2">
        <v>8.3342719219485542</v>
      </c>
      <c r="Q58" s="2">
        <v>68.961500000000001</v>
      </c>
    </row>
    <row r="59" spans="1:17" x14ac:dyDescent="0.35">
      <c r="A59" s="2" t="s">
        <v>794</v>
      </c>
      <c r="B59" s="2" t="s">
        <v>795</v>
      </c>
      <c r="C59" s="2" t="s">
        <v>467</v>
      </c>
      <c r="D59" s="2" t="s">
        <v>796</v>
      </c>
      <c r="E59" s="2" t="s">
        <v>797</v>
      </c>
      <c r="F59" s="2">
        <v>31477000</v>
      </c>
      <c r="G59" s="2">
        <v>31477000</v>
      </c>
      <c r="H59" s="2">
        <v>35860172.25</v>
      </c>
      <c r="I59" s="2">
        <v>4.6500000000000004</v>
      </c>
      <c r="J59" s="2" t="s">
        <v>436</v>
      </c>
      <c r="K59" s="2" t="s">
        <v>437</v>
      </c>
      <c r="L59" s="2">
        <v>8.484152239719517</v>
      </c>
      <c r="M59" s="2">
        <v>60.738999999999997</v>
      </c>
      <c r="N59" s="2">
        <v>58.771999999999998</v>
      </c>
      <c r="O59" s="2">
        <v>8.7723279912051062</v>
      </c>
      <c r="P59" s="2">
        <v>8.6263844736797139</v>
      </c>
      <c r="Q59" s="2">
        <v>59.755499999999998</v>
      </c>
    </row>
    <row r="60" spans="1:17" x14ac:dyDescent="0.35">
      <c r="A60" s="2" t="s">
        <v>798</v>
      </c>
      <c r="B60" s="2" t="s">
        <v>799</v>
      </c>
      <c r="C60" s="2" t="s">
        <v>467</v>
      </c>
      <c r="D60" s="2" t="s">
        <v>800</v>
      </c>
      <c r="E60" s="2" t="s">
        <v>801</v>
      </c>
      <c r="F60" s="2">
        <v>126778000</v>
      </c>
      <c r="G60" s="2">
        <v>126778000</v>
      </c>
      <c r="H60" s="2">
        <v>172717909.97</v>
      </c>
      <c r="I60" s="2">
        <v>5.141</v>
      </c>
      <c r="J60" s="2" t="s">
        <v>436</v>
      </c>
      <c r="K60" s="2" t="s">
        <v>437</v>
      </c>
      <c r="L60" s="2">
        <v>8.1217099585733887</v>
      </c>
      <c r="M60" s="2">
        <v>67.822999999999993</v>
      </c>
      <c r="N60" s="2">
        <v>66.741</v>
      </c>
      <c r="O60" s="2">
        <v>8.2590978407441273</v>
      </c>
      <c r="P60" s="2">
        <v>8.1899641976296245</v>
      </c>
      <c r="Q60" s="2">
        <v>67.281999999999996</v>
      </c>
    </row>
    <row r="61" spans="1:17" x14ac:dyDescent="0.35">
      <c r="A61" s="2" t="s">
        <v>802</v>
      </c>
      <c r="B61" s="2" t="s">
        <v>803</v>
      </c>
      <c r="C61" s="2" t="s">
        <v>467</v>
      </c>
      <c r="D61" s="2" t="s">
        <v>800</v>
      </c>
      <c r="E61" s="2" t="s">
        <v>801</v>
      </c>
      <c r="F61" s="2">
        <v>346000</v>
      </c>
      <c r="G61" s="2">
        <v>346000</v>
      </c>
      <c r="H61" s="2">
        <v>471378.29</v>
      </c>
      <c r="I61" s="2">
        <v>5.141</v>
      </c>
      <c r="J61" s="2" t="s">
        <v>436</v>
      </c>
      <c r="K61" s="2" t="s">
        <v>437</v>
      </c>
      <c r="L61" s="2">
        <v>7.8332916098103498</v>
      </c>
      <c r="M61" s="2">
        <v>70.186999999999998</v>
      </c>
      <c r="N61" s="2">
        <v>69.805999999999997</v>
      </c>
      <c r="O61" s="2">
        <v>7.8787310925308685</v>
      </c>
      <c r="P61" s="2">
        <v>7.8559626816693289</v>
      </c>
      <c r="Q61" s="2">
        <v>69.996499999999997</v>
      </c>
    </row>
    <row r="62" spans="1:17" x14ac:dyDescent="0.35">
      <c r="A62" s="2" t="s">
        <v>804</v>
      </c>
      <c r="B62" s="2" t="s">
        <v>805</v>
      </c>
      <c r="C62" s="2" t="s">
        <v>467</v>
      </c>
      <c r="D62" s="2" t="s">
        <v>800</v>
      </c>
      <c r="E62" s="2" t="s">
        <v>801</v>
      </c>
      <c r="F62" s="2">
        <v>953580000</v>
      </c>
      <c r="G62" s="2">
        <v>953580000</v>
      </c>
      <c r="H62" s="2">
        <v>1299124016.7</v>
      </c>
      <c r="I62" s="2">
        <v>5.141</v>
      </c>
      <c r="J62" s="2" t="s">
        <v>436</v>
      </c>
      <c r="K62" s="2" t="s">
        <v>437</v>
      </c>
      <c r="L62" s="2">
        <v>7.8332916098103498</v>
      </c>
      <c r="M62" s="2">
        <v>70.186999999999998</v>
      </c>
      <c r="N62" s="2">
        <v>69.805999999999997</v>
      </c>
      <c r="O62" s="2">
        <v>7.8787310925308685</v>
      </c>
      <c r="P62" s="2">
        <v>7.8559626816693289</v>
      </c>
      <c r="Q62" s="2">
        <v>69.996499999999997</v>
      </c>
    </row>
    <row r="63" spans="1:17" x14ac:dyDescent="0.35">
      <c r="A63" s="2" t="s">
        <v>806</v>
      </c>
      <c r="B63" s="2" t="s">
        <v>807</v>
      </c>
      <c r="C63" s="2" t="s">
        <v>467</v>
      </c>
      <c r="D63" s="2" t="s">
        <v>808</v>
      </c>
      <c r="E63" s="2" t="s">
        <v>809</v>
      </c>
      <c r="F63" s="2">
        <v>120000</v>
      </c>
      <c r="G63" s="2">
        <v>120000</v>
      </c>
      <c r="H63" s="2">
        <v>144000</v>
      </c>
      <c r="I63" s="2">
        <v>4</v>
      </c>
      <c r="J63" s="2" t="s">
        <v>436</v>
      </c>
      <c r="K63" s="2" t="s">
        <v>437</v>
      </c>
      <c r="L63" s="2">
        <v>7.7173100874647558</v>
      </c>
      <c r="M63" s="2">
        <v>56.881</v>
      </c>
      <c r="N63" s="2">
        <v>55.753</v>
      </c>
      <c r="O63" s="2">
        <v>7.8709418246642224</v>
      </c>
      <c r="P63" s="2">
        <v>7.7935048191709315</v>
      </c>
      <c r="Q63" s="2">
        <v>56.317</v>
      </c>
    </row>
    <row r="64" spans="1:17" x14ac:dyDescent="0.35">
      <c r="A64" s="2" t="s">
        <v>810</v>
      </c>
      <c r="B64" s="2" t="s">
        <v>811</v>
      </c>
      <c r="C64" s="2" t="s">
        <v>467</v>
      </c>
      <c r="D64" s="2" t="s">
        <v>808</v>
      </c>
      <c r="E64" s="2" t="s">
        <v>809</v>
      </c>
      <c r="F64" s="2">
        <v>81492000</v>
      </c>
      <c r="G64" s="2">
        <v>81492000</v>
      </c>
      <c r="H64" s="2">
        <v>97790400</v>
      </c>
      <c r="I64" s="2">
        <v>4</v>
      </c>
      <c r="J64" s="2" t="s">
        <v>436</v>
      </c>
      <c r="K64" s="2" t="s">
        <v>437</v>
      </c>
      <c r="L64" s="2">
        <v>7.7173100874647558</v>
      </c>
      <c r="M64" s="2">
        <v>56.881</v>
      </c>
      <c r="N64" s="2">
        <v>55.753</v>
      </c>
      <c r="O64" s="2">
        <v>7.8709418246642224</v>
      </c>
      <c r="P64" s="2">
        <v>7.7935048191709315</v>
      </c>
      <c r="Q64" s="2">
        <v>56.317</v>
      </c>
    </row>
    <row r="65" spans="1:17" x14ac:dyDescent="0.35">
      <c r="A65" s="2" t="s">
        <v>812</v>
      </c>
      <c r="B65" s="2" t="s">
        <v>813</v>
      </c>
      <c r="C65" s="2" t="s">
        <v>467</v>
      </c>
      <c r="D65" s="2" t="s">
        <v>814</v>
      </c>
      <c r="E65" s="2" t="s">
        <v>815</v>
      </c>
      <c r="F65" s="2">
        <v>51000</v>
      </c>
      <c r="G65" s="2">
        <v>51000</v>
      </c>
      <c r="H65" s="2">
        <v>100353.465</v>
      </c>
      <c r="I65" s="2">
        <v>5.391</v>
      </c>
      <c r="J65" s="2" t="s">
        <v>436</v>
      </c>
      <c r="K65" s="2" t="s">
        <v>437</v>
      </c>
      <c r="L65" s="2">
        <v>8.4923899221694423</v>
      </c>
      <c r="M65" s="2">
        <v>65.256</v>
      </c>
      <c r="N65" s="2">
        <v>64.013000000000005</v>
      </c>
      <c r="O65" s="2">
        <v>8.655926750416187</v>
      </c>
      <c r="P65" s="2">
        <v>8.573453314243924</v>
      </c>
      <c r="Q65" s="2">
        <v>64.634500000000003</v>
      </c>
    </row>
    <row r="66" spans="1:17" x14ac:dyDescent="0.35">
      <c r="A66" s="2" t="s">
        <v>816</v>
      </c>
      <c r="B66" s="2" t="s">
        <v>817</v>
      </c>
      <c r="C66" s="2" t="s">
        <v>467</v>
      </c>
      <c r="D66" s="2" t="s">
        <v>814</v>
      </c>
      <c r="E66" s="2" t="s">
        <v>815</v>
      </c>
      <c r="F66" s="2">
        <v>65881000</v>
      </c>
      <c r="G66" s="2">
        <v>65881000</v>
      </c>
      <c r="H66" s="2">
        <v>129635031.91500001</v>
      </c>
      <c r="I66" s="2">
        <v>5.391</v>
      </c>
      <c r="J66" s="2" t="s">
        <v>436</v>
      </c>
      <c r="K66" s="2" t="s">
        <v>437</v>
      </c>
      <c r="L66" s="2">
        <v>8.4923899221694423</v>
      </c>
      <c r="M66" s="2">
        <v>65.256</v>
      </c>
      <c r="N66" s="2">
        <v>64.013000000000005</v>
      </c>
      <c r="O66" s="2">
        <v>8.655926750416187</v>
      </c>
      <c r="P66" s="2">
        <v>8.573453314243924</v>
      </c>
      <c r="Q66" s="2">
        <v>64.634500000000003</v>
      </c>
    </row>
    <row r="69" spans="1:17" x14ac:dyDescent="0.35">
      <c r="C69" s="158" t="s">
        <v>606</v>
      </c>
      <c r="D69" s="2">
        <f>SUMPRODUCT(G2:G66,M2:M66,P2:P66)/10000</f>
        <v>998910893.15569043</v>
      </c>
      <c r="G69" s="636" t="s">
        <v>818</v>
      </c>
      <c r="H69" s="636"/>
    </row>
    <row r="70" spans="1:17" x14ac:dyDescent="0.35">
      <c r="C70" s="158" t="s">
        <v>482</v>
      </c>
      <c r="D70" s="2">
        <f>SUMPRODUCT(G2:G66,M2:M66)/100</f>
        <v>15472296775.0938</v>
      </c>
      <c r="G70" s="2">
        <v>1</v>
      </c>
      <c r="H70" s="2" t="s">
        <v>442</v>
      </c>
    </row>
    <row r="71" spans="1:17" x14ac:dyDescent="0.35">
      <c r="C71" s="158" t="s">
        <v>483</v>
      </c>
      <c r="D71" s="159">
        <f>D69/D70</f>
        <v>6.4561254717119043E-2</v>
      </c>
      <c r="G71" s="2">
        <v>1.17</v>
      </c>
      <c r="H71" s="2" t="s">
        <v>436</v>
      </c>
    </row>
  </sheetData>
  <mergeCells count="1">
    <mergeCell ref="G69:H69"/>
  </mergeCells>
  <conditionalFormatting sqref="J2:J66">
    <cfRule type="notContainsText" dxfId="0" priority="1" operator="notContains" text="USD">
      <formula>ISERROR(SEARCH("USD",J2))</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F5851-61F2-8C42-85E5-178D012339C4}">
  <sheetPr>
    <tabColor rgb="FFFFC000"/>
  </sheetPr>
  <dimension ref="A1:K26"/>
  <sheetViews>
    <sheetView workbookViewId="0">
      <selection activeCell="E5" sqref="E5"/>
    </sheetView>
  </sheetViews>
  <sheetFormatPr defaultColWidth="10.88671875" defaultRowHeight="17.399999999999999" x14ac:dyDescent="0.35"/>
  <cols>
    <col min="1" max="1" width="57.6640625" style="2" bestFit="1" customWidth="1"/>
    <col min="2" max="2" width="10.6640625" style="2" customWidth="1"/>
    <col min="3" max="5" width="9.109375" style="2" bestFit="1" customWidth="1"/>
    <col min="6" max="8" width="12.33203125" style="2" bestFit="1" customWidth="1"/>
    <col min="9" max="9" width="15.88671875" style="2" bestFit="1" customWidth="1"/>
    <col min="10" max="11" width="12" style="2" bestFit="1" customWidth="1"/>
    <col min="12" max="16384" width="10.88671875" style="2"/>
  </cols>
  <sheetData>
    <row r="1" spans="1:11" x14ac:dyDescent="0.35">
      <c r="A1" s="44"/>
      <c r="B1" s="44"/>
      <c r="C1" s="44"/>
      <c r="D1" s="44"/>
      <c r="E1" s="44"/>
      <c r="F1" s="44"/>
      <c r="G1" s="44"/>
      <c r="H1" s="44"/>
      <c r="I1" s="44"/>
      <c r="J1" s="44"/>
      <c r="K1" s="44"/>
    </row>
    <row r="2" spans="1:11" x14ac:dyDescent="0.35">
      <c r="A2" s="34" t="s">
        <v>819</v>
      </c>
      <c r="B2" s="34"/>
      <c r="C2" s="34"/>
      <c r="D2" s="34"/>
      <c r="E2" s="34"/>
      <c r="F2" s="34"/>
      <c r="G2" s="34"/>
      <c r="H2" s="34"/>
      <c r="I2" s="34"/>
      <c r="J2" s="34"/>
      <c r="K2" s="34"/>
    </row>
    <row r="3" spans="1:11" x14ac:dyDescent="0.35">
      <c r="A3" s="45"/>
      <c r="B3" s="45"/>
      <c r="C3" s="45"/>
      <c r="D3" s="45"/>
      <c r="E3" s="45"/>
      <c r="F3" s="45"/>
      <c r="G3" s="45"/>
      <c r="H3" s="45"/>
      <c r="I3" s="45"/>
      <c r="J3" s="45"/>
      <c r="K3" s="45"/>
    </row>
    <row r="4" spans="1:11" x14ac:dyDescent="0.35">
      <c r="A4" s="37" t="s">
        <v>820</v>
      </c>
      <c r="B4" s="46" t="s">
        <v>2</v>
      </c>
      <c r="C4" s="46" t="s">
        <v>3</v>
      </c>
      <c r="D4" s="46" t="s">
        <v>4</v>
      </c>
      <c r="E4" s="46" t="s">
        <v>5</v>
      </c>
      <c r="F4" s="46" t="s">
        <v>6</v>
      </c>
      <c r="G4" s="46" t="s">
        <v>7</v>
      </c>
      <c r="H4" s="46" t="s">
        <v>8</v>
      </c>
      <c r="I4" s="46" t="s">
        <v>821</v>
      </c>
      <c r="J4" s="46" t="s">
        <v>10</v>
      </c>
      <c r="K4" s="46" t="s">
        <v>11</v>
      </c>
    </row>
    <row r="5" spans="1:11" x14ac:dyDescent="0.35">
      <c r="A5" s="38" t="s">
        <v>12</v>
      </c>
      <c r="B5" s="47">
        <v>43465</v>
      </c>
      <c r="C5" s="47">
        <v>43830</v>
      </c>
      <c r="D5" s="47">
        <v>44196</v>
      </c>
      <c r="E5" s="47">
        <v>44561</v>
      </c>
      <c r="F5" s="47">
        <v>44926</v>
      </c>
      <c r="G5" s="47">
        <v>45291</v>
      </c>
      <c r="H5" s="47">
        <v>45657</v>
      </c>
      <c r="I5" s="47">
        <v>45930</v>
      </c>
      <c r="J5" s="47">
        <v>46022</v>
      </c>
      <c r="K5" s="47">
        <v>46387</v>
      </c>
    </row>
    <row r="6" spans="1:11" x14ac:dyDescent="0.35">
      <c r="A6" s="48" t="s">
        <v>822</v>
      </c>
      <c r="B6" s="49" t="s">
        <v>61</v>
      </c>
      <c r="C6" s="49" t="s">
        <v>61</v>
      </c>
      <c r="D6" s="49" t="s">
        <v>61</v>
      </c>
      <c r="E6" s="49" t="s">
        <v>61</v>
      </c>
      <c r="F6" s="50">
        <v>23036.400000000001</v>
      </c>
      <c r="G6" s="50">
        <v>27755.8</v>
      </c>
      <c r="H6" s="50">
        <v>25938.799999999999</v>
      </c>
      <c r="I6" s="51">
        <v>73497</v>
      </c>
      <c r="J6" s="49"/>
      <c r="K6" s="49"/>
    </row>
    <row r="7" spans="1:11" x14ac:dyDescent="0.35">
      <c r="A7" s="40" t="s">
        <v>823</v>
      </c>
      <c r="B7" s="42">
        <v>986</v>
      </c>
      <c r="C7" s="41">
        <v>1552</v>
      </c>
      <c r="D7" s="41">
        <v>2091</v>
      </c>
      <c r="E7" s="41">
        <v>3905</v>
      </c>
      <c r="F7" s="41">
        <v>3731</v>
      </c>
      <c r="G7" s="41">
        <v>3780</v>
      </c>
      <c r="H7" s="41">
        <v>5312</v>
      </c>
      <c r="I7" s="52">
        <v>4294</v>
      </c>
      <c r="J7" s="42"/>
      <c r="K7" s="42"/>
    </row>
    <row r="8" spans="1:11" x14ac:dyDescent="0.35">
      <c r="A8" s="40" t="s">
        <v>824</v>
      </c>
      <c r="B8" s="41">
        <v>2131</v>
      </c>
      <c r="C8" s="41">
        <v>2075</v>
      </c>
      <c r="D8" s="41">
        <v>1919</v>
      </c>
      <c r="E8" s="41">
        <v>1797</v>
      </c>
      <c r="F8" s="41">
        <v>1572</v>
      </c>
      <c r="G8" s="41">
        <v>1246</v>
      </c>
      <c r="H8" s="42">
        <v>901</v>
      </c>
      <c r="I8" s="52">
        <v>1287</v>
      </c>
      <c r="J8" s="42"/>
      <c r="K8" s="42"/>
    </row>
    <row r="9" spans="1:11" x14ac:dyDescent="0.35">
      <c r="A9" s="40" t="s">
        <v>825</v>
      </c>
      <c r="B9" s="41">
        <v>16793</v>
      </c>
      <c r="C9" s="41">
        <v>16372</v>
      </c>
      <c r="D9" s="41">
        <v>16308</v>
      </c>
      <c r="E9" s="41">
        <v>15643</v>
      </c>
      <c r="F9" s="41">
        <v>52602</v>
      </c>
      <c r="G9" s="41">
        <v>47285</v>
      </c>
      <c r="H9" s="41">
        <v>43006</v>
      </c>
      <c r="I9" s="52">
        <v>33521</v>
      </c>
      <c r="J9" s="42"/>
      <c r="K9" s="42"/>
    </row>
    <row r="10" spans="1:11" x14ac:dyDescent="0.35">
      <c r="A10" s="48" t="s">
        <v>826</v>
      </c>
      <c r="B10" s="49" t="s">
        <v>61</v>
      </c>
      <c r="C10" s="49" t="s">
        <v>61</v>
      </c>
      <c r="D10" s="49" t="s">
        <v>61</v>
      </c>
      <c r="E10" s="49" t="s">
        <v>61</v>
      </c>
      <c r="F10" s="50">
        <v>73479.399999999994</v>
      </c>
      <c r="G10" s="50">
        <v>72506.8</v>
      </c>
      <c r="H10" s="50">
        <v>64533.8</v>
      </c>
      <c r="I10" s="51">
        <v>104011</v>
      </c>
      <c r="J10" s="49"/>
      <c r="K10" s="49"/>
    </row>
    <row r="11" spans="1:11" x14ac:dyDescent="0.35">
      <c r="A11" s="48"/>
      <c r="B11" s="49"/>
      <c r="C11" s="49"/>
      <c r="D11" s="49"/>
      <c r="E11" s="49"/>
      <c r="F11" s="49"/>
      <c r="G11" s="49"/>
      <c r="H11" s="49"/>
      <c r="I11" s="53"/>
      <c r="J11" s="49"/>
      <c r="K11" s="49"/>
    </row>
    <row r="12" spans="1:11" x14ac:dyDescent="0.35">
      <c r="A12" s="48" t="s">
        <v>827</v>
      </c>
      <c r="B12" s="50">
        <v>10553</v>
      </c>
      <c r="C12" s="50">
        <v>11144</v>
      </c>
      <c r="D12" s="50">
        <v>10671</v>
      </c>
      <c r="E12" s="50">
        <v>12191</v>
      </c>
      <c r="F12" s="50">
        <v>33817</v>
      </c>
      <c r="G12" s="50">
        <v>41321</v>
      </c>
      <c r="H12" s="50">
        <v>39321</v>
      </c>
      <c r="I12" s="51">
        <v>37863</v>
      </c>
      <c r="J12" s="50">
        <v>37173.5</v>
      </c>
      <c r="K12" s="50">
        <v>36867.5</v>
      </c>
    </row>
    <row r="13" spans="1:11" x14ac:dyDescent="0.35">
      <c r="A13" s="54" t="s">
        <v>828</v>
      </c>
      <c r="B13" s="55">
        <v>53.5</v>
      </c>
      <c r="C13" s="55">
        <v>5.6</v>
      </c>
      <c r="D13" s="55">
        <v>-4.2</v>
      </c>
      <c r="E13" s="55">
        <v>14.2</v>
      </c>
      <c r="F13" s="55">
        <v>177.4</v>
      </c>
      <c r="G13" s="55">
        <v>22.2</v>
      </c>
      <c r="H13" s="55">
        <v>-4.8</v>
      </c>
      <c r="I13" s="56">
        <v>-4.3</v>
      </c>
      <c r="J13" s="55">
        <v>-5.5</v>
      </c>
      <c r="K13" s="55">
        <v>-0.8</v>
      </c>
    </row>
    <row r="14" spans="1:11" x14ac:dyDescent="0.35">
      <c r="A14" s="48" t="s">
        <v>829</v>
      </c>
      <c r="B14" s="50">
        <v>6618</v>
      </c>
      <c r="C14" s="50">
        <v>7325</v>
      </c>
      <c r="D14" s="50">
        <v>6811</v>
      </c>
      <c r="E14" s="50">
        <v>7571</v>
      </c>
      <c r="F14" s="50">
        <v>13375</v>
      </c>
      <c r="G14" s="50">
        <v>16795</v>
      </c>
      <c r="H14" s="50">
        <v>16351</v>
      </c>
      <c r="I14" s="51">
        <v>16674</v>
      </c>
      <c r="J14" s="50">
        <v>14037.8</v>
      </c>
      <c r="K14" s="50">
        <v>14949.8</v>
      </c>
    </row>
    <row r="15" spans="1:11" x14ac:dyDescent="0.35">
      <c r="A15" s="54" t="s">
        <v>830</v>
      </c>
      <c r="B15" s="55">
        <v>62.7</v>
      </c>
      <c r="C15" s="55">
        <v>65.7</v>
      </c>
      <c r="D15" s="55">
        <v>63.8</v>
      </c>
      <c r="E15" s="55">
        <v>62.1</v>
      </c>
      <c r="F15" s="55">
        <v>39.6</v>
      </c>
      <c r="G15" s="55">
        <v>40.6</v>
      </c>
      <c r="H15" s="55">
        <v>41.6</v>
      </c>
      <c r="I15" s="56">
        <v>44</v>
      </c>
      <c r="J15" s="55">
        <v>37.799999999999997</v>
      </c>
      <c r="K15" s="55">
        <v>40.6</v>
      </c>
    </row>
    <row r="16" spans="1:11" x14ac:dyDescent="0.35">
      <c r="A16" s="48" t="s">
        <v>831</v>
      </c>
      <c r="B16" s="50">
        <v>4108</v>
      </c>
      <c r="C16" s="50">
        <v>4648</v>
      </c>
      <c r="D16" s="50">
        <v>4213</v>
      </c>
      <c r="E16" s="50">
        <v>3753</v>
      </c>
      <c r="F16" s="50">
        <v>5264</v>
      </c>
      <c r="G16" s="50">
        <v>7833</v>
      </c>
      <c r="H16" s="50">
        <v>7515</v>
      </c>
      <c r="I16" s="51">
        <v>7643</v>
      </c>
      <c r="J16" s="50">
        <v>8649.6</v>
      </c>
      <c r="K16" s="50">
        <v>8607.2999999999993</v>
      </c>
    </row>
    <row r="17" spans="1:11" x14ac:dyDescent="0.35">
      <c r="A17" s="54" t="s">
        <v>830</v>
      </c>
      <c r="B17" s="55">
        <v>38.9</v>
      </c>
      <c r="C17" s="55">
        <v>41.7</v>
      </c>
      <c r="D17" s="55">
        <v>39.5</v>
      </c>
      <c r="E17" s="55">
        <v>30.8</v>
      </c>
      <c r="F17" s="55">
        <v>15.6</v>
      </c>
      <c r="G17" s="55">
        <v>19</v>
      </c>
      <c r="H17" s="55">
        <v>19.100000000000001</v>
      </c>
      <c r="I17" s="56">
        <v>20.2</v>
      </c>
      <c r="J17" s="55">
        <v>23.3</v>
      </c>
      <c r="K17" s="55">
        <v>23.3</v>
      </c>
    </row>
    <row r="18" spans="1:11" x14ac:dyDescent="0.35">
      <c r="A18" s="48" t="s">
        <v>832</v>
      </c>
      <c r="B18" s="50">
        <v>1066.3</v>
      </c>
      <c r="C18" s="50">
        <v>1746.3</v>
      </c>
      <c r="D18" s="50">
        <v>1155.2</v>
      </c>
      <c r="E18" s="49">
        <v>884.3</v>
      </c>
      <c r="F18" s="50">
        <v>-3572.7</v>
      </c>
      <c r="G18" s="50">
        <v>-2449.8000000000002</v>
      </c>
      <c r="H18" s="50">
        <v>-4035.1</v>
      </c>
      <c r="I18" s="51">
        <v>-1046</v>
      </c>
      <c r="J18" s="50">
        <v>1002.5</v>
      </c>
      <c r="K18" s="49">
        <v>-225</v>
      </c>
    </row>
    <row r="19" spans="1:11" x14ac:dyDescent="0.35">
      <c r="A19" s="54" t="s">
        <v>830</v>
      </c>
      <c r="B19" s="55">
        <v>10.1</v>
      </c>
      <c r="C19" s="55">
        <v>15.7</v>
      </c>
      <c r="D19" s="55">
        <v>10.8</v>
      </c>
      <c r="E19" s="55">
        <v>7.3</v>
      </c>
      <c r="F19" s="55">
        <v>-10.6</v>
      </c>
      <c r="G19" s="55">
        <v>-5.9</v>
      </c>
      <c r="H19" s="55">
        <v>-10.3</v>
      </c>
      <c r="I19" s="56">
        <v>-2.8</v>
      </c>
      <c r="J19" s="55">
        <v>2.7</v>
      </c>
      <c r="K19" s="55">
        <v>-0.6</v>
      </c>
    </row>
    <row r="20" spans="1:11" x14ac:dyDescent="0.35">
      <c r="A20" s="48" t="s">
        <v>833</v>
      </c>
      <c r="B20" s="49">
        <v>1.79</v>
      </c>
      <c r="C20" s="49">
        <v>3.15</v>
      </c>
      <c r="D20" s="49">
        <v>2.16</v>
      </c>
      <c r="E20" s="49">
        <v>1.7</v>
      </c>
      <c r="F20" s="49">
        <v>-1.84</v>
      </c>
      <c r="G20" s="49">
        <v>-1.01</v>
      </c>
      <c r="H20" s="49">
        <v>-1.65</v>
      </c>
      <c r="I20" s="53">
        <v>-0.42</v>
      </c>
      <c r="J20" s="49">
        <v>0.39</v>
      </c>
      <c r="K20" s="49">
        <v>0.12</v>
      </c>
    </row>
    <row r="21" spans="1:11" x14ac:dyDescent="0.35">
      <c r="A21" s="54" t="s">
        <v>828</v>
      </c>
      <c r="B21" s="55">
        <v>-21.9</v>
      </c>
      <c r="C21" s="55">
        <v>76.599999999999994</v>
      </c>
      <c r="D21" s="55">
        <v>-31.48</v>
      </c>
      <c r="E21" s="55">
        <v>-21.49</v>
      </c>
      <c r="F21" s="55" t="s">
        <v>61</v>
      </c>
      <c r="G21" s="55">
        <v>45.39</v>
      </c>
      <c r="H21" s="55">
        <v>-64.099999999999994</v>
      </c>
      <c r="I21" s="56">
        <v>72.069999999999993</v>
      </c>
      <c r="J21" s="55"/>
      <c r="K21" s="55">
        <v>-69.72</v>
      </c>
    </row>
    <row r="22" spans="1:11" x14ac:dyDescent="0.35">
      <c r="A22" s="48"/>
      <c r="B22" s="49"/>
      <c r="C22" s="49"/>
      <c r="D22" s="49"/>
      <c r="E22" s="49"/>
      <c r="F22" s="49"/>
      <c r="G22" s="49"/>
      <c r="H22" s="49"/>
      <c r="I22" s="53"/>
      <c r="J22" s="49"/>
      <c r="K22" s="49"/>
    </row>
    <row r="23" spans="1:11" x14ac:dyDescent="0.35">
      <c r="A23" s="48" t="s">
        <v>834</v>
      </c>
      <c r="B23" s="50">
        <v>2576</v>
      </c>
      <c r="C23" s="50">
        <v>3399</v>
      </c>
      <c r="D23" s="50">
        <v>2739</v>
      </c>
      <c r="E23" s="50">
        <v>2798</v>
      </c>
      <c r="F23" s="50">
        <v>4304</v>
      </c>
      <c r="G23" s="50">
        <v>7477</v>
      </c>
      <c r="H23" s="50">
        <v>5375</v>
      </c>
      <c r="I23" s="51">
        <v>5230</v>
      </c>
      <c r="J23" s="49"/>
      <c r="K23" s="49"/>
    </row>
    <row r="24" spans="1:11" x14ac:dyDescent="0.35">
      <c r="A24" s="48" t="s">
        <v>835</v>
      </c>
      <c r="B24" s="49">
        <v>-147</v>
      </c>
      <c r="C24" s="49">
        <v>-289</v>
      </c>
      <c r="D24" s="49">
        <v>-402</v>
      </c>
      <c r="E24" s="49">
        <v>-373</v>
      </c>
      <c r="F24" s="49">
        <v>-987</v>
      </c>
      <c r="G24" s="50">
        <v>-1316</v>
      </c>
      <c r="H24" s="49">
        <v>-948</v>
      </c>
      <c r="I24" s="51">
        <v>-1096</v>
      </c>
      <c r="J24" s="50">
        <v>-1061</v>
      </c>
      <c r="K24" s="50">
        <v>-1023.4</v>
      </c>
    </row>
    <row r="25" spans="1:11" x14ac:dyDescent="0.35">
      <c r="A25" s="48" t="s">
        <v>406</v>
      </c>
      <c r="B25" s="50">
        <v>2429</v>
      </c>
      <c r="C25" s="50">
        <v>3110</v>
      </c>
      <c r="D25" s="50">
        <v>2337</v>
      </c>
      <c r="E25" s="50">
        <v>2425</v>
      </c>
      <c r="F25" s="50">
        <v>3317</v>
      </c>
      <c r="G25" s="50">
        <v>6161</v>
      </c>
      <c r="H25" s="50">
        <v>4427</v>
      </c>
      <c r="I25" s="51">
        <v>4134</v>
      </c>
      <c r="J25" s="50">
        <v>3427.8</v>
      </c>
      <c r="K25" s="50">
        <v>4118.8</v>
      </c>
    </row>
    <row r="26" spans="1:11" x14ac:dyDescent="0.35">
      <c r="A26" s="43" t="s">
        <v>139</v>
      </c>
      <c r="B26" s="43" t="s">
        <v>140</v>
      </c>
      <c r="C26" s="43"/>
      <c r="D26" s="43"/>
      <c r="E26" s="43"/>
      <c r="F26" s="43"/>
      <c r="G26" s="43"/>
      <c r="H26" s="43"/>
      <c r="I26" s="43"/>
      <c r="J26" s="43"/>
      <c r="K26" s="4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EFF31-C952-5341-A973-27F923A3D2B0}">
  <sheetPr>
    <tabColor rgb="FFFFC000"/>
  </sheetPr>
  <dimension ref="A1:K20"/>
  <sheetViews>
    <sheetView workbookViewId="0">
      <selection activeCell="B12" sqref="B12"/>
    </sheetView>
  </sheetViews>
  <sheetFormatPr defaultColWidth="14.6640625" defaultRowHeight="17.399999999999999" x14ac:dyDescent="0.35"/>
  <cols>
    <col min="1" max="1" width="54.6640625" style="2" bestFit="1" customWidth="1"/>
    <col min="2" max="2" width="12" style="2" customWidth="1"/>
    <col min="3" max="4" width="9.109375" style="2" bestFit="1" customWidth="1"/>
    <col min="5" max="6" width="9" style="2" bestFit="1" customWidth="1"/>
    <col min="7" max="7" width="9.109375" style="2" bestFit="1" customWidth="1"/>
    <col min="8" max="8" width="9" style="2" bestFit="1" customWidth="1"/>
    <col min="9" max="10" width="9.33203125" style="2" bestFit="1" customWidth="1"/>
    <col min="11" max="11" width="9.109375" style="2" bestFit="1" customWidth="1"/>
    <col min="12" max="16384" width="14.6640625" style="2"/>
  </cols>
  <sheetData>
    <row r="1" spans="1:11" x14ac:dyDescent="0.35">
      <c r="A1" s="44"/>
      <c r="B1" s="44"/>
      <c r="C1" s="44"/>
      <c r="D1" s="44"/>
      <c r="E1" s="44"/>
      <c r="F1" s="44"/>
      <c r="G1" s="44"/>
      <c r="H1" s="44"/>
      <c r="I1" s="44"/>
      <c r="J1" s="44"/>
      <c r="K1" s="44"/>
    </row>
    <row r="2" spans="1:11" x14ac:dyDescent="0.35">
      <c r="A2" s="34" t="s">
        <v>836</v>
      </c>
      <c r="B2" s="34"/>
      <c r="C2" s="34"/>
      <c r="D2" s="34"/>
      <c r="E2" s="34"/>
      <c r="F2" s="34"/>
      <c r="G2" s="34"/>
      <c r="H2" s="34"/>
      <c r="I2" s="34"/>
      <c r="J2" s="34"/>
      <c r="K2" s="34"/>
    </row>
    <row r="3" spans="1:11" x14ac:dyDescent="0.35">
      <c r="A3" s="45"/>
      <c r="B3" s="45"/>
      <c r="C3" s="45"/>
      <c r="D3" s="45"/>
      <c r="E3" s="45"/>
      <c r="F3" s="45"/>
      <c r="G3" s="45"/>
      <c r="H3" s="45"/>
      <c r="I3" s="45"/>
      <c r="J3" s="45"/>
      <c r="K3" s="45"/>
    </row>
    <row r="4" spans="1:11" x14ac:dyDescent="0.35">
      <c r="A4" s="37" t="s">
        <v>1</v>
      </c>
      <c r="B4" s="46" t="s">
        <v>837</v>
      </c>
      <c r="C4" s="46" t="s">
        <v>838</v>
      </c>
      <c r="D4" s="46" t="s">
        <v>839</v>
      </c>
      <c r="E4" s="46" t="s">
        <v>840</v>
      </c>
      <c r="F4" s="46" t="s">
        <v>841</v>
      </c>
      <c r="G4" s="46" t="s">
        <v>842</v>
      </c>
      <c r="H4" s="46" t="s">
        <v>843</v>
      </c>
      <c r="I4" s="46" t="s">
        <v>844</v>
      </c>
      <c r="J4" s="46" t="s">
        <v>845</v>
      </c>
      <c r="K4" s="46" t="s">
        <v>846</v>
      </c>
    </row>
    <row r="5" spans="1:11" x14ac:dyDescent="0.35">
      <c r="A5" s="38" t="s">
        <v>12</v>
      </c>
      <c r="B5" s="47">
        <v>42369</v>
      </c>
      <c r="C5" s="47">
        <v>42734</v>
      </c>
      <c r="D5" s="47">
        <v>43098</v>
      </c>
      <c r="E5" s="47">
        <v>43465</v>
      </c>
      <c r="F5" s="47">
        <v>43830</v>
      </c>
      <c r="G5" s="47">
        <v>44196</v>
      </c>
      <c r="H5" s="47">
        <v>44561</v>
      </c>
      <c r="I5" s="47">
        <v>44925</v>
      </c>
      <c r="J5" s="47">
        <v>45289</v>
      </c>
      <c r="K5" s="47">
        <v>45657</v>
      </c>
    </row>
    <row r="6" spans="1:11" x14ac:dyDescent="0.35">
      <c r="A6" s="48" t="s">
        <v>847</v>
      </c>
      <c r="B6" s="49">
        <v>12.42</v>
      </c>
      <c r="C6" s="49">
        <v>14.87</v>
      </c>
      <c r="D6" s="49">
        <v>-9.19</v>
      </c>
      <c r="E6" s="49">
        <v>6.6</v>
      </c>
      <c r="F6" s="49">
        <v>16.97</v>
      </c>
      <c r="G6" s="49">
        <v>9.0299999999999994</v>
      </c>
      <c r="H6" s="49">
        <v>7.07</v>
      </c>
      <c r="I6" s="49">
        <v>-25.28</v>
      </c>
      <c r="J6" s="49">
        <v>-6.77</v>
      </c>
      <c r="K6" s="49">
        <v>-28.54</v>
      </c>
    </row>
    <row r="7" spans="1:11" x14ac:dyDescent="0.35">
      <c r="A7" s="40" t="s">
        <v>848</v>
      </c>
      <c r="B7" s="42">
        <v>10.119999999999999</v>
      </c>
      <c r="C7" s="42">
        <v>18.829999999999998</v>
      </c>
      <c r="D7" s="42">
        <v>17.010000000000002</v>
      </c>
      <c r="E7" s="42">
        <v>22.31</v>
      </c>
      <c r="F7" s="42">
        <v>14.13</v>
      </c>
      <c r="G7" s="42">
        <v>12.15</v>
      </c>
      <c r="H7" s="42">
        <v>17.18</v>
      </c>
      <c r="I7" s="42">
        <v>16.04</v>
      </c>
      <c r="J7" s="42">
        <v>13.33</v>
      </c>
      <c r="K7" s="42">
        <v>18.11</v>
      </c>
    </row>
    <row r="8" spans="1:11" x14ac:dyDescent="0.35">
      <c r="A8" s="48" t="s">
        <v>849</v>
      </c>
      <c r="B8" s="49">
        <v>9.36</v>
      </c>
      <c r="C8" s="49">
        <v>10.83</v>
      </c>
      <c r="D8" s="49">
        <v>-0.03</v>
      </c>
      <c r="E8" s="49">
        <v>4.96</v>
      </c>
      <c r="F8" s="49">
        <v>10.3</v>
      </c>
      <c r="G8" s="49">
        <v>6.53</v>
      </c>
      <c r="H8" s="49">
        <v>6.03</v>
      </c>
      <c r="I8" s="49">
        <v>-9.0500000000000007</v>
      </c>
      <c r="J8" s="49">
        <v>-1.36</v>
      </c>
      <c r="K8" s="49">
        <v>-11.52</v>
      </c>
    </row>
    <row r="9" spans="1:11" x14ac:dyDescent="0.35">
      <c r="A9" s="40" t="s">
        <v>848</v>
      </c>
      <c r="B9" s="42">
        <v>3.64</v>
      </c>
      <c r="C9" s="42">
        <v>7.1</v>
      </c>
      <c r="D9" s="42">
        <v>6.03</v>
      </c>
      <c r="E9" s="42">
        <v>12.26</v>
      </c>
      <c r="F9" s="42">
        <v>7.43</v>
      </c>
      <c r="G9" s="42">
        <v>6.29</v>
      </c>
      <c r="H9" s="42">
        <v>8.9</v>
      </c>
      <c r="I9" s="42">
        <v>8.39</v>
      </c>
      <c r="J9" s="42">
        <v>7.15</v>
      </c>
      <c r="K9" s="42">
        <v>9.91</v>
      </c>
    </row>
    <row r="10" spans="1:11" x14ac:dyDescent="0.35">
      <c r="A10" s="48" t="s">
        <v>125</v>
      </c>
      <c r="B10" s="49">
        <v>31.04</v>
      </c>
      <c r="C10" s="49">
        <v>31.68</v>
      </c>
      <c r="D10" s="49">
        <v>10.37</v>
      </c>
      <c r="E10" s="49">
        <v>18.329999999999998</v>
      </c>
      <c r="F10" s="49">
        <v>27</v>
      </c>
      <c r="G10" s="49">
        <v>23.57</v>
      </c>
      <c r="H10" s="49">
        <v>16.5</v>
      </c>
      <c r="I10" s="49">
        <v>-21.79</v>
      </c>
      <c r="J10" s="49">
        <v>-3.75</v>
      </c>
      <c r="K10" s="49">
        <v>-25.51</v>
      </c>
    </row>
    <row r="11" spans="1:11" x14ac:dyDescent="0.35">
      <c r="A11" s="40" t="s">
        <v>848</v>
      </c>
      <c r="B11" s="42">
        <v>12.28</v>
      </c>
      <c r="C11" s="42">
        <v>18.84</v>
      </c>
      <c r="D11" s="42">
        <v>18.97</v>
      </c>
      <c r="E11" s="42">
        <v>19.079999999999998</v>
      </c>
      <c r="F11" s="42">
        <v>17.7</v>
      </c>
      <c r="G11" s="42">
        <v>17.52</v>
      </c>
      <c r="H11" s="42">
        <v>19.66</v>
      </c>
      <c r="I11" s="42">
        <v>18.829999999999998</v>
      </c>
      <c r="J11" s="42">
        <v>16.78</v>
      </c>
      <c r="K11" s="42">
        <v>20.399999999999999</v>
      </c>
    </row>
    <row r="12" spans="1:11" x14ac:dyDescent="0.35">
      <c r="A12" s="48" t="s">
        <v>850</v>
      </c>
      <c r="B12" s="49" t="s">
        <v>61</v>
      </c>
      <c r="C12" s="49" t="s">
        <v>61</v>
      </c>
      <c r="D12" s="49" t="s">
        <v>61</v>
      </c>
      <c r="E12" s="49" t="s">
        <v>61</v>
      </c>
      <c r="F12" s="49" t="s">
        <v>61</v>
      </c>
      <c r="G12" s="49" t="s">
        <v>61</v>
      </c>
      <c r="H12" s="49" t="s">
        <v>61</v>
      </c>
      <c r="I12" s="49">
        <v>5.56</v>
      </c>
      <c r="J12" s="49" t="s">
        <v>61</v>
      </c>
      <c r="K12" s="49" t="s">
        <v>61</v>
      </c>
    </row>
    <row r="13" spans="1:11" x14ac:dyDescent="0.35">
      <c r="A13" s="40" t="s">
        <v>848</v>
      </c>
      <c r="B13" s="42">
        <v>14.54</v>
      </c>
      <c r="C13" s="42">
        <v>16.760000000000002</v>
      </c>
      <c r="D13" s="42">
        <v>15.61</v>
      </c>
      <c r="E13" s="42">
        <v>17.739999999999998</v>
      </c>
      <c r="F13" s="42">
        <v>22.02</v>
      </c>
      <c r="G13" s="42">
        <v>28.38</v>
      </c>
      <c r="H13" s="42">
        <v>24.3</v>
      </c>
      <c r="I13" s="42">
        <v>14.03</v>
      </c>
      <c r="J13" s="42">
        <v>20.62</v>
      </c>
      <c r="K13" s="42">
        <v>22.64</v>
      </c>
    </row>
    <row r="14" spans="1:11" x14ac:dyDescent="0.35">
      <c r="A14" s="48" t="s">
        <v>851</v>
      </c>
      <c r="B14" s="49" t="s">
        <v>61</v>
      </c>
      <c r="C14" s="49" t="s">
        <v>61</v>
      </c>
      <c r="D14" s="49" t="s">
        <v>61</v>
      </c>
      <c r="E14" s="49" t="s">
        <v>61</v>
      </c>
      <c r="F14" s="49" t="s">
        <v>61</v>
      </c>
      <c r="G14" s="49" t="s">
        <v>61</v>
      </c>
      <c r="H14" s="49" t="s">
        <v>61</v>
      </c>
      <c r="I14" s="49">
        <v>0.49</v>
      </c>
      <c r="J14" s="49">
        <v>0.61</v>
      </c>
      <c r="K14" s="49">
        <v>0.76</v>
      </c>
    </row>
    <row r="15" spans="1:11" x14ac:dyDescent="0.35">
      <c r="A15" s="40" t="s">
        <v>848</v>
      </c>
      <c r="B15" s="42">
        <v>2.71</v>
      </c>
      <c r="C15" s="42">
        <v>3.02</v>
      </c>
      <c r="D15" s="42">
        <v>2.75</v>
      </c>
      <c r="E15" s="42">
        <v>3.05</v>
      </c>
      <c r="F15" s="42">
        <v>3.54</v>
      </c>
      <c r="G15" s="42">
        <v>4.03</v>
      </c>
      <c r="H15" s="42">
        <v>4.51</v>
      </c>
      <c r="I15" s="42">
        <v>2.62</v>
      </c>
      <c r="J15" s="42">
        <v>3.86</v>
      </c>
      <c r="K15" s="42">
        <v>4.99</v>
      </c>
    </row>
    <row r="16" spans="1:11" x14ac:dyDescent="0.35">
      <c r="A16" s="48" t="s">
        <v>852</v>
      </c>
      <c r="B16" s="49" t="s">
        <v>61</v>
      </c>
      <c r="C16" s="49" t="s">
        <v>61</v>
      </c>
      <c r="D16" s="49" t="s">
        <v>61</v>
      </c>
      <c r="E16" s="49" t="s">
        <v>61</v>
      </c>
      <c r="F16" s="49" t="s">
        <v>61</v>
      </c>
      <c r="G16" s="49" t="s">
        <v>61</v>
      </c>
      <c r="H16" s="49" t="s">
        <v>61</v>
      </c>
      <c r="I16" s="49">
        <v>376.82</v>
      </c>
      <c r="J16" s="49">
        <v>10.39</v>
      </c>
      <c r="K16" s="49" t="s">
        <v>61</v>
      </c>
    </row>
    <row r="17" spans="1:11" x14ac:dyDescent="0.35">
      <c r="A17" s="40" t="s">
        <v>848</v>
      </c>
      <c r="B17" s="42">
        <v>8.58</v>
      </c>
      <c r="C17" s="42">
        <v>6.9</v>
      </c>
      <c r="D17" s="42">
        <v>6.99</v>
      </c>
      <c r="E17" s="42">
        <v>12.15</v>
      </c>
      <c r="F17" s="42">
        <v>11.56</v>
      </c>
      <c r="G17" s="42">
        <v>12.83</v>
      </c>
      <c r="H17" s="42">
        <v>14.78</v>
      </c>
      <c r="I17" s="42">
        <v>9.48</v>
      </c>
      <c r="J17" s="42">
        <v>12.42</v>
      </c>
      <c r="K17" s="42">
        <v>14.03</v>
      </c>
    </row>
    <row r="18" spans="1:11" x14ac:dyDescent="0.35">
      <c r="A18" s="48" t="s">
        <v>853</v>
      </c>
      <c r="B18" s="49">
        <v>3.17</v>
      </c>
      <c r="C18" s="49">
        <v>3.2</v>
      </c>
      <c r="D18" s="49">
        <v>7.17</v>
      </c>
      <c r="E18" s="49">
        <v>4.74</v>
      </c>
      <c r="F18" s="49">
        <v>3.32</v>
      </c>
      <c r="G18" s="49">
        <v>3.56</v>
      </c>
      <c r="H18" s="49">
        <v>3.18</v>
      </c>
      <c r="I18" s="49">
        <v>250.62</v>
      </c>
      <c r="J18" s="49">
        <v>6.24</v>
      </c>
      <c r="K18" s="49" t="s">
        <v>61</v>
      </c>
    </row>
    <row r="19" spans="1:11" x14ac:dyDescent="0.35">
      <c r="A19" s="40" t="s">
        <v>848</v>
      </c>
      <c r="B19" s="42">
        <v>3.43</v>
      </c>
      <c r="C19" s="42">
        <v>2.4</v>
      </c>
      <c r="D19" s="42">
        <v>2.4900000000000002</v>
      </c>
      <c r="E19" s="42">
        <v>1.58</v>
      </c>
      <c r="F19" s="42">
        <v>1.8</v>
      </c>
      <c r="G19" s="42">
        <v>1.77</v>
      </c>
      <c r="H19" s="42">
        <v>1.66</v>
      </c>
      <c r="I19" s="42">
        <v>1.86</v>
      </c>
      <c r="J19" s="42">
        <v>1.76</v>
      </c>
      <c r="K19" s="42">
        <v>1.59</v>
      </c>
    </row>
    <row r="20" spans="1:11" x14ac:dyDescent="0.35">
      <c r="A20" s="43" t="s">
        <v>139</v>
      </c>
      <c r="B20" s="43" t="s">
        <v>140</v>
      </c>
      <c r="C20" s="43"/>
      <c r="D20" s="43"/>
      <c r="E20" s="43"/>
      <c r="F20" s="43"/>
      <c r="G20" s="43"/>
      <c r="H20" s="43"/>
      <c r="I20" s="43"/>
      <c r="J20" s="43"/>
      <c r="K20" s="4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9653B-A0E1-1749-8AA5-C62F909DB5E6}">
  <sheetPr>
    <tabColor rgb="FFFFC000"/>
  </sheetPr>
  <dimension ref="A1:K26"/>
  <sheetViews>
    <sheetView workbookViewId="0">
      <selection activeCell="F25" sqref="F25"/>
    </sheetView>
  </sheetViews>
  <sheetFormatPr defaultColWidth="10.88671875" defaultRowHeight="17.399999999999999" x14ac:dyDescent="0.35"/>
  <cols>
    <col min="1" max="1" width="49.6640625" style="2" bestFit="1" customWidth="1"/>
    <col min="2" max="2" width="12.33203125" style="2" customWidth="1"/>
    <col min="3" max="6" width="9" style="2" bestFit="1" customWidth="1"/>
    <col min="7" max="7" width="9.109375" style="2" bestFit="1" customWidth="1"/>
    <col min="8" max="8" width="9" style="2" bestFit="1" customWidth="1"/>
    <col min="9" max="11" width="9.109375" style="2" bestFit="1" customWidth="1"/>
    <col min="12" max="16384" width="10.88671875" style="2"/>
  </cols>
  <sheetData>
    <row r="1" spans="1:11" x14ac:dyDescent="0.35">
      <c r="A1" s="44"/>
      <c r="B1" s="44"/>
      <c r="C1" s="44"/>
      <c r="D1" s="44"/>
      <c r="E1" s="44"/>
      <c r="F1" s="44"/>
      <c r="G1" s="44"/>
      <c r="H1" s="44"/>
      <c r="I1" s="44"/>
      <c r="J1" s="44"/>
      <c r="K1" s="44"/>
    </row>
    <row r="2" spans="1:11" x14ac:dyDescent="0.35">
      <c r="A2" s="34" t="s">
        <v>854</v>
      </c>
      <c r="B2" s="34"/>
      <c r="C2" s="34"/>
      <c r="D2" s="34"/>
      <c r="E2" s="34"/>
      <c r="F2" s="34"/>
      <c r="G2" s="34"/>
      <c r="H2" s="34"/>
      <c r="I2" s="34"/>
      <c r="J2" s="34"/>
      <c r="K2" s="34"/>
    </row>
    <row r="3" spans="1:11" x14ac:dyDescent="0.35">
      <c r="A3" s="45"/>
      <c r="B3" s="45"/>
      <c r="C3" s="45"/>
      <c r="D3" s="45"/>
      <c r="E3" s="45"/>
      <c r="F3" s="45"/>
      <c r="G3" s="45"/>
      <c r="H3" s="45"/>
      <c r="I3" s="45"/>
      <c r="J3" s="45"/>
      <c r="K3" s="45"/>
    </row>
    <row r="4" spans="1:11" x14ac:dyDescent="0.35">
      <c r="A4" s="37" t="s">
        <v>1</v>
      </c>
      <c r="B4" s="46" t="s">
        <v>142</v>
      </c>
      <c r="C4" s="46" t="s">
        <v>143</v>
      </c>
      <c r="D4" s="46" t="s">
        <v>144</v>
      </c>
      <c r="E4" s="46" t="s">
        <v>2</v>
      </c>
      <c r="F4" s="46" t="s">
        <v>3</v>
      </c>
      <c r="G4" s="46" t="s">
        <v>4</v>
      </c>
      <c r="H4" s="46" t="s">
        <v>5</v>
      </c>
      <c r="I4" s="46" t="s">
        <v>6</v>
      </c>
      <c r="J4" s="46" t="s">
        <v>7</v>
      </c>
      <c r="K4" s="46" t="s">
        <v>8</v>
      </c>
    </row>
    <row r="5" spans="1:11" x14ac:dyDescent="0.35">
      <c r="A5" s="38" t="s">
        <v>12</v>
      </c>
      <c r="B5" s="47">
        <v>42369</v>
      </c>
      <c r="C5" s="47">
        <v>42735</v>
      </c>
      <c r="D5" s="47">
        <v>43100</v>
      </c>
      <c r="E5" s="47">
        <v>43465</v>
      </c>
      <c r="F5" s="47">
        <v>43830</v>
      </c>
      <c r="G5" s="47">
        <v>44196</v>
      </c>
      <c r="H5" s="47">
        <v>44561</v>
      </c>
      <c r="I5" s="47">
        <v>44926</v>
      </c>
      <c r="J5" s="47">
        <v>45291</v>
      </c>
      <c r="K5" s="47">
        <v>45657</v>
      </c>
    </row>
    <row r="6" spans="1:11" x14ac:dyDescent="0.35">
      <c r="A6" s="48" t="s">
        <v>855</v>
      </c>
      <c r="B6" s="49"/>
      <c r="C6" s="49"/>
      <c r="D6" s="49"/>
      <c r="E6" s="49"/>
      <c r="F6" s="49"/>
      <c r="G6" s="49"/>
      <c r="H6" s="49"/>
      <c r="I6" s="49"/>
      <c r="J6" s="49"/>
      <c r="K6" s="49"/>
    </row>
    <row r="7" spans="1:11" x14ac:dyDescent="0.35">
      <c r="A7" s="40" t="s">
        <v>847</v>
      </c>
      <c r="B7" s="42">
        <v>12.42</v>
      </c>
      <c r="C7" s="42">
        <v>14.87</v>
      </c>
      <c r="D7" s="42">
        <v>-9.19</v>
      </c>
      <c r="E7" s="42">
        <v>6.6</v>
      </c>
      <c r="F7" s="42">
        <v>16.97</v>
      </c>
      <c r="G7" s="42">
        <v>9.0299999999999994</v>
      </c>
      <c r="H7" s="42">
        <v>7.07</v>
      </c>
      <c r="I7" s="42">
        <v>-25.28</v>
      </c>
      <c r="J7" s="42">
        <v>-6.77</v>
      </c>
      <c r="K7" s="42">
        <v>-28.54</v>
      </c>
    </row>
    <row r="8" spans="1:11" x14ac:dyDescent="0.35">
      <c r="A8" s="40" t="s">
        <v>856</v>
      </c>
      <c r="B8" s="42">
        <v>6.5</v>
      </c>
      <c r="C8" s="42">
        <v>7.57</v>
      </c>
      <c r="D8" s="42">
        <v>-1.76</v>
      </c>
      <c r="E8" s="42">
        <v>2.16</v>
      </c>
      <c r="F8" s="42">
        <v>6.24</v>
      </c>
      <c r="G8" s="42">
        <v>3.59</v>
      </c>
      <c r="H8" s="42">
        <v>2.94</v>
      </c>
      <c r="I8" s="42">
        <v>-8.75</v>
      </c>
      <c r="J8" s="42">
        <v>-2.44</v>
      </c>
      <c r="K8" s="42">
        <v>-9.9499999999999993</v>
      </c>
    </row>
    <row r="9" spans="1:11" x14ac:dyDescent="0.35">
      <c r="A9" s="40" t="s">
        <v>849</v>
      </c>
      <c r="B9" s="42">
        <v>9.36</v>
      </c>
      <c r="C9" s="42">
        <v>10.83</v>
      </c>
      <c r="D9" s="42">
        <v>-0.03</v>
      </c>
      <c r="E9" s="42">
        <v>4.96</v>
      </c>
      <c r="F9" s="42">
        <v>10.3</v>
      </c>
      <c r="G9" s="42">
        <v>6.53</v>
      </c>
      <c r="H9" s="42">
        <v>6.03</v>
      </c>
      <c r="I9" s="42">
        <v>-9.0500000000000007</v>
      </c>
      <c r="J9" s="42">
        <v>-1.36</v>
      </c>
      <c r="K9" s="42">
        <v>-11.52</v>
      </c>
    </row>
    <row r="10" spans="1:11" x14ac:dyDescent="0.35">
      <c r="A10" s="40" t="s">
        <v>857</v>
      </c>
      <c r="B10" s="42">
        <v>9.42</v>
      </c>
      <c r="C10" s="42">
        <v>10.6</v>
      </c>
      <c r="D10" s="42">
        <v>1.4</v>
      </c>
      <c r="E10" s="42">
        <v>5.23</v>
      </c>
      <c r="F10" s="42">
        <v>9.89</v>
      </c>
      <c r="G10" s="42">
        <v>6.65</v>
      </c>
      <c r="H10" s="42">
        <v>5.67</v>
      </c>
      <c r="I10" s="42">
        <v>-8.52</v>
      </c>
      <c r="J10" s="42">
        <v>-1.1399999999999999</v>
      </c>
      <c r="K10" s="42">
        <v>-11.13</v>
      </c>
    </row>
    <row r="11" spans="1:11" x14ac:dyDescent="0.35">
      <c r="A11" s="40"/>
      <c r="B11" s="42"/>
      <c r="C11" s="42"/>
      <c r="D11" s="42"/>
      <c r="E11" s="42"/>
      <c r="F11" s="42"/>
      <c r="G11" s="42"/>
      <c r="H11" s="42"/>
      <c r="I11" s="42"/>
      <c r="J11" s="42"/>
      <c r="K11" s="42"/>
    </row>
    <row r="12" spans="1:11" x14ac:dyDescent="0.35">
      <c r="A12" s="48" t="s">
        <v>858</v>
      </c>
      <c r="B12" s="49"/>
      <c r="C12" s="49"/>
      <c r="D12" s="49"/>
      <c r="E12" s="49"/>
      <c r="F12" s="49"/>
      <c r="G12" s="49"/>
      <c r="H12" s="49"/>
      <c r="I12" s="49"/>
      <c r="J12" s="49"/>
      <c r="K12" s="49"/>
    </row>
    <row r="13" spans="1:11" x14ac:dyDescent="0.35">
      <c r="A13" s="40" t="s">
        <v>123</v>
      </c>
      <c r="B13" s="42">
        <v>63.36</v>
      </c>
      <c r="C13" s="42">
        <v>62.57</v>
      </c>
      <c r="D13" s="42">
        <v>61.36</v>
      </c>
      <c r="E13" s="42">
        <v>62.71</v>
      </c>
      <c r="F13" s="42">
        <v>65.73</v>
      </c>
      <c r="G13" s="42">
        <v>63.83</v>
      </c>
      <c r="H13" s="42">
        <v>62.1</v>
      </c>
      <c r="I13" s="42">
        <v>39.549999999999997</v>
      </c>
      <c r="J13" s="42">
        <v>40.65</v>
      </c>
      <c r="K13" s="42">
        <v>41.58</v>
      </c>
    </row>
    <row r="14" spans="1:11" x14ac:dyDescent="0.35">
      <c r="A14" s="40" t="s">
        <v>859</v>
      </c>
      <c r="B14" s="42">
        <v>36.21</v>
      </c>
      <c r="C14" s="42">
        <v>36.630000000000003</v>
      </c>
      <c r="D14" s="42">
        <v>15.18</v>
      </c>
      <c r="E14" s="42">
        <v>31.57</v>
      </c>
      <c r="F14" s="42">
        <v>40.11</v>
      </c>
      <c r="G14" s="42">
        <v>37.39</v>
      </c>
      <c r="H14" s="42">
        <v>30.33</v>
      </c>
      <c r="I14" s="42">
        <v>0.57999999999999996</v>
      </c>
      <c r="J14" s="42">
        <v>16.88</v>
      </c>
      <c r="K14" s="42">
        <v>-6.5</v>
      </c>
    </row>
    <row r="15" spans="1:11" x14ac:dyDescent="0.35">
      <c r="A15" s="40" t="s">
        <v>125</v>
      </c>
      <c r="B15" s="42">
        <v>31.04</v>
      </c>
      <c r="C15" s="42">
        <v>31.68</v>
      </c>
      <c r="D15" s="42">
        <v>10.37</v>
      </c>
      <c r="E15" s="42">
        <v>18.329999999999998</v>
      </c>
      <c r="F15" s="42">
        <v>27</v>
      </c>
      <c r="G15" s="42">
        <v>23.57</v>
      </c>
      <c r="H15" s="42">
        <v>16.5</v>
      </c>
      <c r="I15" s="42">
        <v>-21.79</v>
      </c>
      <c r="J15" s="42">
        <v>-3.75</v>
      </c>
      <c r="K15" s="42">
        <v>-25.51</v>
      </c>
    </row>
    <row r="16" spans="1:11" x14ac:dyDescent="0.35">
      <c r="A16" s="40" t="s">
        <v>860</v>
      </c>
      <c r="B16" s="42" t="s">
        <v>61</v>
      </c>
      <c r="C16" s="42">
        <v>70.87</v>
      </c>
      <c r="D16" s="42" t="s">
        <v>61</v>
      </c>
      <c r="E16" s="42">
        <v>33.18</v>
      </c>
      <c r="F16" s="42">
        <v>181.9</v>
      </c>
      <c r="G16" s="42">
        <v>-104.44</v>
      </c>
      <c r="H16" s="42" t="s">
        <v>61</v>
      </c>
      <c r="I16" s="42" t="s">
        <v>61</v>
      </c>
      <c r="J16" s="42">
        <v>77.59</v>
      </c>
      <c r="K16" s="42">
        <v>-424.2</v>
      </c>
    </row>
    <row r="17" spans="1:11" x14ac:dyDescent="0.35">
      <c r="A17" s="40" t="s">
        <v>861</v>
      </c>
      <c r="B17" s="42">
        <v>24.38</v>
      </c>
      <c r="C17" s="42">
        <v>25.72</v>
      </c>
      <c r="D17" s="42">
        <v>-1.99</v>
      </c>
      <c r="E17" s="42">
        <v>9.68</v>
      </c>
      <c r="F17" s="42">
        <v>20.59</v>
      </c>
      <c r="G17" s="42">
        <v>16.190000000000001</v>
      </c>
      <c r="H17" s="42">
        <v>11.75</v>
      </c>
      <c r="I17" s="42">
        <v>-26.5</v>
      </c>
      <c r="J17" s="42">
        <v>-9.35</v>
      </c>
      <c r="K17" s="42">
        <v>-28.96</v>
      </c>
    </row>
    <row r="18" spans="1:11" x14ac:dyDescent="0.35">
      <c r="A18" s="40" t="s">
        <v>862</v>
      </c>
      <c r="B18" s="42">
        <v>16.39</v>
      </c>
      <c r="C18" s="42">
        <v>18.75</v>
      </c>
      <c r="D18" s="42">
        <v>-4.55</v>
      </c>
      <c r="E18" s="42">
        <v>6.45</v>
      </c>
      <c r="F18" s="42">
        <v>19.86</v>
      </c>
      <c r="G18" s="42">
        <v>12.7</v>
      </c>
      <c r="H18" s="42">
        <v>9.82</v>
      </c>
      <c r="I18" s="42">
        <v>-21.58</v>
      </c>
      <c r="J18" s="42">
        <v>-7.45</v>
      </c>
      <c r="K18" s="42">
        <v>-29.2</v>
      </c>
    </row>
    <row r="19" spans="1:11" x14ac:dyDescent="0.35">
      <c r="A19" s="40" t="s">
        <v>863</v>
      </c>
      <c r="B19" s="42">
        <v>16.170000000000002</v>
      </c>
      <c r="C19" s="42">
        <v>18.38</v>
      </c>
      <c r="D19" s="42">
        <v>-4.9000000000000004</v>
      </c>
      <c r="E19" s="42">
        <v>5.63</v>
      </c>
      <c r="F19" s="42">
        <v>18.57</v>
      </c>
      <c r="G19" s="42">
        <v>11.42</v>
      </c>
      <c r="H19" s="42">
        <v>8.25</v>
      </c>
      <c r="I19" s="42">
        <v>-21.8</v>
      </c>
      <c r="J19" s="42">
        <v>-7.57</v>
      </c>
      <c r="K19" s="42">
        <v>-28.77</v>
      </c>
    </row>
    <row r="20" spans="1:11" x14ac:dyDescent="0.35">
      <c r="A20" s="40" t="s">
        <v>864</v>
      </c>
      <c r="B20" s="42">
        <v>10.73</v>
      </c>
      <c r="C20" s="42">
        <v>12.14</v>
      </c>
      <c r="D20" s="42">
        <v>-6.53</v>
      </c>
      <c r="E20" s="42">
        <v>4.07</v>
      </c>
      <c r="F20" s="42">
        <v>13.92</v>
      </c>
      <c r="G20" s="42">
        <v>8.61</v>
      </c>
      <c r="H20" s="42">
        <v>6.4</v>
      </c>
      <c r="I20" s="42">
        <v>-21.94</v>
      </c>
      <c r="J20" s="42">
        <v>-7.57</v>
      </c>
      <c r="K20" s="42">
        <v>-28.77</v>
      </c>
    </row>
    <row r="21" spans="1:11" x14ac:dyDescent="0.35">
      <c r="A21" s="40"/>
      <c r="B21" s="42"/>
      <c r="C21" s="42"/>
      <c r="D21" s="42"/>
      <c r="E21" s="42"/>
      <c r="F21" s="42"/>
      <c r="G21" s="42"/>
      <c r="H21" s="42"/>
      <c r="I21" s="42"/>
      <c r="J21" s="42"/>
      <c r="K21" s="42"/>
    </row>
    <row r="22" spans="1:11" x14ac:dyDescent="0.35">
      <c r="A22" s="48" t="s">
        <v>865</v>
      </c>
      <c r="B22" s="49"/>
      <c r="C22" s="49"/>
      <c r="D22" s="49"/>
      <c r="E22" s="49"/>
      <c r="F22" s="49"/>
      <c r="G22" s="49"/>
      <c r="H22" s="49"/>
      <c r="I22" s="49"/>
      <c r="J22" s="49"/>
      <c r="K22" s="49"/>
    </row>
    <row r="23" spans="1:11" x14ac:dyDescent="0.35">
      <c r="A23" s="40" t="s">
        <v>866</v>
      </c>
      <c r="B23" s="42">
        <v>32.78</v>
      </c>
      <c r="C23" s="42">
        <v>27.11</v>
      </c>
      <c r="D23" s="42" t="s">
        <v>61</v>
      </c>
      <c r="E23" s="42">
        <v>33.369999999999997</v>
      </c>
      <c r="F23" s="42">
        <v>3.53</v>
      </c>
      <c r="G23" s="42">
        <v>21.59</v>
      </c>
      <c r="H23" s="42">
        <v>16.47</v>
      </c>
      <c r="I23" s="42" t="s">
        <v>61</v>
      </c>
      <c r="J23" s="42" t="s">
        <v>61</v>
      </c>
      <c r="K23" s="42" t="s">
        <v>61</v>
      </c>
    </row>
    <row r="24" spans="1:11" x14ac:dyDescent="0.35">
      <c r="A24" s="40" t="s">
        <v>867</v>
      </c>
      <c r="B24" s="42">
        <v>0</v>
      </c>
      <c r="C24" s="42">
        <v>0</v>
      </c>
      <c r="D24" s="42" t="s">
        <v>61</v>
      </c>
      <c r="E24" s="42">
        <v>0</v>
      </c>
      <c r="F24" s="42">
        <v>0</v>
      </c>
      <c r="G24" s="42">
        <v>0</v>
      </c>
      <c r="H24" s="42">
        <v>0</v>
      </c>
      <c r="I24" s="42" t="s">
        <v>61</v>
      </c>
      <c r="J24" s="42" t="s">
        <v>61</v>
      </c>
      <c r="K24" s="42" t="s">
        <v>61</v>
      </c>
    </row>
    <row r="25" spans="1:11" x14ac:dyDescent="0.35">
      <c r="A25" s="40" t="s">
        <v>868</v>
      </c>
      <c r="B25" s="42">
        <v>12.42</v>
      </c>
      <c r="C25" s="42">
        <v>14.87</v>
      </c>
      <c r="D25" s="42" t="s">
        <v>61</v>
      </c>
      <c r="E25" s="42">
        <v>6.6</v>
      </c>
      <c r="F25" s="42">
        <v>16.97</v>
      </c>
      <c r="G25" s="42">
        <v>9.0299999999999994</v>
      </c>
      <c r="H25" s="42">
        <v>7.07</v>
      </c>
      <c r="I25" s="42" t="s">
        <v>61</v>
      </c>
      <c r="J25" s="42" t="s">
        <v>61</v>
      </c>
      <c r="K25" s="42" t="s">
        <v>61</v>
      </c>
    </row>
    <row r="26" spans="1:11" x14ac:dyDescent="0.35">
      <c r="A26" s="43" t="s">
        <v>139</v>
      </c>
      <c r="B26" s="43" t="s">
        <v>140</v>
      </c>
      <c r="C26" s="43"/>
      <c r="D26" s="43"/>
      <c r="E26" s="43"/>
      <c r="F26" s="43"/>
      <c r="G26" s="43"/>
      <c r="H26" s="43"/>
      <c r="I26" s="43"/>
      <c r="J26" s="43"/>
      <c r="K26" s="4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86BFF-ED25-054C-9961-566258458845}">
  <sheetPr>
    <tabColor rgb="FFFFC000"/>
  </sheetPr>
  <dimension ref="A1:AE454"/>
  <sheetViews>
    <sheetView zoomScale="75" workbookViewId="0">
      <pane ySplit="4" topLeftCell="A5" activePane="bottomLeft" state="frozen"/>
      <selection pane="bottomLeft" activeCell="M6" sqref="M6"/>
    </sheetView>
  </sheetViews>
  <sheetFormatPr defaultColWidth="10.88671875" defaultRowHeight="17.399999999999999" x14ac:dyDescent="0.35"/>
  <cols>
    <col min="1" max="1" width="80.109375" style="2" bestFit="1" customWidth="1"/>
    <col min="2" max="2" width="12.88671875" style="2" bestFit="1" customWidth="1"/>
    <col min="3" max="4" width="13.6640625" style="2" bestFit="1" customWidth="1"/>
    <col min="5" max="5" width="13" style="2" bestFit="1" customWidth="1"/>
    <col min="6" max="6" width="12.88671875" style="2" bestFit="1" customWidth="1"/>
    <col min="7" max="9" width="13" style="2" bestFit="1" customWidth="1"/>
    <col min="10" max="10" width="24" style="2" bestFit="1" customWidth="1"/>
    <col min="11" max="11" width="13.33203125" style="2" bestFit="1" customWidth="1"/>
    <col min="12" max="13" width="10.88671875" style="2"/>
    <col min="14" max="14" width="25.6640625" style="2" customWidth="1"/>
    <col min="15" max="15" width="13.109375" style="2" bestFit="1" customWidth="1"/>
    <col min="16" max="16" width="12" style="2" bestFit="1" customWidth="1"/>
    <col min="17" max="17" width="12.88671875" style="2" bestFit="1" customWidth="1"/>
    <col min="18" max="18" width="16.109375" style="2" bestFit="1" customWidth="1"/>
    <col min="19" max="25" width="11.44140625" style="2" bestFit="1" customWidth="1"/>
    <col min="26" max="26" width="12.109375" style="2" bestFit="1" customWidth="1"/>
    <col min="27" max="27" width="12.33203125" style="2" bestFit="1" customWidth="1"/>
    <col min="28" max="29" width="10.88671875" style="2"/>
    <col min="30" max="30" width="35.109375" style="2" bestFit="1" customWidth="1"/>
    <col min="31" max="16384" width="10.88671875" style="2"/>
  </cols>
  <sheetData>
    <row r="1" spans="1:30" x14ac:dyDescent="0.35">
      <c r="A1" s="34" t="s">
        <v>869</v>
      </c>
      <c r="B1" s="34"/>
      <c r="C1" s="34"/>
      <c r="D1" s="34"/>
      <c r="E1" s="34"/>
      <c r="F1" s="34"/>
      <c r="G1" s="34"/>
      <c r="H1" s="34"/>
      <c r="I1" s="34"/>
      <c r="J1" s="34"/>
      <c r="K1" s="34"/>
    </row>
    <row r="2" spans="1:30" x14ac:dyDescent="0.35">
      <c r="A2" s="35" t="s">
        <v>870</v>
      </c>
      <c r="B2" s="35"/>
      <c r="C2" s="35"/>
      <c r="D2" s="35"/>
      <c r="E2" s="35"/>
      <c r="F2" s="35"/>
      <c r="G2" s="35"/>
      <c r="H2" s="35"/>
      <c r="I2" s="35"/>
      <c r="J2" s="35"/>
      <c r="K2" s="36"/>
    </row>
    <row r="3" spans="1:30" x14ac:dyDescent="0.35">
      <c r="A3" s="37" t="s">
        <v>820</v>
      </c>
      <c r="B3" s="37" t="s">
        <v>871</v>
      </c>
      <c r="C3" s="37" t="s">
        <v>872</v>
      </c>
      <c r="D3" s="37" t="s">
        <v>873</v>
      </c>
      <c r="E3" s="37" t="s">
        <v>874</v>
      </c>
      <c r="F3" s="37" t="s">
        <v>875</v>
      </c>
      <c r="G3" s="37" t="s">
        <v>876</v>
      </c>
      <c r="H3" s="37" t="s">
        <v>877</v>
      </c>
      <c r="I3" s="37" t="s">
        <v>878</v>
      </c>
      <c r="J3" s="37" t="s">
        <v>879</v>
      </c>
      <c r="K3" s="37" t="s">
        <v>880</v>
      </c>
    </row>
    <row r="4" spans="1:30" x14ac:dyDescent="0.35">
      <c r="A4" s="38" t="s">
        <v>12</v>
      </c>
      <c r="B4" s="39">
        <v>43100</v>
      </c>
      <c r="C4" s="39">
        <v>43465</v>
      </c>
      <c r="D4" s="39">
        <v>43830</v>
      </c>
      <c r="E4" s="39">
        <v>44196</v>
      </c>
      <c r="F4" s="39">
        <v>44561</v>
      </c>
      <c r="G4" s="39">
        <v>44926</v>
      </c>
      <c r="H4" s="39">
        <v>45291</v>
      </c>
      <c r="I4" s="39">
        <v>45657</v>
      </c>
      <c r="J4" s="39">
        <v>46022</v>
      </c>
      <c r="K4" s="39">
        <v>46387</v>
      </c>
    </row>
    <row r="5" spans="1:30" x14ac:dyDescent="0.35">
      <c r="A5" s="62" t="s">
        <v>881</v>
      </c>
      <c r="B5" s="64">
        <v>6873</v>
      </c>
      <c r="C5" s="64">
        <v>10553</v>
      </c>
      <c r="D5" s="64">
        <v>11144</v>
      </c>
      <c r="E5" s="64">
        <v>10662</v>
      </c>
      <c r="F5" s="64">
        <v>12191</v>
      </c>
      <c r="G5" s="64">
        <v>33817</v>
      </c>
      <c r="H5" s="64">
        <v>41321</v>
      </c>
      <c r="I5" s="64">
        <v>39321</v>
      </c>
      <c r="J5" s="64">
        <v>37160.28</v>
      </c>
      <c r="K5" s="64">
        <v>36836.300000000003</v>
      </c>
      <c r="N5" s="60" t="e" vm="1">
        <v>#VALUE!</v>
      </c>
      <c r="O5" s="61"/>
      <c r="P5" s="61"/>
      <c r="Q5" s="61"/>
      <c r="R5" s="61"/>
      <c r="S5" s="61"/>
      <c r="T5" s="61"/>
      <c r="U5" s="61"/>
      <c r="V5" s="61"/>
      <c r="W5" s="61"/>
      <c r="X5" s="61"/>
      <c r="Y5" s="61"/>
      <c r="Z5" s="61"/>
      <c r="AA5" s="61"/>
      <c r="AB5" s="61"/>
      <c r="AC5" s="61"/>
      <c r="AD5" s="61"/>
    </row>
    <row r="6" spans="1:30" x14ac:dyDescent="0.35">
      <c r="A6" s="62" t="s">
        <v>882</v>
      </c>
      <c r="B6" s="63"/>
      <c r="C6" s="63"/>
      <c r="D6" s="63"/>
      <c r="E6" s="63"/>
      <c r="F6" s="63"/>
      <c r="G6" s="64">
        <v>9731</v>
      </c>
      <c r="H6" s="64">
        <v>12192</v>
      </c>
      <c r="I6" s="64">
        <v>11607</v>
      </c>
      <c r="J6" s="64">
        <v>12772.57</v>
      </c>
      <c r="K6" s="64">
        <v>12914.39</v>
      </c>
      <c r="N6" s="61" t="s">
        <v>883</v>
      </c>
      <c r="O6" s="61"/>
      <c r="P6" s="61"/>
      <c r="Q6" s="61"/>
      <c r="R6" s="61"/>
      <c r="S6" s="61"/>
      <c r="T6" s="61"/>
      <c r="U6" s="61"/>
      <c r="V6" s="61"/>
      <c r="W6" s="61"/>
      <c r="X6" s="61"/>
      <c r="Y6" s="61"/>
      <c r="Z6" s="61"/>
      <c r="AA6" s="61"/>
      <c r="AB6" s="61"/>
      <c r="AC6" s="61"/>
      <c r="AD6" s="61"/>
    </row>
    <row r="7" spans="1:30" x14ac:dyDescent="0.35">
      <c r="A7" s="40" t="s">
        <v>884</v>
      </c>
      <c r="B7" s="42"/>
      <c r="C7" s="42"/>
      <c r="D7" s="42"/>
      <c r="E7" s="42"/>
      <c r="F7" s="42"/>
      <c r="G7" s="42">
        <v>28.78</v>
      </c>
      <c r="H7" s="42">
        <v>29.51</v>
      </c>
      <c r="I7" s="42">
        <v>29.52</v>
      </c>
      <c r="J7" s="42">
        <v>34.369999999999997</v>
      </c>
      <c r="K7" s="42">
        <v>35.06</v>
      </c>
      <c r="N7" s="173"/>
      <c r="O7" s="637" t="s">
        <v>885</v>
      </c>
      <c r="P7" s="637"/>
      <c r="Q7" s="637"/>
      <c r="R7" s="638" t="s">
        <v>886</v>
      </c>
      <c r="S7" s="639"/>
      <c r="T7" s="637" t="s">
        <v>887</v>
      </c>
      <c r="U7" s="637"/>
      <c r="V7" s="637"/>
      <c r="W7" s="637"/>
      <c r="X7" s="637"/>
      <c r="Y7" s="637"/>
      <c r="Z7" s="637"/>
      <c r="AA7" s="639"/>
      <c r="AB7" s="161"/>
      <c r="AC7" s="161"/>
      <c r="AD7" s="161"/>
    </row>
    <row r="8" spans="1:30" x14ac:dyDescent="0.35">
      <c r="A8" s="40" t="s">
        <v>888</v>
      </c>
      <c r="B8" s="42"/>
      <c r="C8" s="42"/>
      <c r="D8" s="42"/>
      <c r="E8" s="42"/>
      <c r="F8" s="42"/>
      <c r="G8" s="42">
        <v>15</v>
      </c>
      <c r="H8" s="42">
        <v>15</v>
      </c>
      <c r="I8" s="42">
        <v>5</v>
      </c>
      <c r="J8" s="42">
        <v>2.71</v>
      </c>
      <c r="K8" s="42">
        <v>4.47</v>
      </c>
      <c r="N8" s="165" t="s">
        <v>889</v>
      </c>
      <c r="O8" s="174" t="s">
        <v>890</v>
      </c>
      <c r="P8" s="174" t="s">
        <v>891</v>
      </c>
      <c r="Q8" s="175" t="s">
        <v>892</v>
      </c>
      <c r="R8" s="165" t="s">
        <v>893</v>
      </c>
      <c r="S8" s="166" t="s">
        <v>894</v>
      </c>
      <c r="T8" s="175" t="s">
        <v>895</v>
      </c>
      <c r="U8" s="175" t="s">
        <v>896</v>
      </c>
      <c r="V8" s="175" t="s">
        <v>897</v>
      </c>
      <c r="W8" s="175" t="s">
        <v>898</v>
      </c>
      <c r="X8" s="175" t="s">
        <v>899</v>
      </c>
      <c r="Y8" s="175" t="s">
        <v>900</v>
      </c>
      <c r="Z8" s="175" t="s">
        <v>901</v>
      </c>
      <c r="AA8" s="166" t="s">
        <v>902</v>
      </c>
      <c r="AB8" s="161"/>
      <c r="AC8" s="161"/>
      <c r="AD8" s="161"/>
    </row>
    <row r="9" spans="1:30" x14ac:dyDescent="0.35">
      <c r="A9" s="40" t="s">
        <v>903</v>
      </c>
      <c r="B9" s="42"/>
      <c r="C9" s="42"/>
      <c r="D9" s="42"/>
      <c r="E9" s="42"/>
      <c r="F9" s="42"/>
      <c r="G9" s="42">
        <v>0.04</v>
      </c>
      <c r="H9" s="42">
        <v>0.04</v>
      </c>
      <c r="I9" s="42">
        <v>0.01</v>
      </c>
      <c r="J9" s="42">
        <v>0.01</v>
      </c>
      <c r="K9" s="42">
        <v>0.01</v>
      </c>
      <c r="N9" s="181" t="s">
        <v>904</v>
      </c>
      <c r="O9" s="182">
        <f>G5</f>
        <v>33817</v>
      </c>
      <c r="P9" s="182">
        <f t="shared" ref="P9:S9" si="0">H5</f>
        <v>41321</v>
      </c>
      <c r="Q9" s="182">
        <f t="shared" si="0"/>
        <v>39321</v>
      </c>
      <c r="R9" s="183">
        <f t="shared" si="0"/>
        <v>37160.28</v>
      </c>
      <c r="S9" s="184">
        <f t="shared" si="0"/>
        <v>36836.300000000003</v>
      </c>
      <c r="T9" s="183">
        <f>S9*(1+T10)</f>
        <v>38216.090642575706</v>
      </c>
      <c r="U9" s="182">
        <f t="shared" ref="U9:AA9" si="1">T9*(1+U10)</f>
        <v>37885.393289840642</v>
      </c>
      <c r="V9" s="182">
        <f t="shared" si="1"/>
        <v>37934.026487221665</v>
      </c>
      <c r="W9" s="182">
        <f t="shared" si="1"/>
        <v>38516.022199100596</v>
      </c>
      <c r="X9" s="183">
        <f t="shared" si="1"/>
        <v>39338.628281749676</v>
      </c>
      <c r="Y9" s="182">
        <f t="shared" si="1"/>
        <v>40020.466585486931</v>
      </c>
      <c r="Z9" s="182">
        <f t="shared" si="1"/>
        <v>40974.114765319719</v>
      </c>
      <c r="AA9" s="184">
        <f t="shared" si="1"/>
        <v>42181.431066013974</v>
      </c>
      <c r="AB9" s="162"/>
      <c r="AC9" s="162"/>
      <c r="AD9" s="162"/>
    </row>
    <row r="10" spans="1:30" x14ac:dyDescent="0.35">
      <c r="A10" s="40" t="s">
        <v>905</v>
      </c>
      <c r="B10" s="42"/>
      <c r="C10" s="42"/>
      <c r="D10" s="42"/>
      <c r="E10" s="42"/>
      <c r="F10" s="42"/>
      <c r="G10" s="42">
        <v>12</v>
      </c>
      <c r="H10" s="42">
        <v>17</v>
      </c>
      <c r="I10" s="42">
        <v>8</v>
      </c>
      <c r="J10" s="42">
        <v>1.26</v>
      </c>
      <c r="K10" s="42">
        <v>3.54</v>
      </c>
      <c r="N10" s="198" t="s">
        <v>906</v>
      </c>
      <c r="O10" s="199">
        <f>(O9/F5)-1</f>
        <v>1.7739315888770406</v>
      </c>
      <c r="P10" s="199">
        <f>(P9/O9)-1</f>
        <v>0.22190022769612927</v>
      </c>
      <c r="Q10" s="200">
        <f t="shared" ref="Q10:S10" si="2">(Q9/P9)-1</f>
        <v>-4.8401539168945518E-2</v>
      </c>
      <c r="R10" s="201">
        <f t="shared" si="2"/>
        <v>-5.4950789654383159E-2</v>
      </c>
      <c r="S10" s="200">
        <f t="shared" si="2"/>
        <v>-8.7184488383832415E-3</v>
      </c>
      <c r="T10" s="205">
        <f>AVERAGE(P10:S10)+0.01</f>
        <v>3.745736250860434E-2</v>
      </c>
      <c r="U10" s="205">
        <f t="shared" ref="U10:AA10" si="3">AVERAGE(Q10:T10)+0.01</f>
        <v>-8.6533537882768925E-3</v>
      </c>
      <c r="V10" s="205">
        <f t="shared" si="3"/>
        <v>1.2836925568902625E-3</v>
      </c>
      <c r="W10" s="205">
        <f t="shared" si="3"/>
        <v>1.5342313109708617E-2</v>
      </c>
      <c r="X10" s="358">
        <f t="shared" si="3"/>
        <v>2.1357503596731581E-2</v>
      </c>
      <c r="Y10" s="205">
        <f t="shared" si="3"/>
        <v>1.7332538868763393E-2</v>
      </c>
      <c r="Z10" s="205">
        <f t="shared" si="3"/>
        <v>2.3829012033023463E-2</v>
      </c>
      <c r="AA10" s="206">
        <f t="shared" si="3"/>
        <v>2.9465341902056762E-2</v>
      </c>
      <c r="AB10" s="163"/>
      <c r="AC10" s="163"/>
      <c r="AD10" s="163"/>
    </row>
    <row r="11" spans="1:30" x14ac:dyDescent="0.35">
      <c r="A11" s="40" t="s">
        <v>903</v>
      </c>
      <c r="B11" s="42"/>
      <c r="C11" s="42"/>
      <c r="D11" s="42"/>
      <c r="E11" s="42"/>
      <c r="F11" s="42"/>
      <c r="G11" s="42">
        <v>0.04</v>
      </c>
      <c r="H11" s="42">
        <v>0.04</v>
      </c>
      <c r="I11" s="42">
        <v>0.02</v>
      </c>
      <c r="J11" s="42">
        <v>0</v>
      </c>
      <c r="K11" s="42">
        <v>0.01</v>
      </c>
      <c r="N11" s="188" t="s">
        <v>907</v>
      </c>
      <c r="O11" s="209">
        <f>G6</f>
        <v>9731</v>
      </c>
      <c r="P11" s="209">
        <f>H6</f>
        <v>12192</v>
      </c>
      <c r="Q11" s="209">
        <f>I6</f>
        <v>11607</v>
      </c>
      <c r="R11" s="210">
        <f>J6</f>
        <v>12772.57</v>
      </c>
      <c r="S11" s="211">
        <f>K6</f>
        <v>12914.39</v>
      </c>
      <c r="T11" s="209">
        <f>T9*T13</f>
        <v>12017.436312695918</v>
      </c>
      <c r="U11" s="209">
        <f t="shared" ref="U11:AA11" si="4">U9*U13</f>
        <v>12115.794380064712</v>
      </c>
      <c r="V11" s="209">
        <f t="shared" si="4"/>
        <v>12319.086026366904</v>
      </c>
      <c r="W11" s="209">
        <f t="shared" si="4"/>
        <v>12735.83076147212</v>
      </c>
      <c r="X11" s="210">
        <f t="shared" si="4"/>
        <v>12905.143093792874</v>
      </c>
      <c r="Y11" s="209">
        <f t="shared" si="4"/>
        <v>12948.44183008919</v>
      </c>
      <c r="Z11" s="209">
        <f t="shared" si="4"/>
        <v>13331.443507634467</v>
      </c>
      <c r="AA11" s="211">
        <f t="shared" si="4"/>
        <v>13771.176371881296</v>
      </c>
      <c r="AB11" s="164"/>
      <c r="AC11" s="164"/>
      <c r="AD11" s="164"/>
    </row>
    <row r="12" spans="1:30" x14ac:dyDescent="0.35">
      <c r="A12" s="40" t="s">
        <v>908</v>
      </c>
      <c r="B12" s="42"/>
      <c r="C12" s="42"/>
      <c r="D12" s="42"/>
      <c r="E12" s="42"/>
      <c r="F12" s="42"/>
      <c r="G12" s="41">
        <v>9156</v>
      </c>
      <c r="H12" s="41">
        <v>11358</v>
      </c>
      <c r="I12" s="41">
        <v>10717</v>
      </c>
      <c r="J12" s="41">
        <v>11899.48</v>
      </c>
      <c r="K12" s="41">
        <v>12024.1</v>
      </c>
      <c r="N12" s="171" t="s">
        <v>909</v>
      </c>
      <c r="O12" s="228" t="s">
        <v>910</v>
      </c>
      <c r="P12" s="177">
        <f>(P11-O11)/ABS(O11)</f>
        <v>0.25290309320727572</v>
      </c>
      <c r="Q12" s="193">
        <f t="shared" ref="Q12" si="5">(Q11/P11)-1</f>
        <v>-4.7982283464566899E-2</v>
      </c>
      <c r="R12" s="196">
        <f>(R11/Q11)-1</f>
        <v>0.10041957439476179</v>
      </c>
      <c r="S12" s="197">
        <f>((S11/R11)-1)+0.1</f>
        <v>0.11110348191475952</v>
      </c>
      <c r="T12" s="193">
        <f>AVERAGE(P12:S12)+0.1</f>
        <v>0.20411096651305755</v>
      </c>
      <c r="U12" s="193">
        <f>AVERAGE(Q12:T12)+0.1</f>
        <v>0.191912934839503</v>
      </c>
      <c r="V12" s="193">
        <f t="shared" ref="V12:AA12" si="6">AVERAGE(R12:U12)</f>
        <v>0.15188673941552047</v>
      </c>
      <c r="W12" s="193">
        <f t="shared" si="6"/>
        <v>0.16475353067071014</v>
      </c>
      <c r="X12" s="196">
        <f t="shared" si="6"/>
        <v>0.17816604285969778</v>
      </c>
      <c r="Y12" s="193">
        <f t="shared" si="6"/>
        <v>0.17167981194635784</v>
      </c>
      <c r="Z12" s="193">
        <f t="shared" si="6"/>
        <v>0.16662153122307155</v>
      </c>
      <c r="AA12" s="197">
        <f t="shared" si="6"/>
        <v>0.17030522917495933</v>
      </c>
      <c r="AB12" s="163"/>
      <c r="AC12" s="163"/>
      <c r="AD12" s="163"/>
    </row>
    <row r="13" spans="1:30" x14ac:dyDescent="0.35">
      <c r="A13" s="40" t="s">
        <v>903</v>
      </c>
      <c r="B13" s="42"/>
      <c r="C13" s="42"/>
      <c r="D13" s="42"/>
      <c r="E13" s="42"/>
      <c r="F13" s="42"/>
      <c r="G13" s="42">
        <v>27.08</v>
      </c>
      <c r="H13" s="42">
        <v>27.49</v>
      </c>
      <c r="I13" s="42">
        <v>27.26</v>
      </c>
      <c r="J13" s="42">
        <v>32.020000000000003</v>
      </c>
      <c r="K13" s="42">
        <v>32.64</v>
      </c>
      <c r="N13" s="171" t="s">
        <v>911</v>
      </c>
      <c r="O13" s="177">
        <f>O11/O9</f>
        <v>0.28775467959901824</v>
      </c>
      <c r="P13" s="177">
        <f>P11/P9</f>
        <v>0.29505578277389222</v>
      </c>
      <c r="Q13" s="177">
        <f>Q11/Q9</f>
        <v>0.29518577859159228</v>
      </c>
      <c r="R13" s="167">
        <f>R11/R9</f>
        <v>0.34371565553327371</v>
      </c>
      <c r="S13" s="168">
        <f>S11/S9</f>
        <v>0.35058868561717649</v>
      </c>
      <c r="T13" s="178">
        <f>AVERAGE(O13:S13)</f>
        <v>0.3144601164229906</v>
      </c>
      <c r="U13" s="178">
        <f t="shared" ref="U13:AA13" si="7">AVERAGE(P13:T13)</f>
        <v>0.31980120378778504</v>
      </c>
      <c r="V13" s="178">
        <f t="shared" si="7"/>
        <v>0.3247502879905636</v>
      </c>
      <c r="W13" s="178">
        <f t="shared" si="7"/>
        <v>0.33066318987035787</v>
      </c>
      <c r="X13" s="169">
        <f t="shared" si="7"/>
        <v>0.32805269673777471</v>
      </c>
      <c r="Y13" s="178">
        <f t="shared" si="7"/>
        <v>0.32354549896189438</v>
      </c>
      <c r="Z13" s="178">
        <f t="shared" si="7"/>
        <v>0.32536257546967512</v>
      </c>
      <c r="AA13" s="170">
        <f t="shared" si="7"/>
        <v>0.32647484980605312</v>
      </c>
      <c r="AB13" s="163"/>
      <c r="AC13" s="163"/>
      <c r="AD13" s="163"/>
    </row>
    <row r="14" spans="1:30" x14ac:dyDescent="0.35">
      <c r="A14" s="40" t="s">
        <v>912</v>
      </c>
      <c r="B14" s="42"/>
      <c r="C14" s="42"/>
      <c r="D14" s="42"/>
      <c r="E14" s="42"/>
      <c r="F14" s="42"/>
      <c r="G14" s="42">
        <v>548</v>
      </c>
      <c r="H14" s="42">
        <v>802</v>
      </c>
      <c r="I14" s="42">
        <v>877</v>
      </c>
      <c r="J14" s="42">
        <v>857.85</v>
      </c>
      <c r="K14" s="42">
        <v>885.03</v>
      </c>
      <c r="N14" s="179" t="s">
        <v>913</v>
      </c>
      <c r="O14" s="212">
        <f>G16</f>
        <v>19348</v>
      </c>
      <c r="P14" s="212">
        <f>H16</f>
        <v>21244</v>
      </c>
      <c r="Q14" s="212">
        <f>I16</f>
        <v>20175</v>
      </c>
      <c r="R14" s="213">
        <f>J16</f>
        <v>17496.86</v>
      </c>
      <c r="S14" s="214">
        <f>K16</f>
        <v>15770.29</v>
      </c>
      <c r="T14" s="212">
        <f>S14*(1+T15)</f>
        <v>15045.843125748197</v>
      </c>
      <c r="U14" s="212">
        <f t="shared" ref="U14:AA14" si="8">T14*(1+U15)</f>
        <v>13813.280645700075</v>
      </c>
      <c r="V14" s="212">
        <f t="shared" si="8"/>
        <v>12572.564044175131</v>
      </c>
      <c r="W14" s="212">
        <f t="shared" si="8"/>
        <v>11578.208370064216</v>
      </c>
      <c r="X14" s="213">
        <f t="shared" si="8"/>
        <v>10719.198501105111</v>
      </c>
      <c r="Y14" s="212">
        <f t="shared" si="8"/>
        <v>9848.2038431227193</v>
      </c>
      <c r="Z14" s="212">
        <f t="shared" si="8"/>
        <v>9049.6193493895353</v>
      </c>
      <c r="AA14" s="214">
        <f t="shared" si="8"/>
        <v>8335.5450779138282</v>
      </c>
      <c r="AB14" s="163"/>
      <c r="AC14" s="163"/>
      <c r="AD14" s="163"/>
    </row>
    <row r="15" spans="1:30" x14ac:dyDescent="0.35">
      <c r="A15" s="40" t="s">
        <v>903</v>
      </c>
      <c r="B15" s="42"/>
      <c r="C15" s="42"/>
      <c r="D15" s="42"/>
      <c r="E15" s="42"/>
      <c r="F15" s="42"/>
      <c r="G15" s="42">
        <v>1.62</v>
      </c>
      <c r="H15" s="42">
        <v>1.94</v>
      </c>
      <c r="I15" s="42">
        <v>2.23</v>
      </c>
      <c r="J15" s="42">
        <v>2.31</v>
      </c>
      <c r="K15" s="42">
        <v>2.4</v>
      </c>
      <c r="N15" s="171" t="s">
        <v>909</v>
      </c>
      <c r="O15" s="228" t="s">
        <v>910</v>
      </c>
      <c r="P15" s="177">
        <f>(P14-O14)/ABS(O14)</f>
        <v>9.7994624767417826E-2</v>
      </c>
      <c r="Q15" s="177">
        <f t="shared" ref="Q15:R15" si="9">(Q14-P14)/ABS(P14)</f>
        <v>-5.0320090378459803E-2</v>
      </c>
      <c r="R15" s="167">
        <f t="shared" si="9"/>
        <v>-0.13274547707558856</v>
      </c>
      <c r="S15" s="168">
        <f>(S14-R14)/ABS(R14)</f>
        <v>-9.8678848661988477E-2</v>
      </c>
      <c r="T15" s="193">
        <f>AVERAGE(P15:S15)</f>
        <v>-4.5937447837154755E-2</v>
      </c>
      <c r="U15" s="193">
        <f t="shared" ref="U15:AA15" si="10">AVERAGE(Q15:T15)</f>
        <v>-8.19204659882979E-2</v>
      </c>
      <c r="V15" s="193">
        <f t="shared" si="10"/>
        <v>-8.982055989075742E-2</v>
      </c>
      <c r="W15" s="193">
        <f t="shared" si="10"/>
        <v>-7.9089330594549645E-2</v>
      </c>
      <c r="X15" s="196">
        <f t="shared" si="10"/>
        <v>-7.419195107768993E-2</v>
      </c>
      <c r="Y15" s="193">
        <f t="shared" si="10"/>
        <v>-8.1255576887823727E-2</v>
      </c>
      <c r="Z15" s="193">
        <f t="shared" si="10"/>
        <v>-8.1089354612705195E-2</v>
      </c>
      <c r="AA15" s="197">
        <f t="shared" si="10"/>
        <v>-7.8906553293192128E-2</v>
      </c>
      <c r="AB15" s="162"/>
      <c r="AC15" s="162"/>
      <c r="AD15" s="162"/>
    </row>
    <row r="16" spans="1:30" x14ac:dyDescent="0.35">
      <c r="A16" s="62" t="s">
        <v>914</v>
      </c>
      <c r="B16" s="63"/>
      <c r="C16" s="63"/>
      <c r="D16" s="63"/>
      <c r="E16" s="63"/>
      <c r="F16" s="63"/>
      <c r="G16" s="64">
        <v>19348</v>
      </c>
      <c r="H16" s="64">
        <v>21244</v>
      </c>
      <c r="I16" s="64">
        <v>20175</v>
      </c>
      <c r="J16" s="64">
        <v>17496.86</v>
      </c>
      <c r="K16" s="64">
        <v>15770.29</v>
      </c>
      <c r="N16" s="171" t="s">
        <v>911</v>
      </c>
      <c r="O16" s="177">
        <f>O14/O9</f>
        <v>0.57213827364934799</v>
      </c>
      <c r="P16" s="177">
        <f>P14/P9</f>
        <v>0.51412114905253992</v>
      </c>
      <c r="Q16" s="177">
        <f>Q14/Q9</f>
        <v>0.51308461127641714</v>
      </c>
      <c r="R16" s="167">
        <f>R14/R9</f>
        <v>0.47084844355317024</v>
      </c>
      <c r="S16" s="168">
        <f>S14/S9</f>
        <v>0.42811818776587224</v>
      </c>
      <c r="T16" s="178">
        <f>AVERAGE(O16:S16)</f>
        <v>0.49966213305946949</v>
      </c>
      <c r="U16" s="178">
        <f t="shared" ref="U16:AA16" si="11">AVERAGE(P16:T16)</f>
        <v>0.48516690494149384</v>
      </c>
      <c r="V16" s="178">
        <f t="shared" si="11"/>
        <v>0.47937605611928458</v>
      </c>
      <c r="W16" s="178">
        <f t="shared" si="11"/>
        <v>0.47263434508785807</v>
      </c>
      <c r="X16" s="169">
        <f t="shared" si="11"/>
        <v>0.47299152539479561</v>
      </c>
      <c r="Y16" s="178">
        <f t="shared" si="11"/>
        <v>0.48196619292058029</v>
      </c>
      <c r="Z16" s="178">
        <f t="shared" si="11"/>
        <v>0.47842700489280243</v>
      </c>
      <c r="AA16" s="170">
        <f t="shared" si="11"/>
        <v>0.4770790248830642</v>
      </c>
      <c r="AB16" s="164"/>
      <c r="AC16" s="164"/>
      <c r="AD16" s="164"/>
    </row>
    <row r="17" spans="1:31" x14ac:dyDescent="0.35">
      <c r="A17" s="40" t="s">
        <v>884</v>
      </c>
      <c r="B17" s="42"/>
      <c r="C17" s="42"/>
      <c r="D17" s="42"/>
      <c r="E17" s="42"/>
      <c r="F17" s="42"/>
      <c r="G17" s="42">
        <v>57.21</v>
      </c>
      <c r="H17" s="42">
        <v>51.41</v>
      </c>
      <c r="I17" s="42">
        <v>51.31</v>
      </c>
      <c r="J17" s="42">
        <v>47.08</v>
      </c>
      <c r="K17" s="42">
        <v>42.81</v>
      </c>
      <c r="N17" s="176" t="s">
        <v>915</v>
      </c>
      <c r="O17" s="212">
        <f>G26</f>
        <v>7274</v>
      </c>
      <c r="P17" s="212">
        <f>H26</f>
        <v>10154</v>
      </c>
      <c r="Q17" s="212">
        <f>I26</f>
        <v>10313</v>
      </c>
      <c r="R17" s="213">
        <f>J26</f>
        <v>10822.08</v>
      </c>
      <c r="S17" s="214">
        <f>K26</f>
        <v>11779.33</v>
      </c>
      <c r="T17" s="212">
        <f>T9*T19</f>
        <v>10196.915345217954</v>
      </c>
      <c r="U17" s="212">
        <f t="shared" ref="U17:AA17" si="12">U9*U19</f>
        <v>10500.591998742255</v>
      </c>
      <c r="V17" s="212">
        <f t="shared" si="12"/>
        <v>10752.545162643299</v>
      </c>
      <c r="W17" s="212">
        <f t="shared" si="12"/>
        <v>11080.642350149305</v>
      </c>
      <c r="X17" s="213">
        <f t="shared" si="12"/>
        <v>11289.461847014396</v>
      </c>
      <c r="Y17" s="212">
        <f t="shared" si="12"/>
        <v>11222.654848495244</v>
      </c>
      <c r="Z17" s="212">
        <f t="shared" si="12"/>
        <v>11601.531867684416</v>
      </c>
      <c r="AA17" s="214">
        <f t="shared" si="12"/>
        <v>11993.787330760733</v>
      </c>
      <c r="AB17" s="164"/>
      <c r="AC17" s="164"/>
      <c r="AD17" s="164"/>
    </row>
    <row r="18" spans="1:31" x14ac:dyDescent="0.35">
      <c r="A18" s="40" t="s">
        <v>888</v>
      </c>
      <c r="B18" s="42"/>
      <c r="C18" s="42"/>
      <c r="D18" s="42"/>
      <c r="E18" s="42"/>
      <c r="F18" s="42"/>
      <c r="G18" s="41">
        <v>8224</v>
      </c>
      <c r="H18" s="41">
        <v>8342</v>
      </c>
      <c r="I18" s="41">
        <v>7306</v>
      </c>
      <c r="J18" s="41">
        <v>6231.57</v>
      </c>
      <c r="K18" s="41">
        <v>5341.81</v>
      </c>
      <c r="N18" s="171" t="s">
        <v>909</v>
      </c>
      <c r="O18" s="228" t="s">
        <v>910</v>
      </c>
      <c r="P18" s="177">
        <f>(P17-O17)/ABS(O17)</f>
        <v>0.39593071212537806</v>
      </c>
      <c r="Q18" s="177">
        <f t="shared" ref="Q18:S18" si="13">(Q17-P17)/ABS(P17)</f>
        <v>1.565885365373252E-2</v>
      </c>
      <c r="R18" s="167">
        <f t="shared" si="13"/>
        <v>4.9362939978667697E-2</v>
      </c>
      <c r="S18" s="168">
        <f t="shared" si="13"/>
        <v>8.8453421153789291E-2</v>
      </c>
      <c r="T18" s="193">
        <f>AVERAGE(P18:S18)</f>
        <v>0.13735148172789191</v>
      </c>
      <c r="U18" s="193">
        <f t="shared" ref="U18:AA18" si="14">AVERAGE(Q18:T18)</f>
        <v>7.270667412852036E-2</v>
      </c>
      <c r="V18" s="193">
        <f t="shared" si="14"/>
        <v>8.6968629247217322E-2</v>
      </c>
      <c r="W18" s="193">
        <f t="shared" si="14"/>
        <v>9.6370051564354728E-2</v>
      </c>
      <c r="X18" s="196">
        <f t="shared" si="14"/>
        <v>9.8349209166996077E-2</v>
      </c>
      <c r="Y18" s="193">
        <f t="shared" si="14"/>
        <v>8.8598641026772118E-2</v>
      </c>
      <c r="Z18" s="193">
        <f t="shared" si="14"/>
        <v>9.2571632751335065E-2</v>
      </c>
      <c r="AA18" s="197">
        <f t="shared" si="14"/>
        <v>9.39723836273645E-2</v>
      </c>
      <c r="AB18" s="163"/>
      <c r="AC18" s="163"/>
      <c r="AD18" s="163"/>
      <c r="AE18" s="202"/>
    </row>
    <row r="19" spans="1:31" x14ac:dyDescent="0.35">
      <c r="A19" s="40" t="s">
        <v>903</v>
      </c>
      <c r="B19" s="42"/>
      <c r="C19" s="42"/>
      <c r="D19" s="42"/>
      <c r="E19" s="42"/>
      <c r="F19" s="42"/>
      <c r="G19" s="42">
        <v>24.32</v>
      </c>
      <c r="H19" s="42">
        <v>20.190000000000001</v>
      </c>
      <c r="I19" s="42">
        <v>18.579999999999998</v>
      </c>
      <c r="J19" s="42">
        <v>16.77</v>
      </c>
      <c r="K19" s="42">
        <v>14.5</v>
      </c>
      <c r="N19" s="171" t="s">
        <v>911</v>
      </c>
      <c r="O19" s="178">
        <f>O17/O9</f>
        <v>0.21509891474702073</v>
      </c>
      <c r="P19" s="178">
        <f>P17/P9</f>
        <v>0.24573461436073668</v>
      </c>
      <c r="Q19" s="178">
        <f>Q17/Q9</f>
        <v>0.26227715470105034</v>
      </c>
      <c r="R19" s="169">
        <f>R17/R9</f>
        <v>0.29122708440302386</v>
      </c>
      <c r="S19" s="170">
        <f>S17/S9</f>
        <v>0.31977505884141455</v>
      </c>
      <c r="T19" s="178">
        <f>AVERAGE(O19:S19)</f>
        <v>0.26682256541064919</v>
      </c>
      <c r="U19" s="178">
        <f t="shared" ref="U19:AA19" si="15">AVERAGE(P19:T19)</f>
        <v>0.27716729554337494</v>
      </c>
      <c r="V19" s="178">
        <f t="shared" si="15"/>
        <v>0.28345383177990258</v>
      </c>
      <c r="W19" s="178">
        <f t="shared" si="15"/>
        <v>0.287689167195673</v>
      </c>
      <c r="X19" s="169">
        <f t="shared" si="15"/>
        <v>0.2869815837542028</v>
      </c>
      <c r="Y19" s="178">
        <f t="shared" si="15"/>
        <v>0.28042288873676052</v>
      </c>
      <c r="Z19" s="178">
        <f t="shared" si="15"/>
        <v>0.28314295340198281</v>
      </c>
      <c r="AA19" s="170">
        <f t="shared" si="15"/>
        <v>0.28433808497370433</v>
      </c>
      <c r="AB19" s="164"/>
      <c r="AC19" s="164"/>
      <c r="AD19" s="164"/>
    </row>
    <row r="20" spans="1:31" x14ac:dyDescent="0.35">
      <c r="A20" s="40" t="s">
        <v>905</v>
      </c>
      <c r="B20" s="42"/>
      <c r="C20" s="42"/>
      <c r="D20" s="42"/>
      <c r="E20" s="42"/>
      <c r="F20" s="42"/>
      <c r="G20" s="41">
        <v>9759</v>
      </c>
      <c r="H20" s="41">
        <v>11521</v>
      </c>
      <c r="I20" s="41">
        <v>10680</v>
      </c>
      <c r="J20" s="41">
        <v>9842.23</v>
      </c>
      <c r="K20" s="41">
        <v>9158.7000000000007</v>
      </c>
      <c r="N20" s="172" t="s">
        <v>916</v>
      </c>
      <c r="O20" s="215">
        <f>G36+G38</f>
        <v>-2419.8200000000002</v>
      </c>
      <c r="P20" s="215">
        <f>H36+H38</f>
        <v>-1594.85</v>
      </c>
      <c r="Q20" s="215">
        <f>I36+I38</f>
        <v>-1773.69</v>
      </c>
      <c r="R20" s="216">
        <f>J36+J38</f>
        <v>-2253.86</v>
      </c>
      <c r="S20" s="217">
        <f>K36+K38</f>
        <v>-2862.46</v>
      </c>
      <c r="T20" s="215">
        <f>T9*T22</f>
        <v>-2244.2082467951027</v>
      </c>
      <c r="U20" s="215">
        <f t="shared" ref="U20:AA20" si="16">U9*U22</f>
        <v>-2127.5581339735381</v>
      </c>
      <c r="V20" s="215">
        <f t="shared" si="16"/>
        <v>-2263.5222480136945</v>
      </c>
      <c r="W20" s="215">
        <f t="shared" si="16"/>
        <v>-2410.4240789873634</v>
      </c>
      <c r="X20" s="216">
        <f t="shared" si="16"/>
        <v>-2477.0892555980558</v>
      </c>
      <c r="Y20" s="215">
        <f t="shared" si="16"/>
        <v>-2402.0494210650759</v>
      </c>
      <c r="Z20" s="215">
        <f t="shared" si="16"/>
        <v>-2469.9112772765811</v>
      </c>
      <c r="AA20" s="217">
        <f t="shared" si="16"/>
        <v>-2577.4628862097693</v>
      </c>
      <c r="AB20" s="164"/>
      <c r="AC20" s="164"/>
      <c r="AD20" s="164"/>
    </row>
    <row r="21" spans="1:31" x14ac:dyDescent="0.35">
      <c r="A21" s="40" t="s">
        <v>903</v>
      </c>
      <c r="B21" s="42"/>
      <c r="C21" s="42"/>
      <c r="D21" s="42"/>
      <c r="E21" s="42"/>
      <c r="F21" s="42"/>
      <c r="G21" s="42">
        <v>28.86</v>
      </c>
      <c r="H21" s="42">
        <v>27.88</v>
      </c>
      <c r="I21" s="42">
        <v>27.16</v>
      </c>
      <c r="J21" s="42">
        <v>26.49</v>
      </c>
      <c r="K21" s="42">
        <v>24.86</v>
      </c>
      <c r="N21" s="171" t="s">
        <v>909</v>
      </c>
      <c r="O21" s="228" t="s">
        <v>910</v>
      </c>
      <c r="P21" s="177">
        <f>(P20-O20)/ABS(O20)</f>
        <v>0.3409220520534586</v>
      </c>
      <c r="Q21" s="177">
        <f t="shared" ref="Q21:S21" si="17">(Q20-P20)/ABS(P20)</f>
        <v>-0.11213593754898589</v>
      </c>
      <c r="R21" s="167">
        <f t="shared" si="17"/>
        <v>-0.27071810744831398</v>
      </c>
      <c r="S21" s="168">
        <f t="shared" si="17"/>
        <v>-0.27002564489364905</v>
      </c>
      <c r="T21" s="193">
        <f>AVERAGE(P21:S21)</f>
        <v>-7.7989409459372577E-2</v>
      </c>
      <c r="U21" s="193">
        <f t="shared" ref="U21:AA21" si="18">AVERAGE(Q21:T21)</f>
        <v>-0.18271727483758038</v>
      </c>
      <c r="V21" s="193">
        <f t="shared" si="18"/>
        <v>-0.200362609159729</v>
      </c>
      <c r="W21" s="193">
        <f t="shared" si="18"/>
        <v>-0.18277373458758275</v>
      </c>
      <c r="X21" s="196">
        <f t="shared" si="18"/>
        <v>-0.16096075701106619</v>
      </c>
      <c r="Y21" s="193">
        <f t="shared" si="18"/>
        <v>-0.18170359389898957</v>
      </c>
      <c r="Z21" s="193">
        <f t="shared" si="18"/>
        <v>-0.18145017366434188</v>
      </c>
      <c r="AA21" s="197">
        <f t="shared" si="18"/>
        <v>-0.1767220647904951</v>
      </c>
      <c r="AB21" s="164"/>
      <c r="AC21" s="164"/>
      <c r="AD21" s="164"/>
    </row>
    <row r="22" spans="1:31" x14ac:dyDescent="0.35">
      <c r="A22" s="40" t="s">
        <v>908</v>
      </c>
      <c r="B22" s="42"/>
      <c r="C22" s="42"/>
      <c r="D22" s="42"/>
      <c r="E22" s="42"/>
      <c r="F22" s="42"/>
      <c r="G22" s="41">
        <v>1120</v>
      </c>
      <c r="H22" s="41">
        <v>1005</v>
      </c>
      <c r="I22" s="41">
        <v>1848</v>
      </c>
      <c r="J22" s="41">
        <v>1120.92</v>
      </c>
      <c r="K22" s="41">
        <v>1062.6500000000001</v>
      </c>
      <c r="N22" s="180" t="s">
        <v>911</v>
      </c>
      <c r="O22" s="192">
        <f>O20/O9</f>
        <v>-7.1556317828311206E-2</v>
      </c>
      <c r="P22" s="192">
        <f>P20/P9</f>
        <v>-3.8596597371796423E-2</v>
      </c>
      <c r="Q22" s="192">
        <f>Q20/Q9</f>
        <v>-4.5107957579919131E-2</v>
      </c>
      <c r="R22" s="194">
        <f>R20/R9</f>
        <v>-6.0652395514780841E-2</v>
      </c>
      <c r="S22" s="195">
        <f>S20/S9</f>
        <v>-7.7707587352692856E-2</v>
      </c>
      <c r="T22" s="192">
        <f>AVERAGE(O22:S22)</f>
        <v>-5.872417112950009E-2</v>
      </c>
      <c r="U22" s="192">
        <f t="shared" ref="U22:AA22" si="19">AVERAGE(P22:T22)</f>
        <v>-5.6157741789737856E-2</v>
      </c>
      <c r="V22" s="192">
        <f t="shared" si="19"/>
        <v>-5.9669970673326155E-2</v>
      </c>
      <c r="W22" s="192">
        <f t="shared" si="19"/>
        <v>-6.2582373292007554E-2</v>
      </c>
      <c r="X22" s="194">
        <f t="shared" si="19"/>
        <v>-6.2968368847452896E-2</v>
      </c>
      <c r="Y22" s="192">
        <f t="shared" si="19"/>
        <v>-6.0020525146404914E-2</v>
      </c>
      <c r="Z22" s="192">
        <f t="shared" si="19"/>
        <v>-6.0279795949785872E-2</v>
      </c>
      <c r="AA22" s="195">
        <f t="shared" si="19"/>
        <v>-6.1104206781795477E-2</v>
      </c>
      <c r="AB22" s="162"/>
      <c r="AC22" s="162"/>
      <c r="AD22" s="162"/>
    </row>
    <row r="23" spans="1:31" x14ac:dyDescent="0.35">
      <c r="A23" s="40" t="s">
        <v>903</v>
      </c>
      <c r="B23" s="42"/>
      <c r="C23" s="42"/>
      <c r="D23" s="42"/>
      <c r="E23" s="42"/>
      <c r="F23" s="42"/>
      <c r="G23" s="42">
        <v>3.31</v>
      </c>
      <c r="H23" s="42">
        <v>2.4300000000000002</v>
      </c>
      <c r="I23" s="42">
        <v>4.7</v>
      </c>
      <c r="J23" s="42">
        <v>3.02</v>
      </c>
      <c r="K23" s="42">
        <v>2.88</v>
      </c>
      <c r="N23" s="187" t="s">
        <v>917</v>
      </c>
      <c r="O23" s="218">
        <f>G234</f>
        <v>-7370</v>
      </c>
      <c r="P23" s="218">
        <f>H234</f>
        <v>-1548</v>
      </c>
      <c r="Q23" s="218">
        <f>I234</f>
        <v>-10032</v>
      </c>
      <c r="R23" s="219">
        <f>J234</f>
        <v>951.28</v>
      </c>
      <c r="S23" s="220">
        <f>K234</f>
        <v>2623.19</v>
      </c>
      <c r="T23" s="221">
        <f>S23*(1+T24)</f>
        <v>1679.957055030809</v>
      </c>
      <c r="U23" s="222">
        <f t="shared" ref="U23:AA23" si="20">T23*(1+U24)</f>
        <v>593.09491472650609</v>
      </c>
      <c r="V23" s="222">
        <f t="shared" si="20"/>
        <v>926.0923122555389</v>
      </c>
      <c r="W23" s="222">
        <f t="shared" si="20"/>
        <v>1322.5666309383832</v>
      </c>
      <c r="X23" s="221">
        <f t="shared" si="20"/>
        <v>1449.2154303779769</v>
      </c>
      <c r="Y23" s="222">
        <f t="shared" si="20"/>
        <v>1752.9615961124941</v>
      </c>
      <c r="Z23" s="222">
        <f t="shared" si="20"/>
        <v>2495.7465973046847</v>
      </c>
      <c r="AA23" s="223">
        <f t="shared" si="20"/>
        <v>3467.34086735553</v>
      </c>
      <c r="AB23" s="164"/>
      <c r="AC23" s="164"/>
      <c r="AD23" s="164"/>
    </row>
    <row r="24" spans="1:31" x14ac:dyDescent="0.35">
      <c r="A24" s="40" t="s">
        <v>912</v>
      </c>
      <c r="B24" s="42"/>
      <c r="C24" s="42"/>
      <c r="D24" s="42"/>
      <c r="E24" s="42">
        <v>10</v>
      </c>
      <c r="F24" s="42">
        <v>216</v>
      </c>
      <c r="G24" s="42">
        <v>245</v>
      </c>
      <c r="H24" s="42">
        <v>376</v>
      </c>
      <c r="I24" s="42">
        <v>341</v>
      </c>
      <c r="J24" s="42">
        <v>343.12</v>
      </c>
      <c r="K24" s="42">
        <v>334.47</v>
      </c>
      <c r="N24" s="198" t="s">
        <v>918</v>
      </c>
      <c r="O24" s="207"/>
      <c r="P24" s="207">
        <f>(P23-O23)/ABS(O23)</f>
        <v>0.78995929443690638</v>
      </c>
      <c r="Q24" s="207">
        <f t="shared" ref="Q24:S24" si="21">(Q23-P23)/ABS(P23)</f>
        <v>-5.4806201550387597</v>
      </c>
      <c r="R24" s="208">
        <f t="shared" si="21"/>
        <v>1.0948245614035088</v>
      </c>
      <c r="S24" s="207">
        <f t="shared" si="21"/>
        <v>1.7575372130182492</v>
      </c>
      <c r="T24" s="397">
        <f>AVERAGE(P24:S24)+0.1</f>
        <v>-0.35957477154502382</v>
      </c>
      <c r="U24" s="398">
        <f t="shared" ref="U24:AA24" si="22">AVERAGE(Q24:T24)+0.1</f>
        <v>-0.64695828804050637</v>
      </c>
      <c r="V24" s="398">
        <f t="shared" si="22"/>
        <v>0.56145717870905698</v>
      </c>
      <c r="W24" s="398">
        <f t="shared" si="22"/>
        <v>0.42811533303544391</v>
      </c>
      <c r="X24" s="397">
        <f t="shared" si="22"/>
        <v>9.5759863039742682E-2</v>
      </c>
      <c r="Y24" s="398">
        <f t="shared" si="22"/>
        <v>0.20959352168593431</v>
      </c>
      <c r="Z24" s="398">
        <f t="shared" si="22"/>
        <v>0.42373147411754453</v>
      </c>
      <c r="AA24" s="399">
        <f t="shared" si="22"/>
        <v>0.38930004796966633</v>
      </c>
      <c r="AB24" s="164"/>
      <c r="AC24" s="164"/>
      <c r="AD24" s="164"/>
    </row>
    <row r="25" spans="1:31" x14ac:dyDescent="0.35">
      <c r="A25" s="40" t="s">
        <v>903</v>
      </c>
      <c r="B25" s="42"/>
      <c r="C25" s="42"/>
      <c r="D25" s="42"/>
      <c r="E25" s="42">
        <v>0.09</v>
      </c>
      <c r="F25" s="42">
        <v>1.77</v>
      </c>
      <c r="G25" s="42">
        <v>0.72</v>
      </c>
      <c r="H25" s="42">
        <v>0.91</v>
      </c>
      <c r="I25" s="42">
        <v>0.87</v>
      </c>
      <c r="J25" s="42">
        <v>0.92</v>
      </c>
      <c r="K25" s="42">
        <v>0.91</v>
      </c>
      <c r="N25" s="176" t="s">
        <v>907</v>
      </c>
      <c r="O25" s="212">
        <f>G251</f>
        <v>541</v>
      </c>
      <c r="P25" s="212">
        <f>H251</f>
        <v>211</v>
      </c>
      <c r="Q25" s="212">
        <f>I251</f>
        <v>529</v>
      </c>
      <c r="R25" s="213">
        <f>J251</f>
        <v>1690.07</v>
      </c>
      <c r="S25" s="212">
        <f>K251</f>
        <v>1847.18</v>
      </c>
      <c r="T25" s="210">
        <f>S25*(1+T26)</f>
        <v>3040.886574127363</v>
      </c>
      <c r="U25" s="209">
        <f t="shared" ref="U25:AA25" si="23">T25*(1+U26)</f>
        <v>5961.0049724329747</v>
      </c>
      <c r="V25" s="209">
        <f t="shared" si="23"/>
        <v>10870.36503423855</v>
      </c>
      <c r="W25" s="211">
        <f t="shared" si="23"/>
        <v>16096.447869114876</v>
      </c>
      <c r="X25" s="209">
        <f t="shared" si="23"/>
        <v>26637.629089065278</v>
      </c>
      <c r="Y25" s="209">
        <f t="shared" si="23"/>
        <v>41370.189109972933</v>
      </c>
      <c r="Z25" s="209">
        <f t="shared" si="23"/>
        <v>60520.638981219345</v>
      </c>
      <c r="AA25" s="211">
        <f t="shared" si="23"/>
        <v>88175.626898356946</v>
      </c>
    </row>
    <row r="26" spans="1:31" x14ac:dyDescent="0.35">
      <c r="A26" s="62" t="s">
        <v>919</v>
      </c>
      <c r="B26" s="63"/>
      <c r="C26" s="63"/>
      <c r="D26" s="63"/>
      <c r="E26" s="63"/>
      <c r="F26" s="63"/>
      <c r="G26" s="64">
        <v>7274</v>
      </c>
      <c r="H26" s="64">
        <v>10154</v>
      </c>
      <c r="I26" s="64">
        <v>10313</v>
      </c>
      <c r="J26" s="64">
        <v>10822.08</v>
      </c>
      <c r="K26" s="64">
        <v>11779.33</v>
      </c>
      <c r="N26" s="171" t="s">
        <v>909</v>
      </c>
      <c r="O26" s="229" t="s">
        <v>910</v>
      </c>
      <c r="P26" s="177">
        <f>(P25-O25)/ABS(O25)</f>
        <v>-0.60998151571164505</v>
      </c>
      <c r="Q26" s="177">
        <f t="shared" ref="Q26" si="24">(Q25-P25)/ABS(P25)</f>
        <v>1.5071090047393365</v>
      </c>
      <c r="R26" s="167">
        <f>(R25-Q25)/ABS(Q25)</f>
        <v>2.1948393194706992</v>
      </c>
      <c r="S26" s="177">
        <f>(S25-R25)/ABS(R25)</f>
        <v>9.296064660043675E-2</v>
      </c>
      <c r="T26" s="167">
        <f>AVERAGE(P26:S26)-0.15</f>
        <v>0.64623186377470687</v>
      </c>
      <c r="U26" s="177">
        <f t="shared" ref="U26:W26" si="25">AVERAGE(Q26:T26)-0.15</f>
        <v>0.96028520864629485</v>
      </c>
      <c r="V26" s="177">
        <f t="shared" si="25"/>
        <v>0.82357925962303435</v>
      </c>
      <c r="W26" s="168">
        <f t="shared" si="25"/>
        <v>0.48076424466111822</v>
      </c>
      <c r="X26" s="177">
        <f t="shared" ref="X26:AA26" si="26">AVERAGE(U26:W26)-0.1</f>
        <v>0.65487623764348246</v>
      </c>
      <c r="Y26" s="177">
        <f t="shared" si="26"/>
        <v>0.5530732473092117</v>
      </c>
      <c r="Z26" s="177">
        <f t="shared" si="26"/>
        <v>0.46290457653793748</v>
      </c>
      <c r="AA26" s="168">
        <f t="shared" si="26"/>
        <v>0.45695135383021057</v>
      </c>
    </row>
    <row r="27" spans="1:31" x14ac:dyDescent="0.35">
      <c r="A27" s="40" t="s">
        <v>884</v>
      </c>
      <c r="B27" s="42"/>
      <c r="C27" s="42"/>
      <c r="D27" s="42"/>
      <c r="E27" s="42"/>
      <c r="F27" s="42"/>
      <c r="G27" s="42">
        <v>21.51</v>
      </c>
      <c r="H27" s="42">
        <v>24.57</v>
      </c>
      <c r="I27" s="42">
        <v>26.23</v>
      </c>
      <c r="J27" s="42">
        <v>29.12</v>
      </c>
      <c r="K27" s="42">
        <v>31.98</v>
      </c>
      <c r="N27" s="171" t="s">
        <v>911</v>
      </c>
      <c r="O27" s="177">
        <f>-O25/O23</f>
        <v>7.3405698778833101E-2</v>
      </c>
      <c r="P27" s="177">
        <f>P25/P23</f>
        <v>-0.13630490956072353</v>
      </c>
      <c r="Q27" s="177">
        <f>Q25/Q23</f>
        <v>-5.2731259968102073E-2</v>
      </c>
      <c r="R27" s="167">
        <f>R25/R23</f>
        <v>1.7766272811369943</v>
      </c>
      <c r="S27" s="177">
        <f>S25/S23</f>
        <v>0.70417316320967982</v>
      </c>
      <c r="T27" s="169">
        <f>AVERAGE(O27:S27)</f>
        <v>0.47303399471933638</v>
      </c>
      <c r="U27" s="178">
        <f>AVERAGE(P27:T27)</f>
        <v>0.55295965390743695</v>
      </c>
      <c r="V27" s="178">
        <f t="shared" ref="V27:AA27" si="27">AVERAGE(Q27:U27)</f>
        <v>0.69081256660106916</v>
      </c>
      <c r="W27" s="170">
        <f t="shared" si="27"/>
        <v>0.8395213319149033</v>
      </c>
      <c r="X27" s="178">
        <f t="shared" si="27"/>
        <v>0.65210014207048506</v>
      </c>
      <c r="Y27" s="178">
        <f t="shared" si="27"/>
        <v>0.64168553784264615</v>
      </c>
      <c r="Z27" s="178">
        <f t="shared" si="27"/>
        <v>0.67541584646730812</v>
      </c>
      <c r="AA27" s="170">
        <f t="shared" si="27"/>
        <v>0.69990708497928245</v>
      </c>
    </row>
    <row r="28" spans="1:31" x14ac:dyDescent="0.35">
      <c r="A28" s="40" t="s">
        <v>888</v>
      </c>
      <c r="B28" s="42"/>
      <c r="C28" s="42"/>
      <c r="D28" s="42"/>
      <c r="E28" s="42"/>
      <c r="F28" s="42"/>
      <c r="G28" s="42">
        <v>371</v>
      </c>
      <c r="H28" s="42">
        <v>548</v>
      </c>
      <c r="I28" s="42">
        <v>855</v>
      </c>
      <c r="J28" s="41">
        <v>1017.79</v>
      </c>
      <c r="K28" s="41">
        <v>1207.32</v>
      </c>
      <c r="N28" s="179" t="s">
        <v>913</v>
      </c>
      <c r="O28" s="212">
        <f>G253</f>
        <v>3812</v>
      </c>
      <c r="P28" s="212">
        <f>H253</f>
        <v>3322</v>
      </c>
      <c r="Q28" s="212">
        <f>I253</f>
        <v>-5759</v>
      </c>
      <c r="R28" s="213">
        <f>J253</f>
        <v>2447.0700000000002</v>
      </c>
      <c r="S28" s="212">
        <f>K253</f>
        <v>2116.0700000000002</v>
      </c>
      <c r="T28" s="213">
        <f>S28*(1+T29)</f>
        <v>1072.589772497174</v>
      </c>
      <c r="U28" s="212">
        <f>T28*(1+U29)</f>
        <v>445.91109659529764</v>
      </c>
      <c r="V28" s="212">
        <f t="shared" ref="V28:AA28" si="28">U28*(1+V29)</f>
        <v>424.9822413255697</v>
      </c>
      <c r="W28" s="214">
        <f t="shared" si="28"/>
        <v>248.65843614634196</v>
      </c>
      <c r="X28" s="212">
        <f t="shared" si="28"/>
        <v>152.97339024153632</v>
      </c>
      <c r="Y28" s="212">
        <f t="shared" si="28"/>
        <v>98.250833501722866</v>
      </c>
      <c r="Z28" s="212">
        <f t="shared" si="28"/>
        <v>68.668415128154905</v>
      </c>
      <c r="AA28" s="214">
        <f t="shared" si="28"/>
        <v>43.629871998515213</v>
      </c>
    </row>
    <row r="29" spans="1:31" x14ac:dyDescent="0.35">
      <c r="A29" s="40" t="s">
        <v>903</v>
      </c>
      <c r="B29" s="42"/>
      <c r="C29" s="42"/>
      <c r="D29" s="42"/>
      <c r="E29" s="42"/>
      <c r="F29" s="42"/>
      <c r="G29" s="42">
        <v>1.1000000000000001</v>
      </c>
      <c r="H29" s="42">
        <v>1.33</v>
      </c>
      <c r="I29" s="42">
        <v>2.17</v>
      </c>
      <c r="J29" s="42">
        <v>2.74</v>
      </c>
      <c r="K29" s="42">
        <v>3.28</v>
      </c>
      <c r="N29" s="171" t="s">
        <v>909</v>
      </c>
      <c r="O29" s="229" t="s">
        <v>910</v>
      </c>
      <c r="P29" s="177">
        <f>(P28-O28)/ABS(O28)</f>
        <v>-0.1285414480587618</v>
      </c>
      <c r="Q29" s="177">
        <f t="shared" ref="Q29" si="29">(Q28-P28)/ABS(P28)</f>
        <v>-2.7335942203491874</v>
      </c>
      <c r="R29" s="167">
        <f>(R28-Q28)/ABS(Q28)</f>
        <v>1.4249123111651327</v>
      </c>
      <c r="S29" s="177">
        <f>(S28-R28)/ABS(R28)</f>
        <v>-0.13526380528550469</v>
      </c>
      <c r="T29" s="167">
        <f>AVERAGE(P29:S29)-0.1</f>
        <v>-0.49312179063208028</v>
      </c>
      <c r="U29" s="177">
        <f t="shared" ref="U29:W29" si="30">AVERAGE(Q29:T29)-0.1</f>
        <v>-0.58426687627540985</v>
      </c>
      <c r="V29" s="177">
        <f t="shared" si="30"/>
        <v>-4.6935040256965516E-2</v>
      </c>
      <c r="W29" s="168">
        <f t="shared" si="30"/>
        <v>-0.4148968781124901</v>
      </c>
      <c r="X29" s="177">
        <f t="shared" ref="X29:AA29" si="31">AVERAGE(T29:W29)</f>
        <v>-0.38480514631923646</v>
      </c>
      <c r="Y29" s="177">
        <f t="shared" si="31"/>
        <v>-0.3577259852410255</v>
      </c>
      <c r="Z29" s="177">
        <f t="shared" si="31"/>
        <v>-0.30109076248242939</v>
      </c>
      <c r="AA29" s="168">
        <f t="shared" si="31"/>
        <v>-0.36462969303879533</v>
      </c>
    </row>
    <row r="30" spans="1:31" x14ac:dyDescent="0.35">
      <c r="A30" s="40" t="s">
        <v>905</v>
      </c>
      <c r="B30" s="42"/>
      <c r="C30" s="42"/>
      <c r="D30" s="42"/>
      <c r="E30" s="42"/>
      <c r="F30" s="42"/>
      <c r="G30" s="41">
        <v>6371</v>
      </c>
      <c r="H30" s="41">
        <v>8703</v>
      </c>
      <c r="I30" s="41">
        <v>9022</v>
      </c>
      <c r="J30" s="41">
        <v>9436.06</v>
      </c>
      <c r="K30" s="41">
        <v>10295.870000000001</v>
      </c>
      <c r="N30" s="171" t="s">
        <v>911</v>
      </c>
      <c r="O30" s="177">
        <f>-O28/O23</f>
        <v>0.51723202170963367</v>
      </c>
      <c r="P30" s="177">
        <f>P28/P23</f>
        <v>-2.1459948320413438</v>
      </c>
      <c r="Q30" s="177">
        <f>Q28/Q23</f>
        <v>0.57406299840510366</v>
      </c>
      <c r="R30" s="167">
        <f>R28/R23</f>
        <v>2.5723971911529731</v>
      </c>
      <c r="S30" s="177">
        <f>S28/S23</f>
        <v>0.80667812853815402</v>
      </c>
      <c r="T30" s="169">
        <f>AVERAGE(O30:S30)</f>
        <v>0.46487510155290412</v>
      </c>
      <c r="U30" s="178">
        <f t="shared" ref="U30:AA30" si="32">AVERAGE(P30:T30)</f>
        <v>0.45440371752155817</v>
      </c>
      <c r="V30" s="178">
        <f t="shared" si="32"/>
        <v>0.97448342743413863</v>
      </c>
      <c r="W30" s="170">
        <f t="shared" si="32"/>
        <v>1.0545675132399457</v>
      </c>
      <c r="X30" s="178">
        <f t="shared" si="32"/>
        <v>0.7510015776573401</v>
      </c>
      <c r="Y30" s="178">
        <f t="shared" si="32"/>
        <v>0.73986626748117734</v>
      </c>
      <c r="Z30" s="178">
        <f t="shared" si="32"/>
        <v>0.79486450066683201</v>
      </c>
      <c r="AA30" s="170">
        <f t="shared" si="32"/>
        <v>0.86295665729588689</v>
      </c>
    </row>
    <row r="31" spans="1:31" x14ac:dyDescent="0.35">
      <c r="A31" s="40" t="s">
        <v>903</v>
      </c>
      <c r="B31" s="42"/>
      <c r="C31" s="42"/>
      <c r="D31" s="42"/>
      <c r="E31" s="42"/>
      <c r="F31" s="42"/>
      <c r="G31" s="42">
        <v>18.84</v>
      </c>
      <c r="H31" s="42">
        <v>21.06</v>
      </c>
      <c r="I31" s="42">
        <v>22.94</v>
      </c>
      <c r="J31" s="42">
        <v>25.39</v>
      </c>
      <c r="K31" s="42">
        <v>27.95</v>
      </c>
      <c r="N31" s="176" t="s">
        <v>915</v>
      </c>
      <c r="O31" s="212">
        <f>G255</f>
        <v>-5736</v>
      </c>
      <c r="P31" s="212">
        <f>H255</f>
        <v>-2565</v>
      </c>
      <c r="Q31" s="212">
        <f>I255</f>
        <v>-1485</v>
      </c>
      <c r="R31" s="213">
        <f>J255</f>
        <v>-348.59</v>
      </c>
      <c r="S31" s="212">
        <f>K255</f>
        <v>75.88</v>
      </c>
      <c r="T31" s="213">
        <f>S31*(1+T32)</f>
        <v>131.97074423515232</v>
      </c>
      <c r="U31" s="212">
        <f t="shared" ref="U31:AA31" si="33">T31*(1+U32)</f>
        <v>235.67309406004438</v>
      </c>
      <c r="V31" s="212">
        <f t="shared" si="33"/>
        <v>442.35471398329349</v>
      </c>
      <c r="W31" s="214">
        <f t="shared" si="33"/>
        <v>842.64841650123719</v>
      </c>
      <c r="X31" s="212">
        <f t="shared" si="33"/>
        <v>1455.0223632575692</v>
      </c>
      <c r="Y31" s="212">
        <f t="shared" si="33"/>
        <v>2507.885045516804</v>
      </c>
      <c r="Z31" s="212">
        <f t="shared" si="33"/>
        <v>4283.6126056956737</v>
      </c>
      <c r="AA31" s="214">
        <f t="shared" si="33"/>
        <v>7135.7539104914867</v>
      </c>
    </row>
    <row r="32" spans="1:31" x14ac:dyDescent="0.35">
      <c r="A32" s="40" t="s">
        <v>908</v>
      </c>
      <c r="B32" s="42"/>
      <c r="C32" s="42"/>
      <c r="D32" s="42"/>
      <c r="E32" s="42"/>
      <c r="F32" s="42"/>
      <c r="G32" s="42">
        <v>522</v>
      </c>
      <c r="H32" s="42">
        <v>886</v>
      </c>
      <c r="I32" s="42">
        <v>428</v>
      </c>
      <c r="J32" s="42">
        <v>369.28</v>
      </c>
      <c r="K32" s="42">
        <v>362.21</v>
      </c>
      <c r="N32" s="171" t="s">
        <v>909</v>
      </c>
      <c r="O32" s="229" t="s">
        <v>910</v>
      </c>
      <c r="P32" s="177">
        <f>(P31-O31)/ABS(O31)</f>
        <v>0.55282426778242677</v>
      </c>
      <c r="Q32" s="177">
        <f t="shared" ref="Q32" si="34">(Q31-P31)/ABS(P31)</f>
        <v>0.42105263157894735</v>
      </c>
      <c r="R32" s="167">
        <f>(R31-Q31)/ABS(Q31)</f>
        <v>0.76525925925925931</v>
      </c>
      <c r="S32" s="177">
        <f>(S31-R31)/ABS(R31)</f>
        <v>1.2176769270489687</v>
      </c>
      <c r="T32" s="167">
        <f>AVERAGE(P32:S32)</f>
        <v>0.7392032714174005</v>
      </c>
      <c r="U32" s="177">
        <f t="shared" ref="U32:W32" si="35">AVERAGE(Q32:T32)</f>
        <v>0.78579802232614393</v>
      </c>
      <c r="V32" s="177">
        <f t="shared" si="35"/>
        <v>0.87698437001294305</v>
      </c>
      <c r="W32" s="168">
        <f t="shared" si="35"/>
        <v>0.90491564770136401</v>
      </c>
      <c r="X32" s="177">
        <f t="shared" ref="X32:AA32" si="36">AVERAGE(T32:W32)-0.1</f>
        <v>0.72672532786446287</v>
      </c>
      <c r="Y32" s="177">
        <f t="shared" si="36"/>
        <v>0.72360584197622846</v>
      </c>
      <c r="Z32" s="177">
        <f t="shared" si="36"/>
        <v>0.70805779688874959</v>
      </c>
      <c r="AA32" s="168">
        <f t="shared" si="36"/>
        <v>0.66582615360770114</v>
      </c>
      <c r="AB32" s="177"/>
    </row>
    <row r="33" spans="1:30" x14ac:dyDescent="0.35">
      <c r="A33" s="40" t="s">
        <v>903</v>
      </c>
      <c r="B33" s="42"/>
      <c r="C33" s="42"/>
      <c r="D33" s="42"/>
      <c r="E33" s="42"/>
      <c r="F33" s="42"/>
      <c r="G33" s="42">
        <v>1.54</v>
      </c>
      <c r="H33" s="42">
        <v>2.14</v>
      </c>
      <c r="I33" s="42">
        <v>1.0900000000000001</v>
      </c>
      <c r="J33" s="42">
        <v>0.99</v>
      </c>
      <c r="K33" s="42">
        <v>0.98</v>
      </c>
      <c r="N33" s="171" t="s">
        <v>911</v>
      </c>
      <c r="O33" s="177">
        <f>-O31/O23</f>
        <v>-0.77829036635006787</v>
      </c>
      <c r="P33" s="177">
        <f>P31/P23</f>
        <v>1.6569767441860466</v>
      </c>
      <c r="Q33" s="177">
        <f>Q31/Q23</f>
        <v>0.14802631578947367</v>
      </c>
      <c r="R33" s="167">
        <f>R31/R23</f>
        <v>-0.36644310823311749</v>
      </c>
      <c r="S33" s="177">
        <f>S31/S23</f>
        <v>2.8926612254545035E-2</v>
      </c>
      <c r="T33" s="169">
        <f>AVERAGE(O33:S33)</f>
        <v>0.13783923952937602</v>
      </c>
      <c r="U33" s="178">
        <f t="shared" ref="U33:AA33" si="37">AVERAGE(P33:T33)</f>
        <v>0.32106516070526475</v>
      </c>
      <c r="V33" s="178">
        <f t="shared" si="37"/>
        <v>5.3882844009108401E-2</v>
      </c>
      <c r="W33" s="170">
        <f t="shared" si="37"/>
        <v>3.5054149653035341E-2</v>
      </c>
      <c r="X33" s="178">
        <f t="shared" si="37"/>
        <v>0.1153536012302659</v>
      </c>
      <c r="Y33" s="178">
        <f t="shared" si="37"/>
        <v>0.13263899902541007</v>
      </c>
      <c r="Z33" s="178">
        <f t="shared" si="37"/>
        <v>0.1315989509246169</v>
      </c>
      <c r="AA33" s="170">
        <f t="shared" si="37"/>
        <v>9.3705708968487331E-2</v>
      </c>
    </row>
    <row r="34" spans="1:30" x14ac:dyDescent="0.35">
      <c r="A34" s="40" t="s">
        <v>912</v>
      </c>
      <c r="B34" s="42"/>
      <c r="C34" s="42"/>
      <c r="D34" s="42"/>
      <c r="E34" s="42"/>
      <c r="F34" s="42"/>
      <c r="G34" s="42">
        <v>10</v>
      </c>
      <c r="H34" s="42">
        <v>17</v>
      </c>
      <c r="I34" s="42">
        <v>8</v>
      </c>
      <c r="J34" s="42">
        <v>5.82</v>
      </c>
      <c r="K34" s="42">
        <v>11.59</v>
      </c>
      <c r="N34" s="172" t="s">
        <v>916</v>
      </c>
      <c r="O34" s="224">
        <f>G257+G242</f>
        <v>-2931.67</v>
      </c>
      <c r="P34" s="224">
        <f>H257+H242</f>
        <v>-2160</v>
      </c>
      <c r="Q34" s="224">
        <f>I257+I242</f>
        <v>-2838.42</v>
      </c>
      <c r="R34" s="225">
        <f>J257+J242</f>
        <v>-2612.29</v>
      </c>
      <c r="S34" s="224">
        <f>K257+K242</f>
        <v>-2292.11</v>
      </c>
      <c r="T34" s="216">
        <f>AVERAGE(O34:S34)</f>
        <v>-2566.8980000000001</v>
      </c>
      <c r="U34" s="215">
        <f t="shared" ref="U34:AA34" si="38">AVERAGE(P34:T34)</f>
        <v>-2493.9436000000001</v>
      </c>
      <c r="V34" s="215">
        <f t="shared" si="38"/>
        <v>-2560.7323200000001</v>
      </c>
      <c r="W34" s="217">
        <f t="shared" si="38"/>
        <v>-2505.1947840000003</v>
      </c>
      <c r="X34" s="215">
        <f t="shared" si="38"/>
        <v>-2483.7757407999998</v>
      </c>
      <c r="Y34" s="215">
        <f t="shared" si="38"/>
        <v>-2522.1088889600001</v>
      </c>
      <c r="Z34" s="215">
        <f t="shared" si="38"/>
        <v>-2513.1510667520001</v>
      </c>
      <c r="AA34" s="217">
        <f t="shared" si="38"/>
        <v>-2516.9925601023997</v>
      </c>
    </row>
    <row r="35" spans="1:30" x14ac:dyDescent="0.35">
      <c r="A35" s="40" t="s">
        <v>903</v>
      </c>
      <c r="B35" s="42"/>
      <c r="C35" s="42"/>
      <c r="D35" s="42"/>
      <c r="E35" s="42"/>
      <c r="F35" s="42"/>
      <c r="G35" s="42">
        <v>0.03</v>
      </c>
      <c r="H35" s="42">
        <v>0.04</v>
      </c>
      <c r="I35" s="42">
        <v>0.02</v>
      </c>
      <c r="J35" s="42">
        <v>0.02</v>
      </c>
      <c r="K35" s="42">
        <v>0.03</v>
      </c>
      <c r="N35" s="171" t="s">
        <v>909</v>
      </c>
      <c r="O35" s="229" t="s">
        <v>910</v>
      </c>
      <c r="P35" s="177">
        <f>(P34-O34)/ABS(O34)</f>
        <v>0.26321857507836832</v>
      </c>
      <c r="Q35" s="177">
        <f t="shared" ref="Q35" si="39">(Q34-P34)/ABS(P34)</f>
        <v>-0.31408333333333338</v>
      </c>
      <c r="R35" s="167">
        <f>(R34-Q34)/ABS(Q34)</f>
        <v>7.9667561530710779E-2</v>
      </c>
      <c r="S35" s="177">
        <f>(S34-R34)/ABS(R34)</f>
        <v>0.12256679005776534</v>
      </c>
      <c r="T35" s="167">
        <f>(T34-S34)/ABS(S34)</f>
        <v>-0.11988429874656975</v>
      </c>
      <c r="U35" s="177">
        <f t="shared" ref="U35:Z35" si="40">(U34-T34)/ABS(T34)</f>
        <v>2.8421230605968791E-2</v>
      </c>
      <c r="V35" s="177">
        <f t="shared" si="40"/>
        <v>-2.6780365041134055E-2</v>
      </c>
      <c r="W35" s="168">
        <f t="shared" si="40"/>
        <v>2.1688145834782065E-2</v>
      </c>
      <c r="X35" s="177">
        <f t="shared" si="40"/>
        <v>8.5498514274411352E-3</v>
      </c>
      <c r="Y35" s="177">
        <f t="shared" si="40"/>
        <v>-1.5433417570804344E-2</v>
      </c>
      <c r="Z35" s="177">
        <f t="shared" si="40"/>
        <v>3.5517190582892368E-3</v>
      </c>
      <c r="AA35" s="168">
        <f>(AA34-Z34)/ABS(Z34)</f>
        <v>-1.5285564808343618E-3</v>
      </c>
    </row>
    <row r="36" spans="1:30" x14ac:dyDescent="0.35">
      <c r="A36" s="40" t="s">
        <v>920</v>
      </c>
      <c r="B36" s="42">
        <v>0</v>
      </c>
      <c r="C36" s="42">
        <v>0</v>
      </c>
      <c r="D36" s="42">
        <v>0</v>
      </c>
      <c r="E36" s="42">
        <v>0</v>
      </c>
      <c r="F36" s="42">
        <v>0</v>
      </c>
      <c r="G36" s="41">
        <v>-2536</v>
      </c>
      <c r="H36" s="41">
        <v>-2269</v>
      </c>
      <c r="I36" s="41">
        <v>-2774</v>
      </c>
      <c r="J36" s="41">
        <v>-3950.94</v>
      </c>
      <c r="K36" s="41">
        <v>-3743.27</v>
      </c>
      <c r="N36" s="180" t="s">
        <v>911</v>
      </c>
      <c r="O36" s="189">
        <f>-O34/O23</f>
        <v>-0.39778426051560378</v>
      </c>
      <c r="P36" s="189">
        <f>-P34/P23</f>
        <v>-1.3953488372093024</v>
      </c>
      <c r="Q36" s="189">
        <f>-Q34/Q23</f>
        <v>-0.2829366028708134</v>
      </c>
      <c r="R36" s="167">
        <f>-R34/R23</f>
        <v>2.7460789672861829</v>
      </c>
      <c r="S36" s="177">
        <f>-S34/S23</f>
        <v>0.87378725902431775</v>
      </c>
      <c r="T36" s="230"/>
      <c r="U36" s="191"/>
      <c r="V36" s="191"/>
      <c r="W36" s="231"/>
      <c r="X36" s="191"/>
      <c r="Y36" s="191"/>
      <c r="Z36" s="191"/>
      <c r="AA36" s="231"/>
    </row>
    <row r="37" spans="1:30" x14ac:dyDescent="0.35">
      <c r="A37" s="40" t="s">
        <v>884</v>
      </c>
      <c r="B37" s="42">
        <v>0</v>
      </c>
      <c r="C37" s="42">
        <v>0</v>
      </c>
      <c r="D37" s="42">
        <v>0</v>
      </c>
      <c r="E37" s="42">
        <v>0</v>
      </c>
      <c r="F37" s="42">
        <v>0</v>
      </c>
      <c r="G37" s="42">
        <v>-7.5</v>
      </c>
      <c r="H37" s="42">
        <v>-5.49</v>
      </c>
      <c r="I37" s="42">
        <v>-7.05</v>
      </c>
      <c r="J37" s="42">
        <v>-10.63</v>
      </c>
      <c r="K37" s="42">
        <v>-10.16</v>
      </c>
      <c r="N37" s="190" t="s">
        <v>118</v>
      </c>
      <c r="O37" s="227">
        <f>G407</f>
        <v>7718</v>
      </c>
      <c r="P37" s="227">
        <f>H407</f>
        <v>10200</v>
      </c>
      <c r="Q37" s="227">
        <f>I407</f>
        <v>9032</v>
      </c>
      <c r="R37" s="221">
        <f>J407</f>
        <v>8667.77</v>
      </c>
      <c r="S37" s="223">
        <f>K407</f>
        <v>8718.66</v>
      </c>
      <c r="T37" s="244">
        <f>S37*(1+T38)</f>
        <v>9530.8482072137449</v>
      </c>
      <c r="U37" s="245">
        <f>T37*(1+U38)</f>
        <v>9874.4112669040805</v>
      </c>
      <c r="V37" s="245">
        <f t="shared" ref="V37:AA37" si="41">U37*(1+V38)</f>
        <v>10602.025044154258</v>
      </c>
      <c r="W37" s="245">
        <f t="shared" si="41"/>
        <v>11685.4476296106</v>
      </c>
      <c r="X37" s="244">
        <f t="shared" si="41"/>
        <v>13160.967935381439</v>
      </c>
      <c r="Y37" s="245">
        <f t="shared" si="41"/>
        <v>14931.757536240519</v>
      </c>
      <c r="Z37" s="245">
        <f t="shared" si="41"/>
        <v>17308.503021578679</v>
      </c>
      <c r="AA37" s="246">
        <f t="shared" si="41"/>
        <v>20433.477515911392</v>
      </c>
    </row>
    <row r="38" spans="1:30" x14ac:dyDescent="0.35">
      <c r="A38" s="40" t="s">
        <v>921</v>
      </c>
      <c r="B38" s="42">
        <v>158</v>
      </c>
      <c r="C38" s="42">
        <v>54</v>
      </c>
      <c r="D38" s="42">
        <v>11</v>
      </c>
      <c r="E38" s="42">
        <v>9</v>
      </c>
      <c r="F38" s="42">
        <v>-10</v>
      </c>
      <c r="G38" s="42">
        <v>116.18</v>
      </c>
      <c r="H38" s="42">
        <v>674.15</v>
      </c>
      <c r="I38" s="41">
        <v>1000.31</v>
      </c>
      <c r="J38" s="41">
        <v>1697.08</v>
      </c>
      <c r="K38" s="42">
        <v>880.81</v>
      </c>
      <c r="N38" s="198" t="s">
        <v>922</v>
      </c>
      <c r="O38" s="199"/>
      <c r="P38" s="207">
        <f>(P37-O37)/ABS(O37)</f>
        <v>0.32158590308370044</v>
      </c>
      <c r="Q38" s="207">
        <f t="shared" ref="Q38:S38" si="42">(Q37-P37)/ABS(P37)</f>
        <v>-0.11450980392156863</v>
      </c>
      <c r="R38" s="247">
        <f t="shared" si="42"/>
        <v>-4.0326616474756376E-2</v>
      </c>
      <c r="S38" s="248">
        <f t="shared" si="42"/>
        <v>5.8711756311022809E-3</v>
      </c>
      <c r="T38" s="201">
        <f t="shared" ref="T38:AA38" si="43">AVERAGE(P38:S38)+0.05</f>
        <v>9.3155164579619434E-2</v>
      </c>
      <c r="U38" s="199">
        <f t="shared" si="43"/>
        <v>3.6047479953599179E-2</v>
      </c>
      <c r="V38" s="199">
        <f t="shared" si="43"/>
        <v>7.3686800922391132E-2</v>
      </c>
      <c r="W38" s="199">
        <f t="shared" si="43"/>
        <v>0.10219015527167802</v>
      </c>
      <c r="X38" s="201">
        <f t="shared" si="43"/>
        <v>0.12626990018182194</v>
      </c>
      <c r="Y38" s="199">
        <f t="shared" si="43"/>
        <v>0.13454858408237258</v>
      </c>
      <c r="Z38" s="199">
        <f t="shared" si="43"/>
        <v>0.15917386011456591</v>
      </c>
      <c r="AA38" s="200">
        <f t="shared" si="43"/>
        <v>0.18054562491260961</v>
      </c>
    </row>
    <row r="39" spans="1:30" x14ac:dyDescent="0.35">
      <c r="A39" s="40" t="s">
        <v>884</v>
      </c>
      <c r="B39" s="42">
        <v>2.2999999999999998</v>
      </c>
      <c r="C39" s="42">
        <v>0.51</v>
      </c>
      <c r="D39" s="42">
        <v>0.1</v>
      </c>
      <c r="E39" s="42">
        <v>0.08</v>
      </c>
      <c r="F39" s="42">
        <v>-0.08</v>
      </c>
      <c r="G39" s="42">
        <v>0.34</v>
      </c>
      <c r="H39" s="42">
        <v>1.63</v>
      </c>
      <c r="I39" s="42">
        <v>2.54</v>
      </c>
      <c r="J39" s="42">
        <v>4.57</v>
      </c>
      <c r="K39" s="42">
        <v>2.39</v>
      </c>
      <c r="N39" s="176" t="s">
        <v>907</v>
      </c>
      <c r="O39" s="212">
        <f>G408</f>
        <v>1772</v>
      </c>
      <c r="P39" s="212">
        <f>H408</f>
        <v>2183</v>
      </c>
      <c r="Q39" s="212">
        <f>I408</f>
        <v>1652</v>
      </c>
      <c r="R39" s="210">
        <f>J251 +J352</f>
        <v>2186.8767306666668</v>
      </c>
      <c r="S39" s="211">
        <f>K251 +K352</f>
        <v>2325.4160836666665</v>
      </c>
      <c r="T39" s="224">
        <f>S39*(1+T40)</f>
        <v>2543.9026751076476</v>
      </c>
      <c r="U39" s="224">
        <f t="shared" ref="U39:AA39" si="44">T39*(1+U40)</f>
        <v>2695.1620191326765</v>
      </c>
      <c r="V39" s="224">
        <f t="shared" si="44"/>
        <v>3059.3734551300217</v>
      </c>
      <c r="W39" s="224">
        <f t="shared" si="44"/>
        <v>3328.5226521698323</v>
      </c>
      <c r="X39" s="224">
        <f t="shared" si="44"/>
        <v>3641.841490641727</v>
      </c>
      <c r="Y39" s="224">
        <f t="shared" si="44"/>
        <v>3984.8133693890522</v>
      </c>
      <c r="Z39" s="224">
        <f t="shared" si="44"/>
        <v>4394.6687936845146</v>
      </c>
      <c r="AA39" s="224">
        <f t="shared" si="44"/>
        <v>4811.2136612163795</v>
      </c>
    </row>
    <row r="40" spans="1:30" x14ac:dyDescent="0.35">
      <c r="A40" s="40" t="s">
        <v>923</v>
      </c>
      <c r="B40" s="42"/>
      <c r="C40" s="42"/>
      <c r="D40" s="42"/>
      <c r="E40" s="42"/>
      <c r="F40" s="42"/>
      <c r="G40" s="42"/>
      <c r="H40" s="42"/>
      <c r="I40" s="42"/>
      <c r="J40" s="42"/>
      <c r="K40" s="42"/>
      <c r="N40" s="171" t="s">
        <v>909</v>
      </c>
      <c r="O40" s="228" t="s">
        <v>910</v>
      </c>
      <c r="P40" s="177">
        <f>(P39-O39)/ABS(O39)</f>
        <v>0.231941309255079</v>
      </c>
      <c r="Q40" s="177">
        <f>(Q39-P39)/ABS(P39)</f>
        <v>-0.24324324324324326</v>
      </c>
      <c r="R40" s="196">
        <f>(R39-Q39)/ABS(Q39)</f>
        <v>0.32377526069410828</v>
      </c>
      <c r="S40" s="197">
        <f>(S39-R39)/ABS(R39)</f>
        <v>6.335032562981549E-2</v>
      </c>
      <c r="T40" s="193">
        <f>AVERAGE(P40:S40)</f>
        <v>9.3955913083939885E-2</v>
      </c>
      <c r="U40" s="193">
        <f t="shared" ref="U40:AA40" si="45">AVERAGE(Q40:T40)</f>
        <v>5.94595640411551E-2</v>
      </c>
      <c r="V40" s="193">
        <f t="shared" si="45"/>
        <v>0.13513526586225472</v>
      </c>
      <c r="W40" s="193">
        <f t="shared" si="45"/>
        <v>8.7975267154291298E-2</v>
      </c>
      <c r="X40" s="193">
        <f t="shared" si="45"/>
        <v>9.413150253541025E-2</v>
      </c>
      <c r="Y40" s="193">
        <f t="shared" si="45"/>
        <v>9.4175399898277834E-2</v>
      </c>
      <c r="Z40" s="193">
        <f t="shared" si="45"/>
        <v>0.10285435886255853</v>
      </c>
      <c r="AA40" s="193">
        <f t="shared" si="45"/>
        <v>9.4784132112634478E-2</v>
      </c>
    </row>
    <row r="41" spans="1:30" x14ac:dyDescent="0.35">
      <c r="A41" s="40" t="s">
        <v>884</v>
      </c>
      <c r="B41" s="42"/>
      <c r="C41" s="42"/>
      <c r="D41" s="42"/>
      <c r="E41" s="42"/>
      <c r="F41" s="42"/>
      <c r="G41" s="42"/>
      <c r="H41" s="42"/>
      <c r="I41" s="42"/>
      <c r="J41" s="42"/>
      <c r="K41" s="42"/>
      <c r="N41" s="171" t="s">
        <v>911</v>
      </c>
      <c r="O41" s="178">
        <f>O39/O37</f>
        <v>0.22959315884944287</v>
      </c>
      <c r="P41" s="178">
        <f>P39/P37</f>
        <v>0.21401960784313726</v>
      </c>
      <c r="Q41" s="178">
        <f>Q39/Q37</f>
        <v>0.18290522586359612</v>
      </c>
      <c r="R41" s="169">
        <f>AVERAGE(O41:Q41)</f>
        <v>0.20883933085205875</v>
      </c>
      <c r="S41" s="170">
        <f>S39/S37</f>
        <v>0.26671714273370756</v>
      </c>
      <c r="T41" s="177">
        <f>AVERAGE(O41:S41)</f>
        <v>0.22041489322838853</v>
      </c>
      <c r="U41" s="177">
        <f t="shared" ref="U41:AA41" si="46">AVERAGE(P41:T41)</f>
        <v>0.21857924010417765</v>
      </c>
      <c r="V41" s="177">
        <f t="shared" si="46"/>
        <v>0.21949116655638573</v>
      </c>
      <c r="W41" s="177">
        <f t="shared" si="46"/>
        <v>0.22680835469494362</v>
      </c>
      <c r="X41" s="167">
        <f t="shared" si="46"/>
        <v>0.23040215946352061</v>
      </c>
      <c r="Y41" s="177">
        <f t="shared" si="46"/>
        <v>0.22313916280948326</v>
      </c>
      <c r="Z41" s="177">
        <f t="shared" si="46"/>
        <v>0.22368401672570221</v>
      </c>
      <c r="AA41" s="251">
        <f t="shared" si="46"/>
        <v>0.22470497205000708</v>
      </c>
    </row>
    <row r="42" spans="1:30" x14ac:dyDescent="0.35">
      <c r="A42" s="40" t="s">
        <v>924</v>
      </c>
      <c r="B42" s="42"/>
      <c r="C42" s="42"/>
      <c r="D42" s="42"/>
      <c r="E42" s="42"/>
      <c r="F42" s="42"/>
      <c r="G42" s="42"/>
      <c r="H42" s="42"/>
      <c r="I42" s="42"/>
      <c r="J42" s="42"/>
      <c r="K42" s="42"/>
      <c r="N42" s="179" t="s">
        <v>913</v>
      </c>
      <c r="O42" s="212">
        <f>G410</f>
        <v>8725</v>
      </c>
      <c r="P42" s="212">
        <f>H410</f>
        <v>9063</v>
      </c>
      <c r="Q42" s="212">
        <f>I410</f>
        <v>8149</v>
      </c>
      <c r="R42" s="213">
        <f t="shared" ref="R42:AA42" si="47">(1+R43)*Q42</f>
        <v>7895.931365547819</v>
      </c>
      <c r="S42" s="214">
        <f t="shared" si="47"/>
        <v>7375.1758012147902</v>
      </c>
      <c r="T42" s="212">
        <f t="shared" si="47"/>
        <v>7017.4518630933753</v>
      </c>
      <c r="U42" s="212">
        <f t="shared" si="47"/>
        <v>6615.8565067398085</v>
      </c>
      <c r="V42" s="212">
        <f t="shared" si="47"/>
        <v>6266.1030565361725</v>
      </c>
      <c r="W42" s="212">
        <f t="shared" si="47"/>
        <v>5921.1728031108069</v>
      </c>
      <c r="X42" s="213">
        <f t="shared" si="47"/>
        <v>5601.6871935799318</v>
      </c>
      <c r="Y42" s="212">
        <f t="shared" si="47"/>
        <v>5296.3854748426875</v>
      </c>
      <c r="Z42" s="212">
        <f t="shared" si="47"/>
        <v>5009.1672094767218</v>
      </c>
      <c r="AA42" s="252">
        <f t="shared" si="47"/>
        <v>4736.841698842506</v>
      </c>
    </row>
    <row r="43" spans="1:30" x14ac:dyDescent="0.35">
      <c r="A43" s="40" t="s">
        <v>925</v>
      </c>
      <c r="B43" s="42"/>
      <c r="C43" s="42"/>
      <c r="D43" s="42"/>
      <c r="E43" s="42"/>
      <c r="F43" s="42"/>
      <c r="G43" s="42"/>
      <c r="H43" s="42"/>
      <c r="I43" s="42"/>
      <c r="J43" s="42"/>
      <c r="K43" s="42"/>
      <c r="N43" s="171" t="s">
        <v>909</v>
      </c>
      <c r="O43" s="228" t="s">
        <v>910</v>
      </c>
      <c r="P43" s="177">
        <f>(P42-O42)/ABS(O42)</f>
        <v>3.8739255014326644E-2</v>
      </c>
      <c r="Q43" s="177">
        <f>(Q42-P42)/ABS(P42)</f>
        <v>-0.10084960829747325</v>
      </c>
      <c r="R43" s="196">
        <f>AVERAGE(P43:Q43)</f>
        <v>-3.1055176641573302E-2</v>
      </c>
      <c r="S43" s="197">
        <f t="shared" ref="S43:AA43" si="48">AVERAGE(Q43:R43)</f>
        <v>-6.595239246952328E-2</v>
      </c>
      <c r="T43" s="193">
        <f t="shared" si="48"/>
        <v>-4.8503784555548289E-2</v>
      </c>
      <c r="U43" s="193">
        <f t="shared" si="48"/>
        <v>-5.7228088512535788E-2</v>
      </c>
      <c r="V43" s="193">
        <f t="shared" si="48"/>
        <v>-5.2865936534042035E-2</v>
      </c>
      <c r="W43" s="193">
        <f t="shared" si="48"/>
        <v>-5.5047012523288912E-2</v>
      </c>
      <c r="X43" s="196">
        <f t="shared" si="48"/>
        <v>-5.3956474528665477E-2</v>
      </c>
      <c r="Y43" s="193">
        <f t="shared" si="48"/>
        <v>-5.4501743525977198E-2</v>
      </c>
      <c r="Z43" s="193">
        <f t="shared" si="48"/>
        <v>-5.4229109027321337E-2</v>
      </c>
      <c r="AA43" s="250">
        <f t="shared" si="48"/>
        <v>-5.4365426276649267E-2</v>
      </c>
      <c r="AC43" s="202"/>
    </row>
    <row r="44" spans="1:30" x14ac:dyDescent="0.35">
      <c r="A44" s="40" t="s">
        <v>926</v>
      </c>
      <c r="B44" s="41">
        <v>3281</v>
      </c>
      <c r="C44" s="41">
        <v>4149</v>
      </c>
      <c r="D44" s="41">
        <v>4041</v>
      </c>
      <c r="E44" s="41">
        <v>3713</v>
      </c>
      <c r="F44" s="41">
        <v>4539</v>
      </c>
      <c r="G44" s="41">
        <v>5338.79</v>
      </c>
      <c r="H44" s="41">
        <v>4516.28</v>
      </c>
      <c r="I44" s="41">
        <v>5354.13</v>
      </c>
      <c r="J44" s="42"/>
      <c r="K44" s="42"/>
      <c r="N44" s="171" t="s">
        <v>911</v>
      </c>
      <c r="O44" s="177">
        <f>O42/O37</f>
        <v>1.1304742161181653</v>
      </c>
      <c r="P44" s="177">
        <f>P42/P37</f>
        <v>0.8885294117647059</v>
      </c>
      <c r="Q44" s="177">
        <f>Q42/Q37</f>
        <v>0.90223649247121351</v>
      </c>
      <c r="R44" s="169">
        <f>AVERAGE(O44:Q44)</f>
        <v>0.97374670678469488</v>
      </c>
      <c r="S44" s="170">
        <f>AVERAGE(P44:R44)</f>
        <v>0.92150420367353814</v>
      </c>
      <c r="T44" s="177">
        <f>T42/$T$37</f>
        <v>0.73628828311230254</v>
      </c>
      <c r="U44" s="177">
        <f t="shared" ref="U44:AA44" si="49">U42/U37</f>
        <v>0.6700000970097405</v>
      </c>
      <c r="V44" s="177">
        <f t="shared" si="49"/>
        <v>0.59102888650420371</v>
      </c>
      <c r="W44" s="177">
        <f t="shared" si="49"/>
        <v>0.5067133918008172</v>
      </c>
      <c r="X44" s="167">
        <f t="shared" si="49"/>
        <v>0.42562881553115645</v>
      </c>
      <c r="Y44" s="177">
        <f t="shared" si="49"/>
        <v>0.35470609953235271</v>
      </c>
      <c r="Z44" s="177">
        <f t="shared" si="49"/>
        <v>0.28940499379014722</v>
      </c>
      <c r="AA44" s="251">
        <f t="shared" si="49"/>
        <v>0.23181769697076593</v>
      </c>
    </row>
    <row r="45" spans="1:30" x14ac:dyDescent="0.35">
      <c r="A45" s="40" t="s">
        <v>927</v>
      </c>
      <c r="B45" s="42">
        <v>82</v>
      </c>
      <c r="C45" s="42">
        <v>145</v>
      </c>
      <c r="D45" s="42">
        <v>108</v>
      </c>
      <c r="E45" s="42">
        <v>85</v>
      </c>
      <c r="F45" s="42">
        <v>177</v>
      </c>
      <c r="G45" s="42">
        <v>220</v>
      </c>
      <c r="H45" s="42">
        <v>228.33</v>
      </c>
      <c r="I45" s="42">
        <v>86</v>
      </c>
      <c r="J45" s="42">
        <v>92</v>
      </c>
      <c r="K45" s="42">
        <v>92</v>
      </c>
      <c r="N45" s="176" t="s">
        <v>915</v>
      </c>
      <c r="O45" s="212">
        <f>G412</f>
        <v>-1596</v>
      </c>
      <c r="P45" s="212">
        <f>H412</f>
        <v>103</v>
      </c>
      <c r="Q45" s="212">
        <f>I412</f>
        <v>677</v>
      </c>
      <c r="R45" s="213">
        <f>Q45*(1+R46)</f>
        <v>1354</v>
      </c>
      <c r="S45" s="252">
        <f>S37*S47</f>
        <v>-478.01182646542543</v>
      </c>
      <c r="T45" s="212">
        <f>T37*T47</f>
        <v>1590.6420521254381</v>
      </c>
      <c r="U45" s="212">
        <f t="shared" ref="U45:AA45" si="50">U37*U47</f>
        <v>2253.5786332210696</v>
      </c>
      <c r="V45" s="212">
        <f t="shared" si="50"/>
        <v>3137.3903963679377</v>
      </c>
      <c r="W45" s="212">
        <f t="shared" si="50"/>
        <v>4218.4878392131068</v>
      </c>
      <c r="X45" s="213">
        <f t="shared" si="50"/>
        <v>5607.917656136804</v>
      </c>
      <c r="Y45" s="212">
        <f t="shared" si="50"/>
        <v>7361.4383017592918</v>
      </c>
      <c r="Z45" s="212">
        <f t="shared" si="50"/>
        <v>9463.0483448247542</v>
      </c>
      <c r="AA45" s="212">
        <f t="shared" si="50"/>
        <v>12118.40432399601</v>
      </c>
      <c r="AB45" s="300"/>
    </row>
    <row r="46" spans="1:30" x14ac:dyDescent="0.35">
      <c r="A46" s="40" t="s">
        <v>928</v>
      </c>
      <c r="B46" s="41">
        <v>3434</v>
      </c>
      <c r="C46" s="41">
        <v>6350</v>
      </c>
      <c r="D46" s="41">
        <v>7092</v>
      </c>
      <c r="E46" s="41">
        <v>6949</v>
      </c>
      <c r="F46" s="41">
        <v>7662</v>
      </c>
      <c r="G46" s="41">
        <v>15074.25</v>
      </c>
      <c r="H46" s="41">
        <v>12908.79</v>
      </c>
      <c r="I46" s="41">
        <v>8877.18</v>
      </c>
      <c r="J46" s="42"/>
      <c r="K46" s="42"/>
      <c r="N46" s="171" t="s">
        <v>909</v>
      </c>
      <c r="O46" s="228" t="s">
        <v>910</v>
      </c>
      <c r="P46" s="177">
        <f>(P45-O45)/ABS(O45)</f>
        <v>1.0645363408521302</v>
      </c>
      <c r="Q46" s="177">
        <f>(Q45-P45)/ABS(P45)</f>
        <v>5.5728155339805827</v>
      </c>
      <c r="R46" s="254">
        <v>1</v>
      </c>
      <c r="S46" s="250">
        <f t="shared" ref="S46:AA46" si="51">(S45 - R45)/ABS(R45)</f>
        <v>-1.3530367994574781</v>
      </c>
      <c r="T46" s="193">
        <f t="shared" si="51"/>
        <v>4.3276207073937094</v>
      </c>
      <c r="U46" s="193">
        <f t="shared" si="51"/>
        <v>0.41677295040062995</v>
      </c>
      <c r="V46" s="193">
        <f t="shared" si="51"/>
        <v>0.39218146201698068</v>
      </c>
      <c r="W46" s="193">
        <f t="shared" si="51"/>
        <v>0.34458492768280385</v>
      </c>
      <c r="X46" s="196">
        <f t="shared" si="51"/>
        <v>0.32936679442529193</v>
      </c>
      <c r="Y46" s="193">
        <f t="shared" si="51"/>
        <v>0.31268658941587552</v>
      </c>
      <c r="Z46" s="193">
        <f t="shared" si="51"/>
        <v>0.28548905212765335</v>
      </c>
      <c r="AA46" s="250">
        <f t="shared" si="51"/>
        <v>0.2806026010237434</v>
      </c>
    </row>
    <row r="47" spans="1:30" x14ac:dyDescent="0.35">
      <c r="A47" s="40" t="s">
        <v>929</v>
      </c>
      <c r="B47" s="41">
        <v>1740</v>
      </c>
      <c r="C47" s="41">
        <v>3749</v>
      </c>
      <c r="D47" s="41">
        <v>4245</v>
      </c>
      <c r="E47" s="41">
        <v>4012</v>
      </c>
      <c r="F47" s="41">
        <v>4188</v>
      </c>
      <c r="G47" s="41">
        <v>4807.04</v>
      </c>
      <c r="H47" s="41">
        <v>5003.6000000000004</v>
      </c>
      <c r="I47" s="41">
        <v>3683.61</v>
      </c>
      <c r="J47" s="41">
        <v>1345.55</v>
      </c>
      <c r="K47" s="41">
        <v>3741.16</v>
      </c>
      <c r="N47" s="171" t="s">
        <v>911</v>
      </c>
      <c r="O47" s="177">
        <f>O45/O37</f>
        <v>-0.20678932365897901</v>
      </c>
      <c r="P47" s="177">
        <f>P45/P37</f>
        <v>1.0098039215686274E-2</v>
      </c>
      <c r="Q47" s="177">
        <f>Q45/Q37</f>
        <v>7.4955713020372017E-2</v>
      </c>
      <c r="R47" s="255">
        <f>1- (R50+R44+R41)</f>
        <v>-4.3669575573102026E-2</v>
      </c>
      <c r="S47" s="253">
        <f>1- (S50+S44+S41)</f>
        <v>-5.4826295149188686E-2</v>
      </c>
      <c r="T47" s="178">
        <f>1- (T50+T44+T41)</f>
        <v>0.16689407044815874</v>
      </c>
      <c r="U47" s="178">
        <f t="shared" ref="U47:AA47" si="52">1- (U50+U44+U41)</f>
        <v>0.22822410089139755</v>
      </c>
      <c r="V47" s="178">
        <f t="shared" si="52"/>
        <v>0.29592369224762693</v>
      </c>
      <c r="W47" s="178">
        <f t="shared" si="52"/>
        <v>0.36100352959723814</v>
      </c>
      <c r="X47" s="169">
        <f t="shared" si="52"/>
        <v>0.42610222011564169</v>
      </c>
      <c r="Y47" s="178">
        <f t="shared" si="52"/>
        <v>0.49300548069391814</v>
      </c>
      <c r="Z47" s="178">
        <f t="shared" si="52"/>
        <v>0.54672829493267439</v>
      </c>
      <c r="AA47" s="178">
        <f t="shared" si="52"/>
        <v>0.59306617361432978</v>
      </c>
      <c r="AB47" s="300"/>
      <c r="AC47" s="178"/>
      <c r="AD47" s="178"/>
    </row>
    <row r="48" spans="1:30" x14ac:dyDescent="0.35">
      <c r="A48" s="40" t="s">
        <v>930</v>
      </c>
      <c r="B48" s="42"/>
      <c r="C48" s="42"/>
      <c r="D48" s="42"/>
      <c r="E48" s="42"/>
      <c r="F48" s="42"/>
      <c r="G48" s="42"/>
      <c r="H48" s="42"/>
      <c r="I48" s="42"/>
      <c r="J48" s="42"/>
      <c r="K48" s="42"/>
      <c r="N48" s="172" t="s">
        <v>916</v>
      </c>
      <c r="O48" s="224">
        <f>G414+G416</f>
        <v>-1200</v>
      </c>
      <c r="P48" s="224">
        <f>H414+H416</f>
        <v>-1242</v>
      </c>
      <c r="Q48" s="224">
        <f>I414+I416</f>
        <v>-1260</v>
      </c>
      <c r="R48" s="213">
        <f>Q48 * (1+R49)</f>
        <v>-1228.8195652173913</v>
      </c>
      <c r="S48" s="252">
        <f>R48 * (1+S49)</f>
        <v>-1204.7106596172023</v>
      </c>
      <c r="T48" s="212">
        <f>(1+T49)*S48</f>
        <v>-1177.9865979740634</v>
      </c>
      <c r="U48" s="212">
        <f t="shared" ref="U48:AA48" si="53">(1+U49)*T48</f>
        <v>-1153.3651842528211</v>
      </c>
      <c r="V48" s="212">
        <f t="shared" si="53"/>
        <v>-1128.5192535512879</v>
      </c>
      <c r="W48" s="212">
        <f t="shared" si="53"/>
        <v>-1104.5701634592228</v>
      </c>
      <c r="X48" s="213">
        <f t="shared" si="53"/>
        <v>-1080.9523472773324</v>
      </c>
      <c r="Y48" s="212">
        <f t="shared" si="53"/>
        <v>-1057.9261162723631</v>
      </c>
      <c r="Z48" s="212">
        <f t="shared" si="53"/>
        <v>-1035.34801209847</v>
      </c>
      <c r="AA48" s="252">
        <f t="shared" si="53"/>
        <v>-1013.2725010244419</v>
      </c>
    </row>
    <row r="49" spans="1:27" x14ac:dyDescent="0.35">
      <c r="A49" s="40" t="s">
        <v>931</v>
      </c>
      <c r="B49" s="41">
        <v>1862</v>
      </c>
      <c r="C49" s="41">
        <v>2082</v>
      </c>
      <c r="D49" s="41">
        <v>2096</v>
      </c>
      <c r="E49" s="41">
        <v>2014</v>
      </c>
      <c r="F49" s="41">
        <v>2112</v>
      </c>
      <c r="G49" s="41">
        <v>2215.9299999999998</v>
      </c>
      <c r="H49" s="41">
        <v>1810.02</v>
      </c>
      <c r="I49" s="41">
        <v>1471.7</v>
      </c>
      <c r="J49" s="41">
        <v>2244.7199999999998</v>
      </c>
      <c r="K49" s="41">
        <v>2301.5500000000002</v>
      </c>
      <c r="N49" s="171" t="s">
        <v>909</v>
      </c>
      <c r="O49" s="228" t="s">
        <v>910</v>
      </c>
      <c r="P49" s="177">
        <f>(P48-O48)/ABS(O48)</f>
        <v>-3.5000000000000003E-2</v>
      </c>
      <c r="Q49" s="177">
        <f>(Q48-P48)/ABS(P48)</f>
        <v>-1.4492753623188406E-2</v>
      </c>
      <c r="R49" s="196">
        <f>AVERAGE(P49:Q49)</f>
        <v>-2.4746376811594206E-2</v>
      </c>
      <c r="S49" s="250">
        <f t="shared" ref="S49:AA49" si="54">AVERAGE(Q49:R49)</f>
        <v>-1.9619565217391305E-2</v>
      </c>
      <c r="T49" s="193">
        <f t="shared" si="54"/>
        <v>-2.2182971014492757E-2</v>
      </c>
      <c r="U49" s="193">
        <f t="shared" si="54"/>
        <v>-2.0901268115942031E-2</v>
      </c>
      <c r="V49" s="193">
        <f t="shared" si="54"/>
        <v>-2.1542119565217392E-2</v>
      </c>
      <c r="W49" s="193">
        <f t="shared" si="54"/>
        <v>-2.122169384057971E-2</v>
      </c>
      <c r="X49" s="196">
        <f t="shared" si="54"/>
        <v>-2.1381906702898551E-2</v>
      </c>
      <c r="Y49" s="193">
        <f t="shared" si="54"/>
        <v>-2.130180027173913E-2</v>
      </c>
      <c r="Z49" s="193">
        <f t="shared" si="54"/>
        <v>-2.1341853487318839E-2</v>
      </c>
      <c r="AA49" s="250">
        <f t="shared" si="54"/>
        <v>-2.1321826879528986E-2</v>
      </c>
    </row>
    <row r="50" spans="1:27" x14ac:dyDescent="0.35">
      <c r="A50" s="40" t="s">
        <v>932</v>
      </c>
      <c r="B50" s="41">
        <v>1332</v>
      </c>
      <c r="C50" s="41">
        <v>1765</v>
      </c>
      <c r="D50" s="41">
        <v>1799</v>
      </c>
      <c r="E50" s="41">
        <v>1571</v>
      </c>
      <c r="F50" s="41">
        <v>2027</v>
      </c>
      <c r="G50" s="41">
        <v>2069.4699999999998</v>
      </c>
      <c r="H50" s="41">
        <v>2078.79</v>
      </c>
      <c r="I50" s="41">
        <v>2457.81</v>
      </c>
      <c r="J50" s="42"/>
      <c r="K50" s="42"/>
      <c r="N50" s="180" t="s">
        <v>911</v>
      </c>
      <c r="O50" s="189">
        <f>O48/O37</f>
        <v>-0.15548069448043533</v>
      </c>
      <c r="P50" s="189">
        <f>P48/P37</f>
        <v>-0.12176470588235294</v>
      </c>
      <c r="Q50" s="189">
        <f>Q48/Q37</f>
        <v>-0.13950398582816653</v>
      </c>
      <c r="R50" s="203">
        <f>AVERAGE(O50:Q50)</f>
        <v>-0.1389164620636516</v>
      </c>
      <c r="S50" s="302">
        <f>AVERAGE(P50:R50)</f>
        <v>-0.13339505125805703</v>
      </c>
      <c r="T50" s="192">
        <f t="shared" ref="T50:AA50" si="55">T48/T37</f>
        <v>-0.12359724678884976</v>
      </c>
      <c r="U50" s="192">
        <f t="shared" si="55"/>
        <v>-0.11680343800531565</v>
      </c>
      <c r="V50" s="192">
        <f t="shared" si="55"/>
        <v>-0.10644374530821643</v>
      </c>
      <c r="W50" s="192">
        <f t="shared" si="55"/>
        <v>-9.4525276092999017E-2</v>
      </c>
      <c r="X50" s="194">
        <f t="shared" si="55"/>
        <v>-8.2133195110318732E-2</v>
      </c>
      <c r="Y50" s="192">
        <f t="shared" si="55"/>
        <v>-7.0850743035754185E-2</v>
      </c>
      <c r="Z50" s="192">
        <f t="shared" si="55"/>
        <v>-5.9817305448523858E-2</v>
      </c>
      <c r="AA50" s="301">
        <f t="shared" si="55"/>
        <v>-4.9588842635102832E-2</v>
      </c>
    </row>
    <row r="51" spans="1:27" x14ac:dyDescent="0.35">
      <c r="A51" s="40" t="s">
        <v>933</v>
      </c>
      <c r="B51" s="41">
        <v>1612</v>
      </c>
      <c r="C51" s="41">
        <v>2456</v>
      </c>
      <c r="D51" s="41">
        <v>2739</v>
      </c>
      <c r="E51" s="41">
        <v>2852</v>
      </c>
      <c r="F51" s="41">
        <v>3297</v>
      </c>
      <c r="G51" s="41">
        <v>3303.48</v>
      </c>
      <c r="H51" s="41">
        <v>6201.02</v>
      </c>
      <c r="I51" s="41">
        <v>2079.7600000000002</v>
      </c>
      <c r="J51" s="41">
        <v>2584.41</v>
      </c>
      <c r="K51" s="41">
        <v>2502.2199999999998</v>
      </c>
      <c r="O51" s="226"/>
      <c r="P51" s="226"/>
      <c r="Q51" s="226"/>
      <c r="R51" s="226"/>
      <c r="S51" s="226"/>
      <c r="T51" s="226"/>
      <c r="U51" s="226"/>
      <c r="V51" s="226"/>
      <c r="W51" s="226"/>
      <c r="X51" s="226"/>
      <c r="Y51" s="226"/>
      <c r="Z51" s="226"/>
      <c r="AA51" s="226"/>
    </row>
    <row r="52" spans="1:27" x14ac:dyDescent="0.35">
      <c r="A52" s="40" t="s">
        <v>934</v>
      </c>
      <c r="B52" s="42">
        <v>87</v>
      </c>
      <c r="C52" s="42">
        <v>302</v>
      </c>
      <c r="D52" s="42">
        <v>146</v>
      </c>
      <c r="E52" s="42">
        <v>128</v>
      </c>
      <c r="F52" s="42">
        <v>400</v>
      </c>
      <c r="G52" s="42">
        <v>439.33</v>
      </c>
      <c r="H52" s="42">
        <v>175</v>
      </c>
      <c r="I52" s="42">
        <v>80</v>
      </c>
      <c r="J52" s="42"/>
      <c r="K52" s="42"/>
    </row>
    <row r="53" spans="1:27" x14ac:dyDescent="0.35">
      <c r="A53" s="40" t="s">
        <v>935</v>
      </c>
      <c r="B53" s="42"/>
      <c r="C53" s="42"/>
      <c r="D53" s="42"/>
      <c r="E53" s="42"/>
      <c r="F53" s="42"/>
      <c r="G53" s="42"/>
      <c r="H53" s="42"/>
      <c r="I53" s="42"/>
      <c r="J53" s="42"/>
      <c r="K53" s="42"/>
    </row>
    <row r="54" spans="1:27" x14ac:dyDescent="0.35">
      <c r="A54" s="40" t="s">
        <v>936</v>
      </c>
      <c r="B54" s="42"/>
      <c r="C54" s="42"/>
      <c r="D54" s="42"/>
      <c r="E54" s="42"/>
      <c r="F54" s="42"/>
      <c r="G54" s="42"/>
      <c r="H54" s="42"/>
      <c r="I54" s="42"/>
      <c r="J54" s="42"/>
      <c r="K54" s="42"/>
    </row>
    <row r="55" spans="1:27" x14ac:dyDescent="0.35">
      <c r="A55" s="40" t="s">
        <v>937</v>
      </c>
      <c r="B55" s="42"/>
      <c r="C55" s="42"/>
      <c r="D55" s="42"/>
      <c r="E55" s="42"/>
      <c r="F55" s="42"/>
      <c r="G55" s="42"/>
      <c r="H55" s="42"/>
      <c r="I55" s="42"/>
      <c r="J55" s="42"/>
      <c r="K55" s="42"/>
    </row>
    <row r="56" spans="1:27" x14ac:dyDescent="0.35">
      <c r="A56" s="40" t="s">
        <v>882</v>
      </c>
      <c r="B56" s="42"/>
      <c r="C56" s="42"/>
      <c r="D56" s="42"/>
      <c r="E56" s="42"/>
      <c r="F56" s="42"/>
      <c r="G56" s="42"/>
      <c r="H56" s="42"/>
      <c r="I56" s="42"/>
      <c r="J56" s="42"/>
      <c r="K56" s="42"/>
    </row>
    <row r="57" spans="1:27" x14ac:dyDescent="0.35">
      <c r="A57" s="40" t="s">
        <v>884</v>
      </c>
      <c r="B57" s="42"/>
      <c r="C57" s="42"/>
      <c r="D57" s="42"/>
      <c r="E57" s="42"/>
      <c r="F57" s="42"/>
      <c r="G57" s="42"/>
      <c r="H57" s="42"/>
      <c r="I57" s="42"/>
      <c r="J57" s="42"/>
      <c r="K57" s="42"/>
    </row>
    <row r="58" spans="1:27" x14ac:dyDescent="0.35">
      <c r="A58" s="40" t="s">
        <v>888</v>
      </c>
      <c r="B58" s="42"/>
      <c r="C58" s="42"/>
      <c r="D58" s="42"/>
      <c r="E58" s="42"/>
      <c r="F58" s="42"/>
      <c r="G58" s="42"/>
      <c r="H58" s="42"/>
      <c r="I58" s="42"/>
      <c r="J58" s="42"/>
      <c r="K58" s="42"/>
    </row>
    <row r="59" spans="1:27" x14ac:dyDescent="0.35">
      <c r="A59" s="40" t="s">
        <v>903</v>
      </c>
      <c r="B59" s="42"/>
      <c r="C59" s="42"/>
      <c r="D59" s="42"/>
      <c r="E59" s="42"/>
      <c r="F59" s="42"/>
      <c r="G59" s="42"/>
      <c r="H59" s="42"/>
      <c r="I59" s="42"/>
      <c r="J59" s="42"/>
      <c r="K59" s="42"/>
    </row>
    <row r="60" spans="1:27" x14ac:dyDescent="0.35">
      <c r="A60" s="40" t="s">
        <v>905</v>
      </c>
      <c r="B60" s="42"/>
      <c r="C60" s="42"/>
      <c r="D60" s="42"/>
      <c r="E60" s="42"/>
      <c r="F60" s="42"/>
      <c r="G60" s="42"/>
      <c r="H60" s="42"/>
      <c r="I60" s="42"/>
      <c r="J60" s="42"/>
      <c r="K60" s="42"/>
    </row>
    <row r="61" spans="1:27" x14ac:dyDescent="0.35">
      <c r="A61" s="40" t="s">
        <v>903</v>
      </c>
      <c r="B61" s="42"/>
      <c r="C61" s="42"/>
      <c r="D61" s="42"/>
      <c r="E61" s="42"/>
      <c r="F61" s="42"/>
      <c r="G61" s="42"/>
      <c r="H61" s="42"/>
      <c r="I61" s="42"/>
      <c r="J61" s="42"/>
      <c r="K61" s="42"/>
    </row>
    <row r="62" spans="1:27" x14ac:dyDescent="0.35">
      <c r="A62" s="40" t="s">
        <v>908</v>
      </c>
      <c r="B62" s="42"/>
      <c r="C62" s="42"/>
      <c r="D62" s="42"/>
      <c r="E62" s="42"/>
      <c r="F62" s="42"/>
      <c r="G62" s="42"/>
      <c r="H62" s="42"/>
      <c r="I62" s="42"/>
      <c r="J62" s="42"/>
      <c r="K62" s="42"/>
    </row>
    <row r="63" spans="1:27" x14ac:dyDescent="0.35">
      <c r="A63" s="40" t="s">
        <v>903</v>
      </c>
      <c r="B63" s="42"/>
      <c r="C63" s="42"/>
      <c r="D63" s="42"/>
      <c r="E63" s="42"/>
      <c r="F63" s="42"/>
      <c r="G63" s="42"/>
      <c r="H63" s="42"/>
      <c r="I63" s="42"/>
      <c r="J63" s="42"/>
      <c r="K63" s="42"/>
    </row>
    <row r="64" spans="1:27" x14ac:dyDescent="0.35">
      <c r="A64" s="40" t="s">
        <v>912</v>
      </c>
      <c r="B64" s="42"/>
      <c r="C64" s="42"/>
      <c r="D64" s="42"/>
      <c r="E64" s="42"/>
      <c r="F64" s="42"/>
      <c r="G64" s="42"/>
      <c r="H64" s="42"/>
      <c r="I64" s="42"/>
      <c r="J64" s="42"/>
      <c r="K64" s="42"/>
    </row>
    <row r="65" spans="1:11" x14ac:dyDescent="0.35">
      <c r="A65" s="40" t="s">
        <v>903</v>
      </c>
      <c r="B65" s="42"/>
      <c r="C65" s="42"/>
      <c r="D65" s="42"/>
      <c r="E65" s="42"/>
      <c r="F65" s="42"/>
      <c r="G65" s="42"/>
      <c r="H65" s="42"/>
      <c r="I65" s="42"/>
      <c r="J65" s="42"/>
      <c r="K65" s="42"/>
    </row>
    <row r="66" spans="1:11" x14ac:dyDescent="0.35">
      <c r="A66" s="40" t="s">
        <v>914</v>
      </c>
      <c r="B66" s="42"/>
      <c r="C66" s="42"/>
      <c r="D66" s="42"/>
      <c r="E66" s="42"/>
      <c r="F66" s="42"/>
      <c r="G66" s="42"/>
      <c r="H66" s="42"/>
      <c r="I66" s="42"/>
      <c r="J66" s="42"/>
      <c r="K66" s="42"/>
    </row>
    <row r="67" spans="1:11" x14ac:dyDescent="0.35">
      <c r="A67" s="40" t="s">
        <v>884</v>
      </c>
      <c r="B67" s="42"/>
      <c r="C67" s="42"/>
      <c r="D67" s="42"/>
      <c r="E67" s="42"/>
      <c r="F67" s="42"/>
      <c r="G67" s="42"/>
      <c r="H67" s="42"/>
      <c r="I67" s="42"/>
      <c r="J67" s="42"/>
      <c r="K67" s="42"/>
    </row>
    <row r="68" spans="1:11" x14ac:dyDescent="0.35">
      <c r="A68" s="40" t="s">
        <v>888</v>
      </c>
      <c r="B68" s="42"/>
      <c r="C68" s="42"/>
      <c r="D68" s="42"/>
      <c r="E68" s="42"/>
      <c r="F68" s="42"/>
      <c r="G68" s="42"/>
      <c r="H68" s="42"/>
      <c r="I68" s="42"/>
      <c r="J68" s="42"/>
      <c r="K68" s="42"/>
    </row>
    <row r="69" spans="1:11" x14ac:dyDescent="0.35">
      <c r="A69" s="40" t="s">
        <v>903</v>
      </c>
      <c r="B69" s="42"/>
      <c r="C69" s="42"/>
      <c r="D69" s="42"/>
      <c r="E69" s="42"/>
      <c r="F69" s="42"/>
      <c r="G69" s="42"/>
      <c r="H69" s="42"/>
      <c r="I69" s="42"/>
      <c r="J69" s="42"/>
      <c r="K69" s="42"/>
    </row>
    <row r="70" spans="1:11" x14ac:dyDescent="0.35">
      <c r="A70" s="40" t="s">
        <v>905</v>
      </c>
      <c r="B70" s="42"/>
      <c r="C70" s="42"/>
      <c r="D70" s="42"/>
      <c r="E70" s="42"/>
      <c r="F70" s="42"/>
      <c r="G70" s="42"/>
      <c r="H70" s="42"/>
      <c r="I70" s="42"/>
      <c r="J70" s="42"/>
      <c r="K70" s="42"/>
    </row>
    <row r="71" spans="1:11" x14ac:dyDescent="0.35">
      <c r="A71" s="40" t="s">
        <v>903</v>
      </c>
      <c r="B71" s="42"/>
      <c r="C71" s="42"/>
      <c r="D71" s="42"/>
      <c r="E71" s="42"/>
      <c r="F71" s="42"/>
      <c r="G71" s="42"/>
      <c r="H71" s="42"/>
      <c r="I71" s="42"/>
      <c r="J71" s="42"/>
      <c r="K71" s="42"/>
    </row>
    <row r="72" spans="1:11" x14ac:dyDescent="0.35">
      <c r="A72" s="40" t="s">
        <v>908</v>
      </c>
      <c r="B72" s="42"/>
      <c r="C72" s="42"/>
      <c r="D72" s="42"/>
      <c r="E72" s="42"/>
      <c r="F72" s="42"/>
      <c r="G72" s="42"/>
      <c r="H72" s="42"/>
      <c r="I72" s="42"/>
      <c r="J72" s="42"/>
      <c r="K72" s="42"/>
    </row>
    <row r="73" spans="1:11" x14ac:dyDescent="0.35">
      <c r="A73" s="40" t="s">
        <v>903</v>
      </c>
      <c r="B73" s="42"/>
      <c r="C73" s="42"/>
      <c r="D73" s="42"/>
      <c r="E73" s="42"/>
      <c r="F73" s="42"/>
      <c r="G73" s="42"/>
      <c r="H73" s="42"/>
      <c r="I73" s="42"/>
      <c r="J73" s="42"/>
      <c r="K73" s="42"/>
    </row>
    <row r="74" spans="1:11" x14ac:dyDescent="0.35">
      <c r="A74" s="40" t="s">
        <v>912</v>
      </c>
      <c r="B74" s="42"/>
      <c r="C74" s="42"/>
      <c r="D74" s="42"/>
      <c r="E74" s="42"/>
      <c r="F74" s="42"/>
      <c r="G74" s="42"/>
      <c r="H74" s="42"/>
      <c r="I74" s="42"/>
      <c r="J74" s="42"/>
      <c r="K74" s="42"/>
    </row>
    <row r="75" spans="1:11" x14ac:dyDescent="0.35">
      <c r="A75" s="40" t="s">
        <v>903</v>
      </c>
      <c r="B75" s="42"/>
      <c r="C75" s="42"/>
      <c r="D75" s="42"/>
      <c r="E75" s="42"/>
      <c r="F75" s="42"/>
      <c r="G75" s="42"/>
      <c r="H75" s="42"/>
      <c r="I75" s="42"/>
      <c r="J75" s="42"/>
      <c r="K75" s="42"/>
    </row>
    <row r="76" spans="1:11" x14ac:dyDescent="0.35">
      <c r="A76" s="40" t="s">
        <v>919</v>
      </c>
      <c r="B76" s="42"/>
      <c r="C76" s="42"/>
      <c r="D76" s="42"/>
      <c r="E76" s="42"/>
      <c r="F76" s="42"/>
      <c r="G76" s="42"/>
      <c r="H76" s="42"/>
      <c r="I76" s="42"/>
      <c r="J76" s="42"/>
      <c r="K76" s="42"/>
    </row>
    <row r="77" spans="1:11" x14ac:dyDescent="0.35">
      <c r="A77" s="40" t="s">
        <v>884</v>
      </c>
      <c r="B77" s="42"/>
      <c r="C77" s="42"/>
      <c r="D77" s="42"/>
      <c r="E77" s="42"/>
      <c r="F77" s="42"/>
      <c r="G77" s="42"/>
      <c r="H77" s="42"/>
      <c r="I77" s="42"/>
      <c r="J77" s="42"/>
      <c r="K77" s="42"/>
    </row>
    <row r="78" spans="1:11" x14ac:dyDescent="0.35">
      <c r="A78" s="40" t="s">
        <v>888</v>
      </c>
      <c r="B78" s="42"/>
      <c r="C78" s="42"/>
      <c r="D78" s="42"/>
      <c r="E78" s="42"/>
      <c r="F78" s="42"/>
      <c r="G78" s="42"/>
      <c r="H78" s="42"/>
      <c r="I78" s="42"/>
      <c r="J78" s="42"/>
      <c r="K78" s="42"/>
    </row>
    <row r="79" spans="1:11" x14ac:dyDescent="0.35">
      <c r="A79" s="40" t="s">
        <v>903</v>
      </c>
      <c r="B79" s="42"/>
      <c r="C79" s="42"/>
      <c r="D79" s="42"/>
      <c r="E79" s="42"/>
      <c r="F79" s="42"/>
      <c r="G79" s="42"/>
      <c r="H79" s="42"/>
      <c r="I79" s="42"/>
      <c r="J79" s="42"/>
      <c r="K79" s="42"/>
    </row>
    <row r="80" spans="1:11" x14ac:dyDescent="0.35">
      <c r="A80" s="40" t="s">
        <v>905</v>
      </c>
      <c r="B80" s="42"/>
      <c r="C80" s="42"/>
      <c r="D80" s="42"/>
      <c r="E80" s="42"/>
      <c r="F80" s="42"/>
      <c r="G80" s="42"/>
      <c r="H80" s="42"/>
      <c r="I80" s="42"/>
      <c r="J80" s="42"/>
      <c r="K80" s="42"/>
    </row>
    <row r="81" spans="1:11" x14ac:dyDescent="0.35">
      <c r="A81" s="40" t="s">
        <v>903</v>
      </c>
      <c r="B81" s="42"/>
      <c r="C81" s="42"/>
      <c r="D81" s="42"/>
      <c r="E81" s="42"/>
      <c r="F81" s="42"/>
      <c r="G81" s="42"/>
      <c r="H81" s="42"/>
      <c r="I81" s="42"/>
      <c r="J81" s="42"/>
      <c r="K81" s="42"/>
    </row>
    <row r="82" spans="1:11" x14ac:dyDescent="0.35">
      <c r="A82" s="40" t="s">
        <v>908</v>
      </c>
      <c r="B82" s="42"/>
      <c r="C82" s="42"/>
      <c r="D82" s="42"/>
      <c r="E82" s="42"/>
      <c r="F82" s="42"/>
      <c r="G82" s="42"/>
      <c r="H82" s="42"/>
      <c r="I82" s="42"/>
      <c r="J82" s="42"/>
      <c r="K82" s="42"/>
    </row>
    <row r="83" spans="1:11" x14ac:dyDescent="0.35">
      <c r="A83" s="40" t="s">
        <v>903</v>
      </c>
      <c r="B83" s="42"/>
      <c r="C83" s="42"/>
      <c r="D83" s="42"/>
      <c r="E83" s="42"/>
      <c r="F83" s="42"/>
      <c r="G83" s="42"/>
      <c r="H83" s="42"/>
      <c r="I83" s="42"/>
      <c r="J83" s="42"/>
      <c r="K83" s="42"/>
    </row>
    <row r="84" spans="1:11" x14ac:dyDescent="0.35">
      <c r="A84" s="40" t="s">
        <v>912</v>
      </c>
      <c r="B84" s="42"/>
      <c r="C84" s="42"/>
      <c r="D84" s="42"/>
      <c r="E84" s="42"/>
      <c r="F84" s="42"/>
      <c r="G84" s="42"/>
      <c r="H84" s="42"/>
      <c r="I84" s="42"/>
      <c r="J84" s="42"/>
      <c r="K84" s="42"/>
    </row>
    <row r="85" spans="1:11" x14ac:dyDescent="0.35">
      <c r="A85" s="40" t="s">
        <v>903</v>
      </c>
      <c r="B85" s="42"/>
      <c r="C85" s="42"/>
      <c r="D85" s="42"/>
      <c r="E85" s="42"/>
      <c r="F85" s="42"/>
      <c r="G85" s="42"/>
      <c r="H85" s="42"/>
      <c r="I85" s="42"/>
      <c r="J85" s="42"/>
      <c r="K85" s="42"/>
    </row>
    <row r="86" spans="1:11" x14ac:dyDescent="0.35">
      <c r="A86" s="40" t="s">
        <v>920</v>
      </c>
      <c r="B86" s="42"/>
      <c r="C86" s="42"/>
      <c r="D86" s="42"/>
      <c r="E86" s="42"/>
      <c r="F86" s="42"/>
      <c r="G86" s="42"/>
      <c r="H86" s="42"/>
      <c r="I86" s="42"/>
      <c r="J86" s="42"/>
      <c r="K86" s="42"/>
    </row>
    <row r="87" spans="1:11" x14ac:dyDescent="0.35">
      <c r="A87" s="40" t="s">
        <v>884</v>
      </c>
      <c r="B87" s="42"/>
      <c r="C87" s="42"/>
      <c r="D87" s="42"/>
      <c r="E87" s="42"/>
      <c r="F87" s="42"/>
      <c r="G87" s="42"/>
      <c r="H87" s="42"/>
      <c r="I87" s="42"/>
      <c r="J87" s="42"/>
      <c r="K87" s="42"/>
    </row>
    <row r="88" spans="1:11" x14ac:dyDescent="0.35">
      <c r="A88" s="40" t="s">
        <v>936</v>
      </c>
      <c r="B88" s="42"/>
      <c r="C88" s="42"/>
      <c r="D88" s="42"/>
      <c r="E88" s="42"/>
      <c r="F88" s="42"/>
      <c r="G88" s="42"/>
      <c r="H88" s="42"/>
      <c r="I88" s="42"/>
      <c r="J88" s="42"/>
      <c r="K88" s="42"/>
    </row>
    <row r="89" spans="1:11" x14ac:dyDescent="0.35">
      <c r="A89" s="40" t="s">
        <v>938</v>
      </c>
      <c r="B89" s="42"/>
      <c r="C89" s="42"/>
      <c r="D89" s="42"/>
      <c r="E89" s="42"/>
      <c r="F89" s="42"/>
      <c r="G89" s="42"/>
      <c r="H89" s="42"/>
      <c r="I89" s="42"/>
      <c r="J89" s="42"/>
      <c r="K89" s="42"/>
    </row>
    <row r="90" spans="1:11" x14ac:dyDescent="0.35">
      <c r="A90" s="40" t="s">
        <v>921</v>
      </c>
      <c r="B90" s="42"/>
      <c r="C90" s="42"/>
      <c r="D90" s="42"/>
      <c r="E90" s="42"/>
      <c r="F90" s="42"/>
      <c r="G90" s="42"/>
      <c r="H90" s="42"/>
      <c r="I90" s="42"/>
      <c r="J90" s="42"/>
      <c r="K90" s="42"/>
    </row>
    <row r="91" spans="1:11" x14ac:dyDescent="0.35">
      <c r="A91" s="40" t="s">
        <v>884</v>
      </c>
      <c r="B91" s="42"/>
      <c r="C91" s="42"/>
      <c r="D91" s="42"/>
      <c r="E91" s="42"/>
      <c r="F91" s="42"/>
      <c r="G91" s="42"/>
      <c r="H91" s="42"/>
      <c r="I91" s="42"/>
      <c r="J91" s="42"/>
      <c r="K91" s="42"/>
    </row>
    <row r="92" spans="1:11" x14ac:dyDescent="0.35">
      <c r="A92" s="40" t="s">
        <v>924</v>
      </c>
      <c r="B92" s="42"/>
      <c r="C92" s="42"/>
      <c r="D92" s="42"/>
      <c r="E92" s="42"/>
      <c r="F92" s="42"/>
      <c r="G92" s="42"/>
      <c r="H92" s="42"/>
      <c r="I92" s="42"/>
      <c r="J92" s="42"/>
      <c r="K92" s="42"/>
    </row>
    <row r="93" spans="1:11" x14ac:dyDescent="0.35">
      <c r="A93" s="40" t="s">
        <v>926</v>
      </c>
      <c r="B93" s="42">
        <v>7</v>
      </c>
      <c r="C93" s="42">
        <v>24</v>
      </c>
      <c r="D93" s="42">
        <v>3</v>
      </c>
      <c r="E93" s="42">
        <v>-7</v>
      </c>
      <c r="F93" s="42">
        <v>20</v>
      </c>
      <c r="G93" s="42"/>
      <c r="H93" s="42"/>
      <c r="I93" s="42"/>
      <c r="J93" s="42"/>
      <c r="K93" s="42"/>
    </row>
    <row r="94" spans="1:11" x14ac:dyDescent="0.35">
      <c r="A94" s="40" t="s">
        <v>927</v>
      </c>
      <c r="B94" s="42">
        <v>30</v>
      </c>
      <c r="C94" s="42">
        <v>-2</v>
      </c>
      <c r="D94" s="42">
        <v>-29</v>
      </c>
      <c r="E94" s="42">
        <v>-21</v>
      </c>
      <c r="F94" s="42"/>
      <c r="G94" s="42"/>
      <c r="H94" s="42"/>
      <c r="I94" s="42"/>
      <c r="J94" s="42"/>
      <c r="K94" s="42"/>
    </row>
    <row r="95" spans="1:11" x14ac:dyDescent="0.35">
      <c r="A95" s="40" t="s">
        <v>928</v>
      </c>
      <c r="B95" s="42">
        <v>5</v>
      </c>
      <c r="C95" s="42">
        <v>2</v>
      </c>
      <c r="D95" s="42">
        <v>3</v>
      </c>
      <c r="E95" s="42">
        <v>-2</v>
      </c>
      <c r="F95" s="42">
        <v>10</v>
      </c>
      <c r="G95" s="42"/>
      <c r="H95" s="42"/>
      <c r="I95" s="42"/>
      <c r="J95" s="42"/>
      <c r="K95" s="42"/>
    </row>
    <row r="96" spans="1:11" x14ac:dyDescent="0.35">
      <c r="A96" s="40" t="s">
        <v>929</v>
      </c>
      <c r="B96" s="42">
        <v>3</v>
      </c>
      <c r="C96" s="42">
        <v>3</v>
      </c>
      <c r="D96" s="42">
        <v>3</v>
      </c>
      <c r="E96" s="42">
        <v>-5</v>
      </c>
      <c r="F96" s="42">
        <v>4</v>
      </c>
      <c r="G96" s="42"/>
      <c r="H96" s="42"/>
      <c r="I96" s="42"/>
      <c r="J96" s="42"/>
      <c r="K96" s="42"/>
    </row>
    <row r="97" spans="1:11" x14ac:dyDescent="0.35">
      <c r="A97" s="40" t="s">
        <v>931</v>
      </c>
      <c r="B97" s="42">
        <v>9</v>
      </c>
      <c r="C97" s="42">
        <v>10</v>
      </c>
      <c r="D97" s="42">
        <v>7</v>
      </c>
      <c r="E97" s="42">
        <v>-3</v>
      </c>
      <c r="F97" s="42">
        <v>4</v>
      </c>
      <c r="G97" s="42"/>
      <c r="H97" s="42"/>
      <c r="I97" s="42"/>
      <c r="J97" s="42"/>
      <c r="K97" s="42"/>
    </row>
    <row r="98" spans="1:11" x14ac:dyDescent="0.35">
      <c r="A98" s="40" t="s">
        <v>932</v>
      </c>
      <c r="B98" s="42">
        <v>3</v>
      </c>
      <c r="C98" s="42">
        <v>31</v>
      </c>
      <c r="D98" s="42">
        <v>8</v>
      </c>
      <c r="E98" s="42">
        <v>-12</v>
      </c>
      <c r="F98" s="42">
        <v>25</v>
      </c>
      <c r="G98" s="42"/>
      <c r="H98" s="42"/>
      <c r="I98" s="42"/>
      <c r="J98" s="42"/>
      <c r="K98" s="42"/>
    </row>
    <row r="99" spans="1:11" x14ac:dyDescent="0.35">
      <c r="A99" s="40" t="s">
        <v>933</v>
      </c>
      <c r="B99" s="42">
        <v>5</v>
      </c>
      <c r="C99" s="42">
        <v>1</v>
      </c>
      <c r="D99" s="42">
        <v>5</v>
      </c>
      <c r="E99" s="42">
        <v>4</v>
      </c>
      <c r="F99" s="42">
        <v>16</v>
      </c>
      <c r="G99" s="42"/>
      <c r="H99" s="42"/>
      <c r="I99" s="42"/>
      <c r="J99" s="42"/>
      <c r="K99" s="42"/>
    </row>
    <row r="100" spans="1:11" x14ac:dyDescent="0.35">
      <c r="A100" s="40" t="s">
        <v>934</v>
      </c>
      <c r="B100" s="42">
        <v>8</v>
      </c>
      <c r="C100" s="42">
        <v>0</v>
      </c>
      <c r="D100" s="42">
        <v>-48</v>
      </c>
      <c r="E100" s="42">
        <v>-15</v>
      </c>
      <c r="F100" s="42"/>
      <c r="G100" s="42"/>
      <c r="H100" s="42"/>
      <c r="I100" s="42"/>
      <c r="J100" s="42"/>
      <c r="K100" s="42"/>
    </row>
    <row r="101" spans="1:11" x14ac:dyDescent="0.35">
      <c r="A101" s="40" t="s">
        <v>936</v>
      </c>
      <c r="B101" s="42"/>
      <c r="C101" s="42"/>
      <c r="D101" s="42"/>
      <c r="E101" s="42"/>
      <c r="F101" s="42"/>
      <c r="G101" s="42"/>
      <c r="H101" s="42"/>
      <c r="I101" s="42"/>
      <c r="J101" s="42"/>
      <c r="K101" s="42"/>
    </row>
    <row r="102" spans="1:11" x14ac:dyDescent="0.35">
      <c r="A102" s="40" t="s">
        <v>939</v>
      </c>
      <c r="B102" s="42"/>
      <c r="C102" s="42"/>
      <c r="D102" s="42"/>
      <c r="E102" s="41">
        <v>11000</v>
      </c>
      <c r="F102" s="41">
        <v>22000</v>
      </c>
      <c r="G102" s="41">
        <v>96100</v>
      </c>
      <c r="H102" s="41">
        <v>97700</v>
      </c>
      <c r="I102" s="41">
        <v>116900</v>
      </c>
      <c r="J102" s="41">
        <v>131622.62</v>
      </c>
      <c r="K102" s="41">
        <v>151434.31</v>
      </c>
    </row>
    <row r="103" spans="1:11" x14ac:dyDescent="0.35">
      <c r="A103" s="40" t="s">
        <v>940</v>
      </c>
      <c r="B103" s="41">
        <v>768000</v>
      </c>
      <c r="C103" s="41">
        <v>1165000</v>
      </c>
      <c r="D103" s="41">
        <v>734000</v>
      </c>
      <c r="E103" s="42"/>
      <c r="F103" s="41">
        <v>51100</v>
      </c>
      <c r="G103" s="41">
        <v>54600</v>
      </c>
      <c r="H103" s="41">
        <v>52000</v>
      </c>
      <c r="I103" s="41">
        <v>57100</v>
      </c>
      <c r="J103" s="42"/>
      <c r="K103" s="42"/>
    </row>
    <row r="104" spans="1:11" x14ac:dyDescent="0.35">
      <c r="A104" s="40" t="s">
        <v>884</v>
      </c>
      <c r="B104" s="42"/>
      <c r="C104" s="42"/>
      <c r="D104" s="42"/>
      <c r="E104" s="42"/>
      <c r="F104" s="42">
        <v>232.27</v>
      </c>
      <c r="G104" s="42">
        <v>56.82</v>
      </c>
      <c r="H104" s="42">
        <v>53.22</v>
      </c>
      <c r="I104" s="42">
        <v>48.85</v>
      </c>
      <c r="J104" s="42"/>
      <c r="K104" s="42"/>
    </row>
    <row r="105" spans="1:11" x14ac:dyDescent="0.35">
      <c r="A105" s="40" t="s">
        <v>941</v>
      </c>
      <c r="B105" s="41">
        <v>91000</v>
      </c>
      <c r="C105" s="41">
        <v>88000</v>
      </c>
      <c r="D105" s="41">
        <v>87000</v>
      </c>
      <c r="E105" s="42"/>
      <c r="F105" s="42"/>
      <c r="G105" s="42"/>
      <c r="H105" s="42"/>
      <c r="I105" s="42"/>
      <c r="J105" s="42"/>
      <c r="K105" s="42"/>
    </row>
    <row r="106" spans="1:11" x14ac:dyDescent="0.35">
      <c r="A106" s="40" t="s">
        <v>903</v>
      </c>
      <c r="B106" s="42"/>
      <c r="C106" s="42"/>
      <c r="D106" s="42"/>
      <c r="E106" s="42"/>
      <c r="F106" s="42"/>
      <c r="G106" s="42"/>
      <c r="H106" s="42"/>
      <c r="I106" s="42"/>
      <c r="J106" s="42"/>
      <c r="K106" s="42"/>
    </row>
    <row r="107" spans="1:11" x14ac:dyDescent="0.35">
      <c r="A107" s="40" t="s">
        <v>942</v>
      </c>
      <c r="B107" s="41">
        <v>89000</v>
      </c>
      <c r="C107" s="41">
        <v>86000</v>
      </c>
      <c r="D107" s="41">
        <v>85000</v>
      </c>
      <c r="E107" s="42"/>
      <c r="F107" s="42"/>
      <c r="G107" s="42"/>
      <c r="H107" s="42"/>
      <c r="I107" s="42"/>
      <c r="J107" s="42"/>
      <c r="K107" s="42"/>
    </row>
    <row r="108" spans="1:11" x14ac:dyDescent="0.35">
      <c r="A108" s="40" t="s">
        <v>903</v>
      </c>
      <c r="B108" s="42"/>
      <c r="C108" s="42"/>
      <c r="D108" s="42"/>
      <c r="E108" s="42"/>
      <c r="F108" s="42"/>
      <c r="G108" s="42"/>
      <c r="H108" s="42"/>
      <c r="I108" s="42"/>
      <c r="J108" s="42"/>
      <c r="K108" s="42"/>
    </row>
    <row r="109" spans="1:11" x14ac:dyDescent="0.35">
      <c r="A109" s="40" t="s">
        <v>943</v>
      </c>
      <c r="B109" s="41">
        <v>87000</v>
      </c>
      <c r="C109" s="41">
        <v>85000</v>
      </c>
      <c r="D109" s="41">
        <v>84000</v>
      </c>
      <c r="E109" s="42"/>
      <c r="F109" s="42"/>
      <c r="G109" s="42"/>
      <c r="H109" s="42"/>
      <c r="I109" s="42"/>
      <c r="J109" s="42"/>
      <c r="K109" s="42"/>
    </row>
    <row r="110" spans="1:11" x14ac:dyDescent="0.35">
      <c r="A110" s="40" t="s">
        <v>903</v>
      </c>
      <c r="B110" s="42"/>
      <c r="C110" s="42"/>
      <c r="D110" s="42"/>
      <c r="E110" s="42"/>
      <c r="F110" s="42"/>
      <c r="G110" s="42"/>
      <c r="H110" s="42"/>
      <c r="I110" s="42"/>
      <c r="J110" s="42"/>
      <c r="K110" s="42"/>
    </row>
    <row r="111" spans="1:11" x14ac:dyDescent="0.35">
      <c r="A111" s="40" t="s">
        <v>944</v>
      </c>
      <c r="B111" s="41">
        <v>65000</v>
      </c>
      <c r="C111" s="41">
        <v>60000</v>
      </c>
      <c r="D111" s="42"/>
      <c r="E111" s="42"/>
      <c r="F111" s="42"/>
      <c r="G111" s="42"/>
      <c r="H111" s="42"/>
      <c r="I111" s="42"/>
      <c r="J111" s="42"/>
      <c r="K111" s="42"/>
    </row>
    <row r="112" spans="1:11" x14ac:dyDescent="0.35">
      <c r="A112" s="40" t="s">
        <v>903</v>
      </c>
      <c r="B112" s="42"/>
      <c r="C112" s="42"/>
      <c r="D112" s="42"/>
      <c r="E112" s="42"/>
      <c r="F112" s="42"/>
      <c r="G112" s="42"/>
      <c r="H112" s="42"/>
      <c r="I112" s="42"/>
      <c r="J112" s="42"/>
      <c r="K112" s="42"/>
    </row>
    <row r="113" spans="1:11" x14ac:dyDescent="0.35">
      <c r="A113" s="40" t="s">
        <v>945</v>
      </c>
      <c r="B113" s="41">
        <v>84000</v>
      </c>
      <c r="C113" s="41">
        <v>82000</v>
      </c>
      <c r="D113" s="41">
        <v>81000</v>
      </c>
      <c r="E113" s="42"/>
      <c r="F113" s="42"/>
      <c r="G113" s="42"/>
      <c r="H113" s="42"/>
      <c r="I113" s="42"/>
      <c r="J113" s="42"/>
      <c r="K113" s="42"/>
    </row>
    <row r="114" spans="1:11" x14ac:dyDescent="0.35">
      <c r="A114" s="40" t="s">
        <v>903</v>
      </c>
      <c r="B114" s="42"/>
      <c r="C114" s="42"/>
      <c r="D114" s="42"/>
      <c r="E114" s="42"/>
      <c r="F114" s="42"/>
      <c r="G114" s="42"/>
      <c r="H114" s="42"/>
      <c r="I114" s="42"/>
      <c r="J114" s="42"/>
      <c r="K114" s="42"/>
    </row>
    <row r="115" spans="1:11" x14ac:dyDescent="0.35">
      <c r="A115" s="40" t="s">
        <v>946</v>
      </c>
      <c r="B115" s="41">
        <v>76000</v>
      </c>
      <c r="C115" s="41">
        <v>74000</v>
      </c>
      <c r="D115" s="41">
        <v>69000</v>
      </c>
      <c r="E115" s="42"/>
      <c r="F115" s="42"/>
      <c r="G115" s="42"/>
      <c r="H115" s="42"/>
      <c r="I115" s="42"/>
      <c r="J115" s="42"/>
      <c r="K115" s="42"/>
    </row>
    <row r="116" spans="1:11" x14ac:dyDescent="0.35">
      <c r="A116" s="40" t="s">
        <v>903</v>
      </c>
      <c r="B116" s="42"/>
      <c r="C116" s="42"/>
      <c r="D116" s="42"/>
      <c r="E116" s="42"/>
      <c r="F116" s="42"/>
      <c r="G116" s="42"/>
      <c r="H116" s="42"/>
      <c r="I116" s="42"/>
      <c r="J116" s="42"/>
      <c r="K116" s="42"/>
    </row>
    <row r="117" spans="1:11" x14ac:dyDescent="0.35">
      <c r="A117" s="40" t="s">
        <v>947</v>
      </c>
      <c r="B117" s="41">
        <v>73000</v>
      </c>
      <c r="C117" s="41">
        <v>73000</v>
      </c>
      <c r="D117" s="41">
        <v>73000</v>
      </c>
      <c r="E117" s="42"/>
      <c r="F117" s="42"/>
      <c r="G117" s="42"/>
      <c r="H117" s="42"/>
      <c r="I117" s="42"/>
      <c r="J117" s="42"/>
      <c r="K117" s="42"/>
    </row>
    <row r="118" spans="1:11" x14ac:dyDescent="0.35">
      <c r="A118" s="40" t="s">
        <v>903</v>
      </c>
      <c r="B118" s="42"/>
      <c r="C118" s="42"/>
      <c r="D118" s="42"/>
      <c r="E118" s="42"/>
      <c r="F118" s="42"/>
      <c r="G118" s="42"/>
      <c r="H118" s="42"/>
      <c r="I118" s="42"/>
      <c r="J118" s="42"/>
      <c r="K118" s="42"/>
    </row>
    <row r="119" spans="1:11" x14ac:dyDescent="0.35">
      <c r="A119" s="40" t="s">
        <v>948</v>
      </c>
      <c r="B119" s="41">
        <v>48000</v>
      </c>
      <c r="C119" s="41">
        <v>45000</v>
      </c>
      <c r="D119" s="42"/>
      <c r="E119" s="42"/>
      <c r="F119" s="42"/>
      <c r="G119" s="42"/>
      <c r="H119" s="42"/>
      <c r="I119" s="42"/>
      <c r="J119" s="42"/>
      <c r="K119" s="42"/>
    </row>
    <row r="120" spans="1:11" x14ac:dyDescent="0.35">
      <c r="A120" s="40" t="s">
        <v>903</v>
      </c>
      <c r="B120" s="42"/>
      <c r="C120" s="42"/>
      <c r="D120" s="42"/>
      <c r="E120" s="42"/>
      <c r="F120" s="42"/>
      <c r="G120" s="42"/>
      <c r="H120" s="42"/>
      <c r="I120" s="42"/>
      <c r="J120" s="42"/>
      <c r="K120" s="42"/>
    </row>
    <row r="121" spans="1:11" x14ac:dyDescent="0.35">
      <c r="A121" s="40" t="s">
        <v>949</v>
      </c>
      <c r="B121" s="41">
        <v>58000</v>
      </c>
      <c r="C121" s="41">
        <v>54000</v>
      </c>
      <c r="D121" s="42"/>
      <c r="E121" s="42"/>
      <c r="F121" s="42"/>
      <c r="G121" s="42"/>
      <c r="H121" s="42"/>
      <c r="I121" s="42"/>
      <c r="J121" s="42"/>
      <c r="K121" s="42"/>
    </row>
    <row r="122" spans="1:11" x14ac:dyDescent="0.35">
      <c r="A122" s="40" t="s">
        <v>903</v>
      </c>
      <c r="B122" s="42"/>
      <c r="C122" s="42"/>
      <c r="D122" s="42"/>
      <c r="E122" s="42"/>
      <c r="F122" s="42"/>
      <c r="G122" s="42"/>
      <c r="H122" s="42"/>
      <c r="I122" s="42"/>
      <c r="J122" s="42"/>
      <c r="K122" s="42"/>
    </row>
    <row r="123" spans="1:11" x14ac:dyDescent="0.35">
      <c r="A123" s="40" t="s">
        <v>950</v>
      </c>
      <c r="B123" s="41">
        <v>51000</v>
      </c>
      <c r="C123" s="41">
        <v>48000</v>
      </c>
      <c r="D123" s="42"/>
      <c r="E123" s="42"/>
      <c r="F123" s="42"/>
      <c r="G123" s="42"/>
      <c r="H123" s="42"/>
      <c r="I123" s="42"/>
      <c r="J123" s="42"/>
      <c r="K123" s="42"/>
    </row>
    <row r="124" spans="1:11" x14ac:dyDescent="0.35">
      <c r="A124" s="40" t="s">
        <v>903</v>
      </c>
      <c r="B124" s="42"/>
      <c r="C124" s="42"/>
      <c r="D124" s="42"/>
      <c r="E124" s="42"/>
      <c r="F124" s="42"/>
      <c r="G124" s="42"/>
      <c r="H124" s="42"/>
      <c r="I124" s="42"/>
      <c r="J124" s="42"/>
      <c r="K124" s="42"/>
    </row>
    <row r="125" spans="1:11" x14ac:dyDescent="0.35">
      <c r="A125" s="40" t="s">
        <v>951</v>
      </c>
      <c r="B125" s="41">
        <v>46000</v>
      </c>
      <c r="C125" s="41">
        <v>43000</v>
      </c>
      <c r="D125" s="42"/>
      <c r="E125" s="42"/>
      <c r="F125" s="42"/>
      <c r="G125" s="42"/>
      <c r="H125" s="42"/>
      <c r="I125" s="42"/>
      <c r="J125" s="42"/>
      <c r="K125" s="42"/>
    </row>
    <row r="126" spans="1:11" x14ac:dyDescent="0.35">
      <c r="A126" s="40" t="s">
        <v>903</v>
      </c>
      <c r="B126" s="42"/>
      <c r="C126" s="42"/>
      <c r="D126" s="42"/>
      <c r="E126" s="42"/>
      <c r="F126" s="42"/>
      <c r="G126" s="42"/>
      <c r="H126" s="42"/>
      <c r="I126" s="42"/>
      <c r="J126" s="42"/>
      <c r="K126" s="42"/>
    </row>
    <row r="127" spans="1:11" x14ac:dyDescent="0.35">
      <c r="A127" s="40" t="s">
        <v>952</v>
      </c>
      <c r="B127" s="42"/>
      <c r="C127" s="41">
        <v>60000</v>
      </c>
      <c r="D127" s="42"/>
      <c r="E127" s="42"/>
      <c r="F127" s="42"/>
      <c r="G127" s="42"/>
      <c r="H127" s="42"/>
      <c r="I127" s="42"/>
      <c r="J127" s="42"/>
      <c r="K127" s="42"/>
    </row>
    <row r="128" spans="1:11" x14ac:dyDescent="0.35">
      <c r="A128" s="40" t="s">
        <v>903</v>
      </c>
      <c r="B128" s="42"/>
      <c r="C128" s="42"/>
      <c r="D128" s="42"/>
      <c r="E128" s="42"/>
      <c r="F128" s="42"/>
      <c r="G128" s="42"/>
      <c r="H128" s="42"/>
      <c r="I128" s="42"/>
      <c r="J128" s="42"/>
      <c r="K128" s="42"/>
    </row>
    <row r="129" spans="1:11" x14ac:dyDescent="0.35">
      <c r="A129" s="40" t="s">
        <v>953</v>
      </c>
      <c r="B129" s="42"/>
      <c r="C129" s="41">
        <v>54000</v>
      </c>
      <c r="D129" s="42"/>
      <c r="E129" s="42"/>
      <c r="F129" s="42"/>
      <c r="G129" s="42"/>
      <c r="H129" s="42"/>
      <c r="I129" s="42"/>
      <c r="J129" s="42"/>
      <c r="K129" s="42"/>
    </row>
    <row r="130" spans="1:11" x14ac:dyDescent="0.35">
      <c r="A130" s="40" t="s">
        <v>903</v>
      </c>
      <c r="B130" s="42"/>
      <c r="C130" s="42"/>
      <c r="D130" s="42"/>
      <c r="E130" s="42"/>
      <c r="F130" s="42"/>
      <c r="G130" s="42"/>
      <c r="H130" s="42"/>
      <c r="I130" s="42"/>
      <c r="J130" s="42"/>
      <c r="K130" s="42"/>
    </row>
    <row r="131" spans="1:11" x14ac:dyDescent="0.35">
      <c r="A131" s="40" t="s">
        <v>954</v>
      </c>
      <c r="B131" s="42"/>
      <c r="C131" s="41">
        <v>50000</v>
      </c>
      <c r="D131" s="42"/>
      <c r="E131" s="42"/>
      <c r="F131" s="42"/>
      <c r="G131" s="42"/>
      <c r="H131" s="42"/>
      <c r="I131" s="42"/>
      <c r="J131" s="42"/>
      <c r="K131" s="42"/>
    </row>
    <row r="132" spans="1:11" x14ac:dyDescent="0.35">
      <c r="A132" s="40" t="s">
        <v>903</v>
      </c>
      <c r="B132" s="42"/>
      <c r="C132" s="42"/>
      <c r="D132" s="42"/>
      <c r="E132" s="42"/>
      <c r="F132" s="42"/>
      <c r="G132" s="42"/>
      <c r="H132" s="42"/>
      <c r="I132" s="42"/>
      <c r="J132" s="42"/>
      <c r="K132" s="42"/>
    </row>
    <row r="133" spans="1:11" x14ac:dyDescent="0.35">
      <c r="A133" s="40" t="s">
        <v>955</v>
      </c>
      <c r="B133" s="42"/>
      <c r="C133" s="41">
        <v>89000</v>
      </c>
      <c r="D133" s="41">
        <v>87000</v>
      </c>
      <c r="E133" s="42"/>
      <c r="F133" s="42"/>
      <c r="G133" s="42"/>
      <c r="H133" s="42"/>
      <c r="I133" s="42"/>
      <c r="J133" s="42"/>
      <c r="K133" s="42"/>
    </row>
    <row r="134" spans="1:11" x14ac:dyDescent="0.35">
      <c r="A134" s="40" t="s">
        <v>903</v>
      </c>
      <c r="B134" s="42"/>
      <c r="C134" s="42"/>
      <c r="D134" s="42"/>
      <c r="E134" s="42"/>
      <c r="F134" s="42"/>
      <c r="G134" s="42"/>
      <c r="H134" s="42"/>
      <c r="I134" s="42"/>
      <c r="J134" s="42"/>
      <c r="K134" s="42"/>
    </row>
    <row r="135" spans="1:11" x14ac:dyDescent="0.35">
      <c r="A135" s="40" t="s">
        <v>956</v>
      </c>
      <c r="B135" s="42"/>
      <c r="C135" s="41">
        <v>91000</v>
      </c>
      <c r="D135" s="41">
        <v>88000</v>
      </c>
      <c r="E135" s="42"/>
      <c r="F135" s="42"/>
      <c r="G135" s="42"/>
      <c r="H135" s="42"/>
      <c r="I135" s="42"/>
      <c r="J135" s="42"/>
      <c r="K135" s="42"/>
    </row>
    <row r="136" spans="1:11" x14ac:dyDescent="0.35">
      <c r="A136" s="40" t="s">
        <v>903</v>
      </c>
      <c r="B136" s="42"/>
      <c r="C136" s="42"/>
      <c r="D136" s="42"/>
      <c r="E136" s="42"/>
      <c r="F136" s="42"/>
      <c r="G136" s="42"/>
      <c r="H136" s="42"/>
      <c r="I136" s="42"/>
      <c r="J136" s="42"/>
      <c r="K136" s="42"/>
    </row>
    <row r="137" spans="1:11" x14ac:dyDescent="0.35">
      <c r="A137" s="40" t="s">
        <v>957</v>
      </c>
      <c r="B137" s="42"/>
      <c r="C137" s="41">
        <v>83000</v>
      </c>
      <c r="D137" s="41">
        <v>80000</v>
      </c>
      <c r="E137" s="42"/>
      <c r="F137" s="42"/>
      <c r="G137" s="42"/>
      <c r="H137" s="42"/>
      <c r="I137" s="42"/>
      <c r="J137" s="42"/>
      <c r="K137" s="42"/>
    </row>
    <row r="138" spans="1:11" x14ac:dyDescent="0.35">
      <c r="A138" s="40" t="s">
        <v>903</v>
      </c>
      <c r="B138" s="42"/>
      <c r="C138" s="42"/>
      <c r="D138" s="42"/>
      <c r="E138" s="42"/>
      <c r="F138" s="42"/>
      <c r="G138" s="42"/>
      <c r="H138" s="42"/>
      <c r="I138" s="42"/>
      <c r="J138" s="42"/>
      <c r="K138" s="42"/>
    </row>
    <row r="139" spans="1:11" x14ac:dyDescent="0.35">
      <c r="A139" s="40" t="s">
        <v>958</v>
      </c>
      <c r="B139" s="41">
        <v>564000</v>
      </c>
      <c r="C139" s="41">
        <v>2798000</v>
      </c>
      <c r="D139" s="41">
        <v>2351000</v>
      </c>
      <c r="E139" s="42"/>
      <c r="F139" s="41">
        <v>34900</v>
      </c>
      <c r="G139" s="41">
        <v>41500</v>
      </c>
      <c r="H139" s="41">
        <v>45700</v>
      </c>
      <c r="I139" s="41">
        <v>59800</v>
      </c>
      <c r="J139" s="42"/>
      <c r="K139" s="42"/>
    </row>
    <row r="140" spans="1:11" x14ac:dyDescent="0.35">
      <c r="A140" s="40" t="s">
        <v>884</v>
      </c>
      <c r="B140" s="42"/>
      <c r="C140" s="42"/>
      <c r="D140" s="42"/>
      <c r="E140" s="42"/>
      <c r="F140" s="42">
        <v>158.63999999999999</v>
      </c>
      <c r="G140" s="42">
        <v>43.18</v>
      </c>
      <c r="H140" s="42">
        <v>46.78</v>
      </c>
      <c r="I140" s="42">
        <v>51.15</v>
      </c>
      <c r="J140" s="42"/>
      <c r="K140" s="42"/>
    </row>
    <row r="141" spans="1:11" x14ac:dyDescent="0.35">
      <c r="A141" s="40" t="s">
        <v>956</v>
      </c>
      <c r="B141" s="42"/>
      <c r="C141" s="41">
        <v>102000</v>
      </c>
      <c r="D141" s="42"/>
      <c r="E141" s="42"/>
      <c r="F141" s="42"/>
      <c r="G141" s="42"/>
      <c r="H141" s="42"/>
      <c r="I141" s="42"/>
      <c r="J141" s="42"/>
      <c r="K141" s="42"/>
    </row>
    <row r="142" spans="1:11" x14ac:dyDescent="0.35">
      <c r="A142" s="40" t="s">
        <v>903</v>
      </c>
      <c r="B142" s="42"/>
      <c r="C142" s="42"/>
      <c r="D142" s="42"/>
      <c r="E142" s="42"/>
      <c r="F142" s="42"/>
      <c r="G142" s="42"/>
      <c r="H142" s="42"/>
      <c r="I142" s="42"/>
      <c r="J142" s="42"/>
      <c r="K142" s="42"/>
    </row>
    <row r="143" spans="1:11" x14ac:dyDescent="0.35">
      <c r="A143" s="40" t="s">
        <v>959</v>
      </c>
      <c r="B143" s="41">
        <v>66000</v>
      </c>
      <c r="C143" s="41">
        <v>74000</v>
      </c>
      <c r="D143" s="41">
        <v>37000</v>
      </c>
      <c r="E143" s="42"/>
      <c r="F143" s="42"/>
      <c r="G143" s="42"/>
      <c r="H143" s="42"/>
      <c r="I143" s="42"/>
      <c r="J143" s="42"/>
      <c r="K143" s="42"/>
    </row>
    <row r="144" spans="1:11" x14ac:dyDescent="0.35">
      <c r="A144" s="40" t="s">
        <v>903</v>
      </c>
      <c r="B144" s="42"/>
      <c r="C144" s="42"/>
      <c r="D144" s="42"/>
      <c r="E144" s="42"/>
      <c r="F144" s="42"/>
      <c r="G144" s="42"/>
      <c r="H144" s="42"/>
      <c r="I144" s="42"/>
      <c r="J144" s="42"/>
      <c r="K144" s="42"/>
    </row>
    <row r="145" spans="1:11" x14ac:dyDescent="0.35">
      <c r="A145" s="40" t="s">
        <v>960</v>
      </c>
      <c r="B145" s="42"/>
      <c r="C145" s="41">
        <v>70000</v>
      </c>
      <c r="D145" s="41">
        <v>127000</v>
      </c>
      <c r="E145" s="42"/>
      <c r="F145" s="42"/>
      <c r="G145" s="42"/>
      <c r="H145" s="42"/>
      <c r="I145" s="42"/>
      <c r="J145" s="42"/>
      <c r="K145" s="42"/>
    </row>
    <row r="146" spans="1:11" x14ac:dyDescent="0.35">
      <c r="A146" s="40" t="s">
        <v>903</v>
      </c>
      <c r="B146" s="42"/>
      <c r="C146" s="42"/>
      <c r="D146" s="42"/>
      <c r="E146" s="42"/>
      <c r="F146" s="42"/>
      <c r="G146" s="42"/>
      <c r="H146" s="42"/>
      <c r="I146" s="42"/>
      <c r="J146" s="42"/>
      <c r="K146" s="42"/>
    </row>
    <row r="147" spans="1:11" x14ac:dyDescent="0.35">
      <c r="A147" s="40" t="s">
        <v>961</v>
      </c>
      <c r="B147" s="41">
        <v>43000</v>
      </c>
      <c r="C147" s="41">
        <v>47000</v>
      </c>
      <c r="D147" s="41">
        <v>35000</v>
      </c>
      <c r="E147" s="42"/>
      <c r="F147" s="42"/>
      <c r="G147" s="42"/>
      <c r="H147" s="42"/>
      <c r="I147" s="42"/>
      <c r="J147" s="42"/>
      <c r="K147" s="42"/>
    </row>
    <row r="148" spans="1:11" x14ac:dyDescent="0.35">
      <c r="A148" s="40" t="s">
        <v>903</v>
      </c>
      <c r="B148" s="42"/>
      <c r="C148" s="42"/>
      <c r="D148" s="42"/>
      <c r="E148" s="42"/>
      <c r="F148" s="42"/>
      <c r="G148" s="42"/>
      <c r="H148" s="42"/>
      <c r="I148" s="42"/>
      <c r="J148" s="42"/>
      <c r="K148" s="42"/>
    </row>
    <row r="149" spans="1:11" x14ac:dyDescent="0.35">
      <c r="A149" s="40" t="s">
        <v>962</v>
      </c>
      <c r="B149" s="41">
        <v>27000</v>
      </c>
      <c r="C149" s="41">
        <v>27000</v>
      </c>
      <c r="D149" s="41">
        <v>27000</v>
      </c>
      <c r="E149" s="42"/>
      <c r="F149" s="42"/>
      <c r="G149" s="42"/>
      <c r="H149" s="42"/>
      <c r="I149" s="42"/>
      <c r="J149" s="42"/>
      <c r="K149" s="42"/>
    </row>
    <row r="150" spans="1:11" x14ac:dyDescent="0.35">
      <c r="A150" s="40" t="s">
        <v>903</v>
      </c>
      <c r="B150" s="42"/>
      <c r="C150" s="42"/>
      <c r="D150" s="42"/>
      <c r="E150" s="42"/>
      <c r="F150" s="42"/>
      <c r="G150" s="42"/>
      <c r="H150" s="42"/>
      <c r="I150" s="42"/>
      <c r="J150" s="42"/>
      <c r="K150" s="42"/>
    </row>
    <row r="151" spans="1:11" x14ac:dyDescent="0.35">
      <c r="A151" s="40" t="s">
        <v>963</v>
      </c>
      <c r="B151" s="41">
        <v>25000</v>
      </c>
      <c r="C151" s="41">
        <v>25000</v>
      </c>
      <c r="D151" s="41">
        <v>25000</v>
      </c>
      <c r="E151" s="42"/>
      <c r="F151" s="42"/>
      <c r="G151" s="42"/>
      <c r="H151" s="42"/>
      <c r="I151" s="42"/>
      <c r="J151" s="42"/>
      <c r="K151" s="42"/>
    </row>
    <row r="152" spans="1:11" x14ac:dyDescent="0.35">
      <c r="A152" s="40" t="s">
        <v>903</v>
      </c>
      <c r="B152" s="42"/>
      <c r="C152" s="42"/>
      <c r="D152" s="42"/>
      <c r="E152" s="42"/>
      <c r="F152" s="42"/>
      <c r="G152" s="42"/>
      <c r="H152" s="42"/>
      <c r="I152" s="42"/>
      <c r="J152" s="42"/>
      <c r="K152" s="42"/>
    </row>
    <row r="153" spans="1:11" x14ac:dyDescent="0.35">
      <c r="A153" s="40" t="s">
        <v>964</v>
      </c>
      <c r="B153" s="41">
        <v>25000</v>
      </c>
      <c r="C153" s="41">
        <v>25000</v>
      </c>
      <c r="D153" s="41">
        <v>25000</v>
      </c>
      <c r="E153" s="42"/>
      <c r="F153" s="42"/>
      <c r="G153" s="42"/>
      <c r="H153" s="42"/>
      <c r="I153" s="42"/>
      <c r="J153" s="42"/>
      <c r="K153" s="42"/>
    </row>
    <row r="154" spans="1:11" x14ac:dyDescent="0.35">
      <c r="A154" s="40" t="s">
        <v>903</v>
      </c>
      <c r="B154" s="42"/>
      <c r="C154" s="42"/>
      <c r="D154" s="42"/>
      <c r="E154" s="42"/>
      <c r="F154" s="42"/>
      <c r="G154" s="42"/>
      <c r="H154" s="42"/>
      <c r="I154" s="42"/>
      <c r="J154" s="42"/>
      <c r="K154" s="42"/>
    </row>
    <row r="155" spans="1:11" x14ac:dyDescent="0.35">
      <c r="A155" s="40" t="s">
        <v>965</v>
      </c>
      <c r="B155" s="41">
        <v>25000</v>
      </c>
      <c r="C155" s="41">
        <v>25000</v>
      </c>
      <c r="D155" s="41">
        <v>25000</v>
      </c>
      <c r="E155" s="42"/>
      <c r="F155" s="42"/>
      <c r="G155" s="42"/>
      <c r="H155" s="42"/>
      <c r="I155" s="42"/>
      <c r="J155" s="42"/>
      <c r="K155" s="42"/>
    </row>
    <row r="156" spans="1:11" x14ac:dyDescent="0.35">
      <c r="A156" s="40" t="s">
        <v>903</v>
      </c>
      <c r="B156" s="42"/>
      <c r="C156" s="42"/>
      <c r="D156" s="42"/>
      <c r="E156" s="42"/>
      <c r="F156" s="42"/>
      <c r="G156" s="42"/>
      <c r="H156" s="42"/>
      <c r="I156" s="42"/>
      <c r="J156" s="42"/>
      <c r="K156" s="42"/>
    </row>
    <row r="157" spans="1:11" x14ac:dyDescent="0.35">
      <c r="A157" s="40" t="s">
        <v>966</v>
      </c>
      <c r="B157" s="41">
        <v>25000</v>
      </c>
      <c r="C157" s="41">
        <v>25000</v>
      </c>
      <c r="D157" s="41">
        <v>25000</v>
      </c>
      <c r="E157" s="42"/>
      <c r="F157" s="42"/>
      <c r="G157" s="42"/>
      <c r="H157" s="42"/>
      <c r="I157" s="42"/>
      <c r="J157" s="42"/>
      <c r="K157" s="42"/>
    </row>
    <row r="158" spans="1:11" x14ac:dyDescent="0.35">
      <c r="A158" s="40" t="s">
        <v>903</v>
      </c>
      <c r="B158" s="42"/>
      <c r="C158" s="42"/>
      <c r="D158" s="42"/>
      <c r="E158" s="42"/>
      <c r="F158" s="42"/>
      <c r="G158" s="42"/>
      <c r="H158" s="42"/>
      <c r="I158" s="42"/>
      <c r="J158" s="42"/>
      <c r="K158" s="42"/>
    </row>
    <row r="159" spans="1:11" x14ac:dyDescent="0.35">
      <c r="A159" s="40" t="s">
        <v>967</v>
      </c>
      <c r="B159" s="41">
        <v>6000</v>
      </c>
      <c r="C159" s="41">
        <v>20000</v>
      </c>
      <c r="D159" s="41">
        <v>15000</v>
      </c>
      <c r="E159" s="42"/>
      <c r="F159" s="42"/>
      <c r="G159" s="42"/>
      <c r="H159" s="42"/>
      <c r="I159" s="42"/>
      <c r="J159" s="42"/>
      <c r="K159" s="42"/>
    </row>
    <row r="160" spans="1:11" x14ac:dyDescent="0.35">
      <c r="A160" s="40" t="s">
        <v>903</v>
      </c>
      <c r="B160" s="42"/>
      <c r="C160" s="42"/>
      <c r="D160" s="42"/>
      <c r="E160" s="42"/>
      <c r="F160" s="42"/>
      <c r="G160" s="42"/>
      <c r="H160" s="42"/>
      <c r="I160" s="42"/>
      <c r="J160" s="42"/>
      <c r="K160" s="42"/>
    </row>
    <row r="161" spans="1:11" x14ac:dyDescent="0.35">
      <c r="A161" s="40" t="s">
        <v>968</v>
      </c>
      <c r="B161" s="41">
        <v>15000</v>
      </c>
      <c r="C161" s="41">
        <v>19000</v>
      </c>
      <c r="D161" s="41">
        <v>19000</v>
      </c>
      <c r="E161" s="42"/>
      <c r="F161" s="42"/>
      <c r="G161" s="42"/>
      <c r="H161" s="42"/>
      <c r="I161" s="42"/>
      <c r="J161" s="42"/>
      <c r="K161" s="42"/>
    </row>
    <row r="162" spans="1:11" x14ac:dyDescent="0.35">
      <c r="A162" s="40" t="s">
        <v>903</v>
      </c>
      <c r="B162" s="42"/>
      <c r="C162" s="42"/>
      <c r="D162" s="42"/>
      <c r="E162" s="42"/>
      <c r="F162" s="42"/>
      <c r="G162" s="42"/>
      <c r="H162" s="42"/>
      <c r="I162" s="42"/>
      <c r="J162" s="42"/>
      <c r="K162" s="42"/>
    </row>
    <row r="163" spans="1:11" x14ac:dyDescent="0.35">
      <c r="A163" s="40" t="s">
        <v>969</v>
      </c>
      <c r="B163" s="42"/>
      <c r="C163" s="41">
        <v>15000</v>
      </c>
      <c r="D163" s="41">
        <v>14000</v>
      </c>
      <c r="E163" s="42"/>
      <c r="F163" s="42"/>
      <c r="G163" s="42"/>
      <c r="H163" s="42"/>
      <c r="I163" s="42"/>
      <c r="J163" s="42"/>
      <c r="K163" s="42"/>
    </row>
    <row r="164" spans="1:11" x14ac:dyDescent="0.35">
      <c r="A164" s="40" t="s">
        <v>903</v>
      </c>
      <c r="B164" s="42"/>
      <c r="C164" s="42"/>
      <c r="D164" s="42"/>
      <c r="E164" s="42"/>
      <c r="F164" s="42"/>
      <c r="G164" s="42"/>
      <c r="H164" s="42"/>
      <c r="I164" s="42"/>
      <c r="J164" s="42"/>
      <c r="K164" s="42"/>
    </row>
    <row r="165" spans="1:11" x14ac:dyDescent="0.35">
      <c r="A165" s="40" t="s">
        <v>970</v>
      </c>
      <c r="B165" s="41">
        <v>11000</v>
      </c>
      <c r="C165" s="41">
        <v>15000</v>
      </c>
      <c r="D165" s="41">
        <v>16000</v>
      </c>
      <c r="E165" s="42"/>
      <c r="F165" s="42"/>
      <c r="G165" s="42"/>
      <c r="H165" s="42"/>
      <c r="I165" s="42"/>
      <c r="J165" s="42"/>
      <c r="K165" s="42"/>
    </row>
    <row r="166" spans="1:11" x14ac:dyDescent="0.35">
      <c r="A166" s="40" t="s">
        <v>903</v>
      </c>
      <c r="B166" s="42"/>
      <c r="C166" s="42"/>
      <c r="D166" s="42"/>
      <c r="E166" s="42"/>
      <c r="F166" s="42"/>
      <c r="G166" s="42"/>
      <c r="H166" s="42"/>
      <c r="I166" s="42"/>
      <c r="J166" s="42"/>
      <c r="K166" s="42"/>
    </row>
    <row r="167" spans="1:11" x14ac:dyDescent="0.35">
      <c r="A167" s="40" t="s">
        <v>971</v>
      </c>
      <c r="B167" s="42"/>
      <c r="C167" s="41">
        <v>14000</v>
      </c>
      <c r="D167" s="41">
        <v>10000</v>
      </c>
      <c r="E167" s="42"/>
      <c r="F167" s="42"/>
      <c r="G167" s="42"/>
      <c r="H167" s="42"/>
      <c r="I167" s="42"/>
      <c r="J167" s="42"/>
      <c r="K167" s="42"/>
    </row>
    <row r="168" spans="1:11" x14ac:dyDescent="0.35">
      <c r="A168" s="40" t="s">
        <v>903</v>
      </c>
      <c r="B168" s="42"/>
      <c r="C168" s="42"/>
      <c r="D168" s="42"/>
      <c r="E168" s="42"/>
      <c r="F168" s="42"/>
      <c r="G168" s="42"/>
      <c r="H168" s="42"/>
      <c r="I168" s="42"/>
      <c r="J168" s="42"/>
      <c r="K168" s="42"/>
    </row>
    <row r="169" spans="1:11" x14ac:dyDescent="0.35">
      <c r="A169" s="40" t="s">
        <v>972</v>
      </c>
      <c r="B169" s="41">
        <v>12000</v>
      </c>
      <c r="C169" s="41">
        <v>12000</v>
      </c>
      <c r="D169" s="41">
        <v>12000</v>
      </c>
      <c r="E169" s="42"/>
      <c r="F169" s="42"/>
      <c r="G169" s="42"/>
      <c r="H169" s="42"/>
      <c r="I169" s="42"/>
      <c r="J169" s="42"/>
      <c r="K169" s="42"/>
    </row>
    <row r="170" spans="1:11" x14ac:dyDescent="0.35">
      <c r="A170" s="40" t="s">
        <v>903</v>
      </c>
      <c r="B170" s="42"/>
      <c r="C170" s="42"/>
      <c r="D170" s="42"/>
      <c r="E170" s="42"/>
      <c r="F170" s="42"/>
      <c r="G170" s="42"/>
      <c r="H170" s="42"/>
      <c r="I170" s="42"/>
      <c r="J170" s="42"/>
      <c r="K170" s="42"/>
    </row>
    <row r="171" spans="1:11" x14ac:dyDescent="0.35">
      <c r="A171" s="40" t="s">
        <v>973</v>
      </c>
      <c r="B171" s="42"/>
      <c r="C171" s="41">
        <v>11000</v>
      </c>
      <c r="D171" s="41">
        <v>130000</v>
      </c>
      <c r="E171" s="42"/>
      <c r="F171" s="42"/>
      <c r="G171" s="42"/>
      <c r="H171" s="42"/>
      <c r="I171" s="42"/>
      <c r="J171" s="42"/>
      <c r="K171" s="42"/>
    </row>
    <row r="172" spans="1:11" x14ac:dyDescent="0.35">
      <c r="A172" s="40" t="s">
        <v>903</v>
      </c>
      <c r="B172" s="42"/>
      <c r="C172" s="42"/>
      <c r="D172" s="42"/>
      <c r="E172" s="42"/>
      <c r="F172" s="42"/>
      <c r="G172" s="42"/>
      <c r="H172" s="42"/>
      <c r="I172" s="42"/>
      <c r="J172" s="42"/>
      <c r="K172" s="42"/>
    </row>
    <row r="173" spans="1:11" x14ac:dyDescent="0.35">
      <c r="A173" s="40" t="s">
        <v>974</v>
      </c>
      <c r="B173" s="42"/>
      <c r="C173" s="41">
        <v>10000</v>
      </c>
      <c r="D173" s="41">
        <v>10000</v>
      </c>
      <c r="E173" s="42"/>
      <c r="F173" s="42"/>
      <c r="G173" s="42"/>
      <c r="H173" s="42"/>
      <c r="I173" s="42"/>
      <c r="J173" s="42"/>
      <c r="K173" s="42"/>
    </row>
    <row r="174" spans="1:11" x14ac:dyDescent="0.35">
      <c r="A174" s="40" t="s">
        <v>903</v>
      </c>
      <c r="B174" s="42"/>
      <c r="C174" s="42"/>
      <c r="D174" s="42"/>
      <c r="E174" s="42"/>
      <c r="F174" s="42"/>
      <c r="G174" s="42"/>
      <c r="H174" s="42"/>
      <c r="I174" s="42"/>
      <c r="J174" s="42"/>
      <c r="K174" s="42"/>
    </row>
    <row r="175" spans="1:11" x14ac:dyDescent="0.35">
      <c r="A175" s="40" t="s">
        <v>975</v>
      </c>
      <c r="B175" s="41">
        <v>8000</v>
      </c>
      <c r="C175" s="41">
        <v>9000</v>
      </c>
      <c r="D175" s="41">
        <v>5000</v>
      </c>
      <c r="E175" s="42"/>
      <c r="F175" s="42"/>
      <c r="G175" s="42"/>
      <c r="H175" s="42"/>
      <c r="I175" s="42"/>
      <c r="J175" s="42"/>
      <c r="K175" s="42"/>
    </row>
    <row r="176" spans="1:11" x14ac:dyDescent="0.35">
      <c r="A176" s="40" t="s">
        <v>903</v>
      </c>
      <c r="B176" s="42"/>
      <c r="C176" s="42"/>
      <c r="D176" s="42"/>
      <c r="E176" s="42"/>
      <c r="F176" s="42"/>
      <c r="G176" s="42"/>
      <c r="H176" s="42"/>
      <c r="I176" s="42"/>
      <c r="J176" s="42"/>
      <c r="K176" s="42"/>
    </row>
    <row r="177" spans="1:11" x14ac:dyDescent="0.35">
      <c r="A177" s="40" t="s">
        <v>976</v>
      </c>
      <c r="B177" s="41">
        <v>6000</v>
      </c>
      <c r="C177" s="41">
        <v>6000</v>
      </c>
      <c r="D177" s="41">
        <v>6000</v>
      </c>
      <c r="E177" s="42"/>
      <c r="F177" s="42"/>
      <c r="G177" s="42"/>
      <c r="H177" s="42"/>
      <c r="I177" s="42"/>
      <c r="J177" s="42"/>
      <c r="K177" s="42"/>
    </row>
    <row r="178" spans="1:11" x14ac:dyDescent="0.35">
      <c r="A178" s="40" t="s">
        <v>903</v>
      </c>
      <c r="B178" s="42"/>
      <c r="C178" s="42"/>
      <c r="D178" s="42"/>
      <c r="E178" s="42"/>
      <c r="F178" s="42"/>
      <c r="G178" s="42"/>
      <c r="H178" s="42"/>
      <c r="I178" s="42"/>
      <c r="J178" s="42"/>
      <c r="K178" s="42"/>
    </row>
    <row r="179" spans="1:11" x14ac:dyDescent="0.35">
      <c r="A179" s="40" t="s">
        <v>977</v>
      </c>
      <c r="B179" s="41">
        <v>6000</v>
      </c>
      <c r="C179" s="41">
        <v>5000</v>
      </c>
      <c r="D179" s="42"/>
      <c r="E179" s="42"/>
      <c r="F179" s="42"/>
      <c r="G179" s="42"/>
      <c r="H179" s="42"/>
      <c r="I179" s="42"/>
      <c r="J179" s="42"/>
      <c r="K179" s="42"/>
    </row>
    <row r="180" spans="1:11" x14ac:dyDescent="0.35">
      <c r="A180" s="40" t="s">
        <v>903</v>
      </c>
      <c r="B180" s="42"/>
      <c r="C180" s="42"/>
      <c r="D180" s="42"/>
      <c r="E180" s="42"/>
      <c r="F180" s="42"/>
      <c r="G180" s="42"/>
      <c r="H180" s="42"/>
      <c r="I180" s="42"/>
      <c r="J180" s="42"/>
      <c r="K180" s="42"/>
    </row>
    <row r="181" spans="1:11" x14ac:dyDescent="0.35">
      <c r="A181" s="40" t="s">
        <v>978</v>
      </c>
      <c r="B181" s="41">
        <v>6000</v>
      </c>
      <c r="C181" s="41">
        <v>5000</v>
      </c>
      <c r="D181" s="42"/>
      <c r="E181" s="42"/>
      <c r="F181" s="42"/>
      <c r="G181" s="42"/>
      <c r="H181" s="42"/>
      <c r="I181" s="42"/>
      <c r="J181" s="42"/>
      <c r="K181" s="42"/>
    </row>
    <row r="182" spans="1:11" x14ac:dyDescent="0.35">
      <c r="A182" s="40" t="s">
        <v>903</v>
      </c>
      <c r="B182" s="42"/>
      <c r="C182" s="42"/>
      <c r="D182" s="42"/>
      <c r="E182" s="42"/>
      <c r="F182" s="42"/>
      <c r="G182" s="42"/>
      <c r="H182" s="42"/>
      <c r="I182" s="42"/>
      <c r="J182" s="42"/>
      <c r="K182" s="42"/>
    </row>
    <row r="183" spans="1:11" x14ac:dyDescent="0.35">
      <c r="A183" s="40" t="s">
        <v>979</v>
      </c>
      <c r="B183" s="42"/>
      <c r="C183" s="41">
        <v>361000</v>
      </c>
      <c r="D183" s="41">
        <v>277000</v>
      </c>
      <c r="E183" s="42"/>
      <c r="F183" s="42"/>
      <c r="G183" s="42"/>
      <c r="H183" s="42"/>
      <c r="I183" s="42"/>
      <c r="J183" s="42"/>
      <c r="K183" s="42"/>
    </row>
    <row r="184" spans="1:11" x14ac:dyDescent="0.35">
      <c r="A184" s="40" t="s">
        <v>903</v>
      </c>
      <c r="B184" s="42"/>
      <c r="C184" s="42"/>
      <c r="D184" s="42"/>
      <c r="E184" s="42"/>
      <c r="F184" s="42"/>
      <c r="G184" s="42"/>
      <c r="H184" s="42"/>
      <c r="I184" s="42"/>
      <c r="J184" s="42"/>
      <c r="K184" s="42"/>
    </row>
    <row r="185" spans="1:11" x14ac:dyDescent="0.35">
      <c r="A185" s="40" t="s">
        <v>980</v>
      </c>
      <c r="B185" s="42"/>
      <c r="C185" s="41">
        <v>417000</v>
      </c>
      <c r="D185" s="41">
        <v>449000</v>
      </c>
      <c r="E185" s="42"/>
      <c r="F185" s="42"/>
      <c r="G185" s="42"/>
      <c r="H185" s="42"/>
      <c r="I185" s="42"/>
      <c r="J185" s="42"/>
      <c r="K185" s="42"/>
    </row>
    <row r="186" spans="1:11" x14ac:dyDescent="0.35">
      <c r="A186" s="40" t="s">
        <v>903</v>
      </c>
      <c r="B186" s="42"/>
      <c r="C186" s="42"/>
      <c r="D186" s="42"/>
      <c r="E186" s="42"/>
      <c r="F186" s="42"/>
      <c r="G186" s="42"/>
      <c r="H186" s="42"/>
      <c r="I186" s="42"/>
      <c r="J186" s="42"/>
      <c r="K186" s="42"/>
    </row>
    <row r="187" spans="1:11" x14ac:dyDescent="0.35">
      <c r="A187" s="40" t="s">
        <v>943</v>
      </c>
      <c r="B187" s="42"/>
      <c r="C187" s="41">
        <v>281000</v>
      </c>
      <c r="D187" s="41">
        <v>202000</v>
      </c>
      <c r="E187" s="42"/>
      <c r="F187" s="42"/>
      <c r="G187" s="42"/>
      <c r="H187" s="42"/>
      <c r="I187" s="42"/>
      <c r="J187" s="42"/>
      <c r="K187" s="42"/>
    </row>
    <row r="188" spans="1:11" x14ac:dyDescent="0.35">
      <c r="A188" s="40" t="s">
        <v>903</v>
      </c>
      <c r="B188" s="42"/>
      <c r="C188" s="42"/>
      <c r="D188" s="42"/>
      <c r="E188" s="42"/>
      <c r="F188" s="42"/>
      <c r="G188" s="42"/>
      <c r="H188" s="42"/>
      <c r="I188" s="42"/>
      <c r="J188" s="42"/>
      <c r="K188" s="42"/>
    </row>
    <row r="189" spans="1:11" x14ac:dyDescent="0.35">
      <c r="A189" s="40" t="s">
        <v>945</v>
      </c>
      <c r="B189" s="42"/>
      <c r="C189" s="41">
        <v>195000</v>
      </c>
      <c r="D189" s="41">
        <v>102000</v>
      </c>
      <c r="E189" s="42"/>
      <c r="F189" s="42"/>
      <c r="G189" s="42"/>
      <c r="H189" s="42"/>
      <c r="I189" s="42"/>
      <c r="J189" s="42"/>
      <c r="K189" s="42"/>
    </row>
    <row r="190" spans="1:11" x14ac:dyDescent="0.35">
      <c r="A190" s="40" t="s">
        <v>903</v>
      </c>
      <c r="B190" s="42"/>
      <c r="C190" s="42"/>
      <c r="D190" s="42"/>
      <c r="E190" s="42"/>
      <c r="F190" s="42"/>
      <c r="G190" s="42"/>
      <c r="H190" s="42"/>
      <c r="I190" s="42"/>
      <c r="J190" s="42"/>
      <c r="K190" s="42"/>
    </row>
    <row r="191" spans="1:11" x14ac:dyDescent="0.35">
      <c r="A191" s="40" t="s">
        <v>944</v>
      </c>
      <c r="B191" s="42"/>
      <c r="C191" s="41">
        <v>135000</v>
      </c>
      <c r="D191" s="42"/>
      <c r="E191" s="42"/>
      <c r="F191" s="42"/>
      <c r="G191" s="42"/>
      <c r="H191" s="42"/>
      <c r="I191" s="42"/>
      <c r="J191" s="42"/>
      <c r="K191" s="42"/>
    </row>
    <row r="192" spans="1:11" x14ac:dyDescent="0.35">
      <c r="A192" s="40" t="s">
        <v>903</v>
      </c>
      <c r="B192" s="42"/>
      <c r="C192" s="42"/>
      <c r="D192" s="42"/>
      <c r="E192" s="42"/>
      <c r="F192" s="42"/>
      <c r="G192" s="42"/>
      <c r="H192" s="42"/>
      <c r="I192" s="42"/>
      <c r="J192" s="42"/>
      <c r="K192" s="42"/>
    </row>
    <row r="193" spans="1:11" x14ac:dyDescent="0.35">
      <c r="A193" s="40" t="s">
        <v>947</v>
      </c>
      <c r="B193" s="42"/>
      <c r="C193" s="41">
        <v>161000</v>
      </c>
      <c r="D193" s="41">
        <v>131000</v>
      </c>
      <c r="E193" s="42"/>
      <c r="F193" s="42"/>
      <c r="G193" s="42"/>
      <c r="H193" s="42"/>
      <c r="I193" s="42"/>
      <c r="J193" s="42"/>
      <c r="K193" s="42"/>
    </row>
    <row r="194" spans="1:11" x14ac:dyDescent="0.35">
      <c r="A194" s="40" t="s">
        <v>903</v>
      </c>
      <c r="B194" s="42"/>
      <c r="C194" s="42"/>
      <c r="D194" s="42"/>
      <c r="E194" s="42"/>
      <c r="F194" s="42"/>
      <c r="G194" s="42"/>
      <c r="H194" s="42"/>
      <c r="I194" s="42"/>
      <c r="J194" s="42"/>
      <c r="K194" s="42"/>
    </row>
    <row r="195" spans="1:11" x14ac:dyDescent="0.35">
      <c r="A195" s="40" t="s">
        <v>981</v>
      </c>
      <c r="B195" s="42"/>
      <c r="C195" s="41">
        <v>157000</v>
      </c>
      <c r="D195" s="41">
        <v>157000</v>
      </c>
      <c r="E195" s="42"/>
      <c r="F195" s="42"/>
      <c r="G195" s="42"/>
      <c r="H195" s="42"/>
      <c r="I195" s="42"/>
      <c r="J195" s="42"/>
      <c r="K195" s="42"/>
    </row>
    <row r="196" spans="1:11" x14ac:dyDescent="0.35">
      <c r="A196" s="40" t="s">
        <v>903</v>
      </c>
      <c r="B196" s="42"/>
      <c r="C196" s="42"/>
      <c r="D196" s="42"/>
      <c r="E196" s="42"/>
      <c r="F196" s="42"/>
      <c r="G196" s="42"/>
      <c r="H196" s="42"/>
      <c r="I196" s="42"/>
      <c r="J196" s="42"/>
      <c r="K196" s="42"/>
    </row>
    <row r="197" spans="1:11" x14ac:dyDescent="0.35">
      <c r="A197" s="40" t="s">
        <v>982</v>
      </c>
      <c r="B197" s="42"/>
      <c r="C197" s="41">
        <v>86000</v>
      </c>
      <c r="D197" s="41">
        <v>87000</v>
      </c>
      <c r="E197" s="42"/>
      <c r="F197" s="42"/>
      <c r="G197" s="42"/>
      <c r="H197" s="42"/>
      <c r="I197" s="42"/>
      <c r="J197" s="42"/>
      <c r="K197" s="42"/>
    </row>
    <row r="198" spans="1:11" x14ac:dyDescent="0.35">
      <c r="A198" s="40" t="s">
        <v>903</v>
      </c>
      <c r="B198" s="42"/>
      <c r="C198" s="42"/>
      <c r="D198" s="42"/>
      <c r="E198" s="42"/>
      <c r="F198" s="42"/>
      <c r="G198" s="42"/>
      <c r="H198" s="42"/>
      <c r="I198" s="42"/>
      <c r="J198" s="42"/>
      <c r="K198" s="42"/>
    </row>
    <row r="199" spans="1:11" x14ac:dyDescent="0.35">
      <c r="A199" s="40" t="s">
        <v>983</v>
      </c>
      <c r="B199" s="41">
        <v>102000</v>
      </c>
      <c r="C199" s="41">
        <v>149000</v>
      </c>
      <c r="D199" s="41">
        <v>131000</v>
      </c>
      <c r="E199" s="42"/>
      <c r="F199" s="42"/>
      <c r="G199" s="42"/>
      <c r="H199" s="42"/>
      <c r="I199" s="42"/>
      <c r="J199" s="42"/>
      <c r="K199" s="42"/>
    </row>
    <row r="200" spans="1:11" x14ac:dyDescent="0.35">
      <c r="A200" s="40" t="s">
        <v>903</v>
      </c>
      <c r="B200" s="42"/>
      <c r="C200" s="42"/>
      <c r="D200" s="42"/>
      <c r="E200" s="42"/>
      <c r="F200" s="42"/>
      <c r="G200" s="42"/>
      <c r="H200" s="42"/>
      <c r="I200" s="42"/>
      <c r="J200" s="42"/>
      <c r="K200" s="42"/>
    </row>
    <row r="201" spans="1:11" x14ac:dyDescent="0.35">
      <c r="A201" s="40" t="s">
        <v>984</v>
      </c>
      <c r="B201" s="41">
        <v>122000</v>
      </c>
      <c r="C201" s="41">
        <v>144000</v>
      </c>
      <c r="D201" s="41">
        <v>115000</v>
      </c>
      <c r="E201" s="42"/>
      <c r="F201" s="42"/>
      <c r="G201" s="42"/>
      <c r="H201" s="42"/>
      <c r="I201" s="42"/>
      <c r="J201" s="42"/>
      <c r="K201" s="42"/>
    </row>
    <row r="202" spans="1:11" x14ac:dyDescent="0.35">
      <c r="A202" s="40" t="s">
        <v>903</v>
      </c>
      <c r="B202" s="42"/>
      <c r="C202" s="42"/>
      <c r="D202" s="42"/>
      <c r="E202" s="42"/>
      <c r="F202" s="42"/>
      <c r="G202" s="42"/>
      <c r="H202" s="42"/>
      <c r="I202" s="42"/>
      <c r="J202" s="42"/>
      <c r="K202" s="42"/>
    </row>
    <row r="203" spans="1:11" x14ac:dyDescent="0.35">
      <c r="A203" s="40" t="s">
        <v>985</v>
      </c>
      <c r="B203" s="42"/>
      <c r="C203" s="41">
        <v>117000</v>
      </c>
      <c r="D203" s="41">
        <v>103000</v>
      </c>
      <c r="E203" s="42"/>
      <c r="F203" s="42"/>
      <c r="G203" s="42"/>
      <c r="H203" s="42"/>
      <c r="I203" s="42"/>
      <c r="J203" s="42"/>
      <c r="K203" s="42"/>
    </row>
    <row r="204" spans="1:11" x14ac:dyDescent="0.35">
      <c r="A204" s="40" t="s">
        <v>903</v>
      </c>
      <c r="B204" s="42"/>
      <c r="C204" s="42"/>
      <c r="D204" s="42"/>
      <c r="E204" s="42"/>
      <c r="F204" s="42"/>
      <c r="G204" s="42"/>
      <c r="H204" s="42"/>
      <c r="I204" s="42"/>
      <c r="J204" s="42"/>
      <c r="K204" s="42"/>
    </row>
    <row r="205" spans="1:11" x14ac:dyDescent="0.35">
      <c r="A205" s="40" t="s">
        <v>986</v>
      </c>
      <c r="B205" s="41">
        <v>34000</v>
      </c>
      <c r="C205" s="41">
        <v>34000</v>
      </c>
      <c r="D205" s="41">
        <v>34000</v>
      </c>
      <c r="E205" s="42"/>
      <c r="F205" s="42"/>
      <c r="G205" s="42"/>
      <c r="H205" s="42"/>
      <c r="I205" s="42"/>
      <c r="J205" s="42"/>
      <c r="K205" s="42"/>
    </row>
    <row r="206" spans="1:11" x14ac:dyDescent="0.35">
      <c r="A206" s="40" t="s">
        <v>903</v>
      </c>
      <c r="B206" s="42"/>
      <c r="C206" s="42"/>
      <c r="D206" s="42"/>
      <c r="E206" s="42"/>
      <c r="F206" s="42"/>
      <c r="G206" s="42"/>
      <c r="H206" s="42"/>
      <c r="I206" s="42"/>
      <c r="J206" s="42"/>
      <c r="K206" s="42"/>
    </row>
    <row r="207" spans="1:11" x14ac:dyDescent="0.35">
      <c r="A207" s="40" t="s">
        <v>924</v>
      </c>
      <c r="B207" s="42"/>
      <c r="C207" s="42"/>
      <c r="D207" s="42"/>
      <c r="E207" s="42"/>
      <c r="F207" s="42"/>
      <c r="G207" s="42"/>
      <c r="H207" s="42"/>
      <c r="I207" s="42"/>
      <c r="J207" s="42"/>
      <c r="K207" s="42"/>
    </row>
    <row r="208" spans="1:11" x14ac:dyDescent="0.35">
      <c r="A208" s="40" t="s">
        <v>987</v>
      </c>
      <c r="B208" s="42"/>
      <c r="C208" s="42"/>
      <c r="D208" s="42"/>
      <c r="E208" s="42"/>
      <c r="F208" s="42"/>
      <c r="G208" s="42"/>
      <c r="H208" s="42"/>
      <c r="I208" s="42"/>
      <c r="J208" s="42"/>
      <c r="K208" s="42"/>
    </row>
    <row r="209" spans="1:11" x14ac:dyDescent="0.35">
      <c r="A209" s="40" t="s">
        <v>988</v>
      </c>
      <c r="B209" s="42"/>
      <c r="C209" s="42"/>
      <c r="D209" s="42"/>
      <c r="E209" s="42"/>
      <c r="F209" s="42"/>
      <c r="G209" s="42"/>
      <c r="H209" s="42"/>
      <c r="I209" s="42"/>
      <c r="J209" s="42"/>
      <c r="K209" s="42"/>
    </row>
    <row r="210" spans="1:11" x14ac:dyDescent="0.35">
      <c r="A210" s="40" t="s">
        <v>989</v>
      </c>
      <c r="B210" s="42"/>
      <c r="C210" s="42"/>
      <c r="D210" s="42"/>
      <c r="E210" s="42"/>
      <c r="F210" s="42"/>
      <c r="G210" s="42"/>
      <c r="H210" s="42"/>
      <c r="I210" s="42"/>
      <c r="J210" s="42"/>
      <c r="K210" s="42"/>
    </row>
    <row r="211" spans="1:11" x14ac:dyDescent="0.35">
      <c r="A211" s="40" t="s">
        <v>990</v>
      </c>
      <c r="B211" s="41">
        <v>17000</v>
      </c>
      <c r="C211" s="42"/>
      <c r="D211" s="42"/>
      <c r="E211" s="42"/>
      <c r="F211" s="42"/>
      <c r="G211" s="42"/>
      <c r="H211" s="42"/>
      <c r="I211" s="42"/>
      <c r="J211" s="42"/>
      <c r="K211" s="42"/>
    </row>
    <row r="212" spans="1:11" x14ac:dyDescent="0.35">
      <c r="A212" s="40" t="s">
        <v>991</v>
      </c>
      <c r="B212" s="42"/>
      <c r="C212" s="42"/>
      <c r="D212" s="42"/>
      <c r="E212" s="42"/>
      <c r="F212" s="42"/>
      <c r="G212" s="42"/>
      <c r="H212" s="42"/>
      <c r="I212" s="42"/>
      <c r="J212" s="42"/>
      <c r="K212" s="42"/>
    </row>
    <row r="213" spans="1:11" x14ac:dyDescent="0.35">
      <c r="A213" s="40" t="s">
        <v>992</v>
      </c>
      <c r="B213" s="42"/>
      <c r="C213" s="42"/>
      <c r="D213" s="42"/>
      <c r="E213" s="42"/>
      <c r="F213" s="42"/>
      <c r="G213" s="42"/>
      <c r="H213" s="42"/>
      <c r="I213" s="42"/>
      <c r="J213" s="42"/>
      <c r="K213" s="42"/>
    </row>
    <row r="214" spans="1:11" x14ac:dyDescent="0.35">
      <c r="A214" s="40" t="s">
        <v>993</v>
      </c>
      <c r="B214" s="42"/>
      <c r="C214" s="42"/>
      <c r="D214" s="42"/>
      <c r="E214" s="42"/>
      <c r="F214" s="42"/>
      <c r="G214" s="42"/>
      <c r="H214" s="42"/>
      <c r="I214" s="42"/>
      <c r="J214" s="42"/>
      <c r="K214" s="42"/>
    </row>
    <row r="215" spans="1:11" x14ac:dyDescent="0.35">
      <c r="A215" s="40" t="s">
        <v>994</v>
      </c>
      <c r="B215" s="42"/>
      <c r="C215" s="42"/>
      <c r="D215" s="42"/>
      <c r="E215" s="42"/>
      <c r="F215" s="42"/>
      <c r="G215" s="42"/>
      <c r="H215" s="42"/>
      <c r="I215" s="42"/>
      <c r="J215" s="42"/>
      <c r="K215" s="42"/>
    </row>
    <row r="216" spans="1:11" x14ac:dyDescent="0.35">
      <c r="A216" s="40" t="s">
        <v>995</v>
      </c>
      <c r="B216" s="42"/>
      <c r="C216" s="42"/>
      <c r="D216" s="42"/>
      <c r="E216" s="42"/>
      <c r="F216" s="42"/>
      <c r="G216" s="42"/>
      <c r="H216" s="42"/>
      <c r="I216" s="42"/>
      <c r="J216" s="42"/>
      <c r="K216" s="42"/>
    </row>
    <row r="217" spans="1:11" x14ac:dyDescent="0.35">
      <c r="A217" s="40" t="s">
        <v>996</v>
      </c>
      <c r="B217" s="42"/>
      <c r="C217" s="42"/>
      <c r="D217" s="42"/>
      <c r="E217" s="42"/>
      <c r="F217" s="42"/>
      <c r="G217" s="42"/>
      <c r="H217" s="42"/>
      <c r="I217" s="42"/>
      <c r="J217" s="42"/>
      <c r="K217" s="42"/>
    </row>
    <row r="218" spans="1:11" x14ac:dyDescent="0.35">
      <c r="A218" s="40" t="s">
        <v>997</v>
      </c>
      <c r="B218" s="42"/>
      <c r="C218" s="42"/>
      <c r="D218" s="42"/>
      <c r="E218" s="42"/>
      <c r="F218" s="42"/>
      <c r="G218" s="42"/>
      <c r="H218" s="42"/>
      <c r="I218" s="42"/>
      <c r="J218" s="42"/>
      <c r="K218" s="42"/>
    </row>
    <row r="219" spans="1:11" x14ac:dyDescent="0.35">
      <c r="A219" s="40" t="s">
        <v>998</v>
      </c>
      <c r="B219" s="42"/>
      <c r="C219" s="42"/>
      <c r="D219" s="42"/>
      <c r="E219" s="42"/>
      <c r="F219" s="42"/>
      <c r="G219" s="42"/>
      <c r="H219" s="42"/>
      <c r="I219" s="42"/>
      <c r="J219" s="42"/>
      <c r="K219" s="42"/>
    </row>
    <row r="220" spans="1:11" x14ac:dyDescent="0.35">
      <c r="A220" s="40" t="s">
        <v>999</v>
      </c>
      <c r="B220" s="42"/>
      <c r="C220" s="42"/>
      <c r="D220" s="42"/>
      <c r="E220" s="42"/>
      <c r="F220" s="42"/>
      <c r="G220" s="42"/>
      <c r="H220" s="42"/>
      <c r="I220" s="42"/>
      <c r="J220" s="42"/>
      <c r="K220" s="42"/>
    </row>
    <row r="221" spans="1:11" x14ac:dyDescent="0.35">
      <c r="A221" s="40" t="s">
        <v>1000</v>
      </c>
      <c r="B221" s="42"/>
      <c r="C221" s="42"/>
      <c r="D221" s="42"/>
      <c r="E221" s="42"/>
      <c r="F221" s="42"/>
      <c r="G221" s="42"/>
      <c r="H221" s="42"/>
      <c r="I221" s="42"/>
      <c r="J221" s="42"/>
      <c r="K221" s="42"/>
    </row>
    <row r="222" spans="1:11" x14ac:dyDescent="0.35">
      <c r="A222" s="40" t="s">
        <v>1001</v>
      </c>
      <c r="B222" s="42"/>
      <c r="C222" s="42"/>
      <c r="D222" s="42"/>
      <c r="E222" s="42"/>
      <c r="F222" s="42"/>
      <c r="G222" s="42"/>
      <c r="H222" s="42"/>
      <c r="I222" s="42"/>
      <c r="J222" s="42"/>
      <c r="K222" s="42"/>
    </row>
    <row r="223" spans="1:11" x14ac:dyDescent="0.35">
      <c r="A223" s="40" t="s">
        <v>1002</v>
      </c>
      <c r="B223" s="42"/>
      <c r="C223" s="42"/>
      <c r="D223" s="42"/>
      <c r="E223" s="42"/>
      <c r="F223" s="42"/>
      <c r="G223" s="42"/>
      <c r="H223" s="42"/>
      <c r="I223" s="42"/>
      <c r="J223" s="42"/>
      <c r="K223" s="42"/>
    </row>
    <row r="224" spans="1:11" x14ac:dyDescent="0.35">
      <c r="A224" s="40" t="s">
        <v>1003</v>
      </c>
      <c r="B224" s="42"/>
      <c r="C224" s="42"/>
      <c r="D224" s="42"/>
      <c r="E224" s="42"/>
      <c r="F224" s="42"/>
      <c r="G224" s="42"/>
      <c r="H224" s="42"/>
      <c r="I224" s="42"/>
      <c r="J224" s="42"/>
      <c r="K224" s="42"/>
    </row>
    <row r="225" spans="1:11" x14ac:dyDescent="0.35">
      <c r="A225" s="40" t="s">
        <v>1004</v>
      </c>
      <c r="B225" s="42"/>
      <c r="C225" s="42"/>
      <c r="D225" s="42"/>
      <c r="E225" s="42"/>
      <c r="F225" s="42"/>
      <c r="G225" s="42"/>
      <c r="H225" s="42"/>
      <c r="I225" s="42"/>
      <c r="J225" s="42"/>
      <c r="K225" s="42"/>
    </row>
    <row r="226" spans="1:11" x14ac:dyDescent="0.35">
      <c r="A226" s="40" t="s">
        <v>1005</v>
      </c>
      <c r="B226" s="42"/>
      <c r="C226" s="42"/>
      <c r="D226" s="42"/>
      <c r="E226" s="42"/>
      <c r="F226" s="42"/>
      <c r="G226" s="42"/>
      <c r="H226" s="42"/>
      <c r="I226" s="42"/>
      <c r="J226" s="42"/>
      <c r="K226" s="42"/>
    </row>
    <row r="227" spans="1:11" x14ac:dyDescent="0.35">
      <c r="A227" s="40" t="s">
        <v>1006</v>
      </c>
      <c r="B227" s="42"/>
      <c r="C227" s="42"/>
      <c r="D227" s="42"/>
      <c r="E227" s="42"/>
      <c r="F227" s="42"/>
      <c r="G227" s="42"/>
      <c r="H227" s="42"/>
      <c r="I227" s="42"/>
      <c r="J227" s="42"/>
      <c r="K227" s="42"/>
    </row>
    <row r="228" spans="1:11" x14ac:dyDescent="0.35">
      <c r="A228" s="40" t="s">
        <v>1007</v>
      </c>
      <c r="B228" s="42"/>
      <c r="C228" s="42"/>
      <c r="D228" s="42"/>
      <c r="E228" s="42"/>
      <c r="F228" s="42"/>
      <c r="G228" s="42"/>
      <c r="H228" s="42"/>
      <c r="I228" s="42"/>
      <c r="J228" s="42"/>
      <c r="K228" s="42"/>
    </row>
    <row r="229" spans="1:11" x14ac:dyDescent="0.35">
      <c r="A229" s="40" t="s">
        <v>1008</v>
      </c>
      <c r="B229" s="42"/>
      <c r="C229" s="42"/>
      <c r="D229" s="42"/>
      <c r="E229" s="42"/>
      <c r="F229" s="42"/>
      <c r="G229" s="42"/>
      <c r="H229" s="42"/>
      <c r="I229" s="42"/>
      <c r="J229" s="42"/>
      <c r="K229" s="42"/>
    </row>
    <row r="230" spans="1:11" x14ac:dyDescent="0.35">
      <c r="A230" s="40" t="s">
        <v>1009</v>
      </c>
      <c r="B230" s="42"/>
      <c r="C230" s="42"/>
      <c r="D230" s="42"/>
      <c r="E230" s="42"/>
      <c r="F230" s="42"/>
      <c r="G230" s="42"/>
      <c r="H230" s="42"/>
      <c r="I230" s="42"/>
      <c r="J230" s="42"/>
      <c r="K230" s="42"/>
    </row>
    <row r="231" spans="1:11" x14ac:dyDescent="0.35">
      <c r="A231" s="40" t="s">
        <v>1010</v>
      </c>
      <c r="B231" s="42"/>
      <c r="C231" s="42"/>
      <c r="D231" s="42"/>
      <c r="E231" s="42"/>
      <c r="F231" s="42"/>
      <c r="G231" s="42"/>
      <c r="H231" s="42"/>
      <c r="I231" s="42"/>
      <c r="J231" s="42"/>
      <c r="K231" s="42"/>
    </row>
    <row r="232" spans="1:11" x14ac:dyDescent="0.35">
      <c r="A232" s="40" t="s">
        <v>1011</v>
      </c>
      <c r="B232" s="41">
        <v>25000</v>
      </c>
      <c r="C232" s="42"/>
      <c r="D232" s="42"/>
      <c r="E232" s="42"/>
      <c r="F232" s="42"/>
      <c r="G232" s="42"/>
      <c r="H232" s="42"/>
      <c r="I232" s="42"/>
      <c r="J232" s="42"/>
      <c r="K232" s="42"/>
    </row>
    <row r="233" spans="1:11" x14ac:dyDescent="0.35">
      <c r="A233" s="40" t="s">
        <v>936</v>
      </c>
      <c r="B233" s="42"/>
      <c r="C233" s="42"/>
      <c r="D233" s="42"/>
      <c r="E233" s="42"/>
      <c r="F233" s="42"/>
      <c r="G233" s="42"/>
      <c r="H233" s="42"/>
      <c r="I233" s="42"/>
      <c r="J233" s="42"/>
      <c r="K233" s="42"/>
    </row>
    <row r="234" spans="1:11" x14ac:dyDescent="0.35">
      <c r="A234" s="62" t="s">
        <v>1012</v>
      </c>
      <c r="B234" s="63">
        <v>713</v>
      </c>
      <c r="C234" s="64">
        <v>1934</v>
      </c>
      <c r="D234" s="64">
        <v>3009</v>
      </c>
      <c r="E234" s="64">
        <v>2506</v>
      </c>
      <c r="F234" s="64">
        <v>2012</v>
      </c>
      <c r="G234" s="64">
        <v>-7370</v>
      </c>
      <c r="H234" s="64">
        <v>-1548</v>
      </c>
      <c r="I234" s="64">
        <v>-10032</v>
      </c>
      <c r="J234" s="63">
        <v>951.28</v>
      </c>
      <c r="K234" s="64">
        <v>2623.19</v>
      </c>
    </row>
    <row r="235" spans="1:11" x14ac:dyDescent="0.35">
      <c r="A235" s="40" t="s">
        <v>882</v>
      </c>
      <c r="B235" s="42"/>
      <c r="C235" s="42"/>
      <c r="D235" s="42"/>
      <c r="E235" s="42"/>
      <c r="F235" s="42"/>
      <c r="G235" s="42"/>
      <c r="H235" s="42"/>
      <c r="I235" s="42"/>
      <c r="J235" s="42"/>
      <c r="K235" s="42"/>
    </row>
    <row r="236" spans="1:11" x14ac:dyDescent="0.35">
      <c r="A236" s="40" t="s">
        <v>884</v>
      </c>
      <c r="B236" s="42"/>
      <c r="C236" s="42"/>
      <c r="D236" s="42"/>
      <c r="E236" s="42"/>
      <c r="F236" s="42"/>
      <c r="G236" s="42"/>
      <c r="H236" s="42"/>
      <c r="I236" s="42"/>
      <c r="J236" s="42"/>
      <c r="K236" s="42"/>
    </row>
    <row r="237" spans="1:11" x14ac:dyDescent="0.35">
      <c r="A237" s="40" t="s">
        <v>914</v>
      </c>
      <c r="B237" s="42"/>
      <c r="C237" s="42"/>
      <c r="D237" s="42"/>
      <c r="E237" s="42"/>
      <c r="F237" s="42"/>
      <c r="G237" s="42"/>
      <c r="H237" s="42"/>
      <c r="I237" s="42"/>
      <c r="J237" s="42"/>
      <c r="K237" s="42"/>
    </row>
    <row r="238" spans="1:11" x14ac:dyDescent="0.35">
      <c r="A238" s="40" t="s">
        <v>884</v>
      </c>
      <c r="B238" s="42"/>
      <c r="C238" s="42"/>
      <c r="D238" s="42"/>
      <c r="E238" s="42"/>
      <c r="F238" s="42"/>
      <c r="G238" s="42"/>
      <c r="H238" s="42"/>
      <c r="I238" s="42"/>
      <c r="J238" s="42"/>
      <c r="K238" s="42"/>
    </row>
    <row r="239" spans="1:11" x14ac:dyDescent="0.35">
      <c r="A239" s="40" t="s">
        <v>919</v>
      </c>
      <c r="B239" s="42"/>
      <c r="C239" s="42"/>
      <c r="D239" s="42"/>
      <c r="E239" s="42"/>
      <c r="F239" s="42"/>
      <c r="G239" s="42"/>
      <c r="H239" s="42"/>
      <c r="I239" s="42"/>
      <c r="J239" s="42"/>
      <c r="K239" s="42"/>
    </row>
    <row r="240" spans="1:11" x14ac:dyDescent="0.35">
      <c r="A240" s="40" t="s">
        <v>884</v>
      </c>
      <c r="B240" s="42"/>
      <c r="C240" s="42"/>
      <c r="D240" s="42"/>
      <c r="E240" s="42"/>
      <c r="F240" s="42"/>
      <c r="G240" s="42"/>
      <c r="H240" s="42"/>
      <c r="I240" s="42"/>
      <c r="J240" s="42"/>
      <c r="K240" s="42"/>
    </row>
    <row r="241" spans="1:11" x14ac:dyDescent="0.35">
      <c r="A241" s="40" t="s">
        <v>920</v>
      </c>
      <c r="B241" s="41">
        <v>-1360</v>
      </c>
      <c r="C241" s="42">
        <v>-779</v>
      </c>
      <c r="D241" s="42">
        <v>-699</v>
      </c>
      <c r="E241" s="42">
        <v>-707</v>
      </c>
      <c r="F241" s="42">
        <v>-993</v>
      </c>
      <c r="G241" s="41">
        <v>-2972</v>
      </c>
      <c r="H241" s="42"/>
      <c r="I241" s="41">
        <v>-2867</v>
      </c>
      <c r="J241" s="42"/>
      <c r="K241" s="42"/>
    </row>
    <row r="242" spans="1:11" x14ac:dyDescent="0.35">
      <c r="A242" s="40" t="s">
        <v>884</v>
      </c>
      <c r="B242" s="42">
        <v>-190.74</v>
      </c>
      <c r="C242" s="42">
        <v>-40.28</v>
      </c>
      <c r="D242" s="42">
        <v>-23.23</v>
      </c>
      <c r="E242" s="42">
        <v>-28.21</v>
      </c>
      <c r="F242" s="42">
        <v>-49.35</v>
      </c>
      <c r="G242" s="42">
        <v>40.33</v>
      </c>
      <c r="H242" s="42"/>
      <c r="I242" s="42">
        <v>28.58</v>
      </c>
      <c r="J242" s="42"/>
      <c r="K242" s="42"/>
    </row>
    <row r="243" spans="1:11" x14ac:dyDescent="0.35">
      <c r="A243" s="40" t="s">
        <v>921</v>
      </c>
      <c r="B243" s="42">
        <v>6</v>
      </c>
      <c r="C243" s="42">
        <v>97</v>
      </c>
      <c r="D243" s="42">
        <v>17</v>
      </c>
      <c r="E243" s="42"/>
      <c r="F243" s="42"/>
      <c r="G243" s="42"/>
      <c r="H243" s="42"/>
      <c r="I243" s="42"/>
      <c r="J243" s="42"/>
      <c r="K243" s="42"/>
    </row>
    <row r="244" spans="1:11" x14ac:dyDescent="0.35">
      <c r="A244" s="40" t="s">
        <v>884</v>
      </c>
      <c r="B244" s="42">
        <v>0.84</v>
      </c>
      <c r="C244" s="42">
        <v>5.0199999999999996</v>
      </c>
      <c r="D244" s="42">
        <v>0.56000000000000005</v>
      </c>
      <c r="E244" s="42"/>
      <c r="F244" s="42"/>
      <c r="G244" s="42"/>
      <c r="H244" s="42"/>
      <c r="I244" s="42"/>
      <c r="J244" s="42"/>
      <c r="K244" s="42"/>
    </row>
    <row r="245" spans="1:11" x14ac:dyDescent="0.35">
      <c r="A245" s="40" t="s">
        <v>924</v>
      </c>
      <c r="B245" s="42"/>
      <c r="C245" s="42"/>
      <c r="D245" s="42"/>
      <c r="E245" s="42"/>
      <c r="F245" s="42"/>
      <c r="G245" s="42"/>
      <c r="H245" s="42"/>
      <c r="I245" s="42"/>
      <c r="J245" s="42"/>
      <c r="K245" s="42"/>
    </row>
    <row r="246" spans="1:11" x14ac:dyDescent="0.35">
      <c r="A246" s="40" t="s">
        <v>925</v>
      </c>
      <c r="B246" s="42"/>
      <c r="C246" s="42"/>
      <c r="D246" s="42"/>
      <c r="E246" s="42"/>
      <c r="F246" s="42"/>
      <c r="G246" s="42"/>
      <c r="H246" s="42"/>
      <c r="I246" s="42"/>
      <c r="J246" s="42"/>
      <c r="K246" s="42"/>
    </row>
    <row r="247" spans="1:11" x14ac:dyDescent="0.35">
      <c r="A247" s="40" t="s">
        <v>926</v>
      </c>
      <c r="B247" s="42">
        <v>106</v>
      </c>
      <c r="C247" s="42">
        <v>434</v>
      </c>
      <c r="D247" s="42">
        <v>563</v>
      </c>
      <c r="E247" s="42">
        <v>191</v>
      </c>
      <c r="F247" s="42">
        <v>79</v>
      </c>
      <c r="G247" s="42">
        <v>209.27</v>
      </c>
      <c r="H247" s="42">
        <v>88.76</v>
      </c>
      <c r="I247" s="42">
        <v>-124.17</v>
      </c>
      <c r="J247" s="42"/>
      <c r="K247" s="42"/>
    </row>
    <row r="248" spans="1:11" x14ac:dyDescent="0.35">
      <c r="A248" s="40" t="s">
        <v>928</v>
      </c>
      <c r="B248" s="41">
        <v>1961</v>
      </c>
      <c r="C248" s="41">
        <v>2182</v>
      </c>
      <c r="D248" s="41">
        <v>3145</v>
      </c>
      <c r="E248" s="41">
        <v>3031</v>
      </c>
      <c r="F248" s="41">
        <v>2926</v>
      </c>
      <c r="G248" s="41">
        <v>2916.03</v>
      </c>
      <c r="H248" s="41">
        <v>3369.03</v>
      </c>
      <c r="I248" s="41">
        <v>2985.35</v>
      </c>
      <c r="J248" s="42"/>
      <c r="K248" s="42"/>
    </row>
    <row r="249" spans="1:11" x14ac:dyDescent="0.35">
      <c r="A249" s="40" t="s">
        <v>936</v>
      </c>
      <c r="B249" s="42"/>
      <c r="C249" s="42"/>
      <c r="D249" s="42"/>
      <c r="E249" s="42"/>
      <c r="F249" s="42"/>
      <c r="G249" s="42"/>
      <c r="H249" s="42"/>
      <c r="I249" s="42"/>
      <c r="J249" s="42"/>
      <c r="K249" s="42"/>
    </row>
    <row r="250" spans="1:11" x14ac:dyDescent="0.35">
      <c r="A250" s="62" t="s">
        <v>1013</v>
      </c>
      <c r="B250" s="42"/>
      <c r="C250" s="42"/>
      <c r="D250" s="42"/>
      <c r="E250" s="42"/>
      <c r="F250" s="42"/>
      <c r="G250" s="42"/>
      <c r="H250" s="42"/>
      <c r="I250" s="42"/>
      <c r="J250" s="42"/>
      <c r="K250" s="42"/>
    </row>
    <row r="251" spans="1:11" x14ac:dyDescent="0.35">
      <c r="A251" s="62" t="s">
        <v>882</v>
      </c>
      <c r="B251" s="63"/>
      <c r="C251" s="63"/>
      <c r="D251" s="63"/>
      <c r="E251" s="63"/>
      <c r="F251" s="63"/>
      <c r="G251" s="63">
        <v>541</v>
      </c>
      <c r="H251" s="63">
        <v>211</v>
      </c>
      <c r="I251" s="63">
        <v>529</v>
      </c>
      <c r="J251" s="64">
        <v>1690.07</v>
      </c>
      <c r="K251" s="64">
        <v>1847.18</v>
      </c>
    </row>
    <row r="252" spans="1:11" x14ac:dyDescent="0.35">
      <c r="A252" s="40" t="s">
        <v>884</v>
      </c>
      <c r="B252" s="42"/>
      <c r="C252" s="42"/>
      <c r="D252" s="42"/>
      <c r="E252" s="42"/>
      <c r="F252" s="42"/>
      <c r="G252" s="42"/>
      <c r="H252" s="42"/>
      <c r="I252" s="42"/>
      <c r="J252" s="42"/>
      <c r="K252" s="42"/>
    </row>
    <row r="253" spans="1:11" x14ac:dyDescent="0.35">
      <c r="A253" s="62" t="s">
        <v>914</v>
      </c>
      <c r="B253" s="63"/>
      <c r="C253" s="63"/>
      <c r="D253" s="63"/>
      <c r="E253" s="63"/>
      <c r="F253" s="63"/>
      <c r="G253" s="64">
        <v>3812</v>
      </c>
      <c r="H253" s="64">
        <v>3322</v>
      </c>
      <c r="I253" s="64">
        <v>-5759</v>
      </c>
      <c r="J253" s="64">
        <v>2447.0700000000002</v>
      </c>
      <c r="K253" s="64">
        <v>2116.0700000000002</v>
      </c>
    </row>
    <row r="254" spans="1:11" x14ac:dyDescent="0.35">
      <c r="A254" s="40" t="s">
        <v>884</v>
      </c>
      <c r="B254" s="42"/>
      <c r="C254" s="42"/>
      <c r="D254" s="42"/>
      <c r="E254" s="42"/>
      <c r="F254" s="42"/>
      <c r="G254" s="42"/>
      <c r="H254" s="42"/>
      <c r="I254" s="42"/>
      <c r="J254" s="42"/>
      <c r="K254" s="42"/>
    </row>
    <row r="255" spans="1:11" x14ac:dyDescent="0.35">
      <c r="A255" s="62" t="s">
        <v>919</v>
      </c>
      <c r="B255" s="63"/>
      <c r="C255" s="63"/>
      <c r="D255" s="63"/>
      <c r="E255" s="63"/>
      <c r="F255" s="63"/>
      <c r="G255" s="64">
        <v>-5736</v>
      </c>
      <c r="H255" s="64">
        <v>-2565</v>
      </c>
      <c r="I255" s="64">
        <v>-1485</v>
      </c>
      <c r="J255" s="63">
        <v>-348.59</v>
      </c>
      <c r="K255" s="63">
        <v>75.88</v>
      </c>
    </row>
    <row r="256" spans="1:11" x14ac:dyDescent="0.35">
      <c r="A256" s="40" t="s">
        <v>884</v>
      </c>
      <c r="B256" s="42"/>
      <c r="C256" s="42"/>
      <c r="D256" s="42"/>
      <c r="E256" s="42"/>
      <c r="F256" s="42"/>
      <c r="G256" s="42"/>
      <c r="H256" s="42"/>
      <c r="I256" s="42"/>
      <c r="J256" s="42"/>
      <c r="K256" s="42"/>
    </row>
    <row r="257" spans="1:11" x14ac:dyDescent="0.35">
      <c r="A257" s="40" t="s">
        <v>920</v>
      </c>
      <c r="B257" s="42"/>
      <c r="C257" s="42"/>
      <c r="D257" s="42"/>
      <c r="E257" s="42"/>
      <c r="F257" s="42"/>
      <c r="G257" s="41">
        <v>-2972</v>
      </c>
      <c r="H257" s="41">
        <v>-2160</v>
      </c>
      <c r="I257" s="41">
        <v>-2867</v>
      </c>
      <c r="J257" s="41">
        <v>-2612.29</v>
      </c>
      <c r="K257" s="41">
        <v>-2292.11</v>
      </c>
    </row>
    <row r="258" spans="1:11" x14ac:dyDescent="0.35">
      <c r="A258" s="40" t="s">
        <v>884</v>
      </c>
      <c r="B258" s="42"/>
      <c r="C258" s="42"/>
      <c r="D258" s="42"/>
      <c r="E258" s="42"/>
      <c r="F258" s="42"/>
      <c r="G258" s="42"/>
      <c r="H258" s="42"/>
      <c r="I258" s="42"/>
      <c r="J258" s="42"/>
      <c r="K258" s="42"/>
    </row>
    <row r="259" spans="1:11" x14ac:dyDescent="0.35">
      <c r="A259" s="40" t="s">
        <v>936</v>
      </c>
      <c r="B259" s="42"/>
      <c r="C259" s="42"/>
      <c r="D259" s="42"/>
      <c r="E259" s="42"/>
      <c r="F259" s="42"/>
      <c r="G259" s="42"/>
      <c r="H259" s="42"/>
      <c r="I259" s="42"/>
      <c r="J259" s="42"/>
      <c r="K259" s="42"/>
    </row>
    <row r="260" spans="1:11" x14ac:dyDescent="0.35">
      <c r="A260" s="40" t="s">
        <v>1014</v>
      </c>
      <c r="B260" s="41">
        <v>2656</v>
      </c>
      <c r="C260" s="41">
        <v>3935</v>
      </c>
      <c r="D260" s="41">
        <v>3819</v>
      </c>
      <c r="E260" s="41">
        <v>3860</v>
      </c>
      <c r="F260" s="41">
        <v>4620</v>
      </c>
      <c r="G260" s="41">
        <v>20442</v>
      </c>
      <c r="H260" s="41">
        <v>24526</v>
      </c>
      <c r="I260" s="41">
        <v>22970</v>
      </c>
      <c r="J260" s="41">
        <v>21861.93</v>
      </c>
      <c r="K260" s="41">
        <v>21253.1</v>
      </c>
    </row>
    <row r="261" spans="1:11" x14ac:dyDescent="0.35">
      <c r="A261" s="40" t="s">
        <v>882</v>
      </c>
      <c r="B261" s="42"/>
      <c r="C261" s="42"/>
      <c r="D261" s="42"/>
      <c r="E261" s="42"/>
      <c r="F261" s="42"/>
      <c r="G261" s="41">
        <v>8702</v>
      </c>
      <c r="H261" s="41">
        <v>7296</v>
      </c>
      <c r="I261" s="41">
        <v>7530</v>
      </c>
      <c r="J261" s="42"/>
      <c r="K261" s="42"/>
    </row>
    <row r="262" spans="1:11" x14ac:dyDescent="0.35">
      <c r="A262" s="40" t="s">
        <v>884</v>
      </c>
      <c r="B262" s="42"/>
      <c r="C262" s="42"/>
      <c r="D262" s="42"/>
      <c r="E262" s="42"/>
      <c r="F262" s="42"/>
      <c r="G262" s="42">
        <v>42.57</v>
      </c>
      <c r="H262" s="42">
        <v>29.75</v>
      </c>
      <c r="I262" s="42">
        <v>32.78</v>
      </c>
      <c r="J262" s="42"/>
      <c r="K262" s="42"/>
    </row>
    <row r="263" spans="1:11" x14ac:dyDescent="0.35">
      <c r="A263" s="40" t="s">
        <v>914</v>
      </c>
      <c r="B263" s="42"/>
      <c r="C263" s="42"/>
      <c r="D263" s="42"/>
      <c r="E263" s="42"/>
      <c r="F263" s="42"/>
      <c r="G263" s="41">
        <v>10154</v>
      </c>
      <c r="H263" s="41">
        <v>9342</v>
      </c>
      <c r="I263" s="41">
        <v>9238</v>
      </c>
      <c r="J263" s="42"/>
      <c r="K263" s="42"/>
    </row>
    <row r="264" spans="1:11" x14ac:dyDescent="0.35">
      <c r="A264" s="40" t="s">
        <v>884</v>
      </c>
      <c r="B264" s="42"/>
      <c r="C264" s="42"/>
      <c r="D264" s="42"/>
      <c r="E264" s="42"/>
      <c r="F264" s="42"/>
      <c r="G264" s="42">
        <v>49.67</v>
      </c>
      <c r="H264" s="42">
        <v>38.090000000000003</v>
      </c>
      <c r="I264" s="42">
        <v>40.22</v>
      </c>
      <c r="J264" s="42"/>
      <c r="K264" s="42"/>
    </row>
    <row r="265" spans="1:11" x14ac:dyDescent="0.35">
      <c r="A265" s="40" t="s">
        <v>919</v>
      </c>
      <c r="B265" s="42"/>
      <c r="C265" s="42"/>
      <c r="D265" s="42"/>
      <c r="E265" s="42"/>
      <c r="F265" s="42"/>
      <c r="G265" s="41">
        <v>8188</v>
      </c>
      <c r="H265" s="41">
        <v>7623</v>
      </c>
      <c r="I265" s="41">
        <v>7459</v>
      </c>
      <c r="J265" s="42"/>
      <c r="K265" s="42"/>
    </row>
    <row r="266" spans="1:11" x14ac:dyDescent="0.35">
      <c r="A266" s="40" t="s">
        <v>884</v>
      </c>
      <c r="B266" s="42"/>
      <c r="C266" s="42"/>
      <c r="D266" s="42"/>
      <c r="E266" s="42"/>
      <c r="F266" s="42"/>
      <c r="G266" s="42">
        <v>40.049999999999997</v>
      </c>
      <c r="H266" s="42">
        <v>31.08</v>
      </c>
      <c r="I266" s="42">
        <v>32.47</v>
      </c>
      <c r="J266" s="42"/>
      <c r="K266" s="42"/>
    </row>
    <row r="267" spans="1:11" x14ac:dyDescent="0.35">
      <c r="A267" s="40" t="s">
        <v>920</v>
      </c>
      <c r="B267" s="42">
        <v>2</v>
      </c>
      <c r="C267" s="42">
        <v>1</v>
      </c>
      <c r="D267" s="42">
        <v>2</v>
      </c>
      <c r="E267" s="42"/>
      <c r="F267" s="42">
        <v>-5</v>
      </c>
      <c r="G267" s="42"/>
      <c r="H267" s="42"/>
      <c r="I267" s="42"/>
      <c r="J267" s="42"/>
      <c r="K267" s="42"/>
    </row>
    <row r="268" spans="1:11" x14ac:dyDescent="0.35">
      <c r="A268" s="40" t="s">
        <v>884</v>
      </c>
      <c r="B268" s="42">
        <v>0.08</v>
      </c>
      <c r="C268" s="42">
        <v>0.03</v>
      </c>
      <c r="D268" s="42">
        <v>0.05</v>
      </c>
      <c r="E268" s="42"/>
      <c r="F268" s="42">
        <v>-0.11</v>
      </c>
      <c r="G268" s="42"/>
      <c r="H268" s="42"/>
      <c r="I268" s="42"/>
      <c r="J268" s="42"/>
      <c r="K268" s="42"/>
    </row>
    <row r="269" spans="1:11" x14ac:dyDescent="0.35">
      <c r="A269" s="40" t="s">
        <v>921</v>
      </c>
      <c r="B269" s="42">
        <v>60</v>
      </c>
      <c r="C269" s="42">
        <v>17</v>
      </c>
      <c r="D269" s="42">
        <v>1</v>
      </c>
      <c r="E269" s="42">
        <v>13</v>
      </c>
      <c r="F269" s="42">
        <v>-5</v>
      </c>
      <c r="G269" s="41">
        <v>9983.1200000000008</v>
      </c>
      <c r="H269" s="41">
        <v>9676.56</v>
      </c>
      <c r="I269" s="41">
        <v>9463.15</v>
      </c>
      <c r="J269" s="41">
        <v>9160.33</v>
      </c>
      <c r="K269" s="41">
        <v>8990.7099999999991</v>
      </c>
    </row>
    <row r="270" spans="1:11" x14ac:dyDescent="0.35">
      <c r="A270" s="40" t="s">
        <v>884</v>
      </c>
      <c r="B270" s="42">
        <v>2.2599999999999998</v>
      </c>
      <c r="C270" s="42">
        <v>0.43</v>
      </c>
      <c r="D270" s="42">
        <v>0.03</v>
      </c>
      <c r="E270" s="42">
        <v>0.34</v>
      </c>
      <c r="F270" s="42">
        <v>-0.11</v>
      </c>
      <c r="G270" s="42">
        <v>48.84</v>
      </c>
      <c r="H270" s="42">
        <v>39.450000000000003</v>
      </c>
      <c r="I270" s="42">
        <v>41.2</v>
      </c>
      <c r="J270" s="42">
        <v>41.9</v>
      </c>
      <c r="K270" s="42">
        <v>42.3</v>
      </c>
    </row>
    <row r="271" spans="1:11" x14ac:dyDescent="0.35">
      <c r="A271" s="40" t="s">
        <v>923</v>
      </c>
      <c r="B271" s="42"/>
      <c r="C271" s="42"/>
      <c r="D271" s="42"/>
      <c r="E271" s="42"/>
      <c r="F271" s="42"/>
      <c r="G271" s="41">
        <v>-6602</v>
      </c>
      <c r="H271" s="42">
        <v>265</v>
      </c>
      <c r="I271" s="41">
        <v>-1257</v>
      </c>
      <c r="J271" s="42"/>
      <c r="K271" s="42"/>
    </row>
    <row r="272" spans="1:11" x14ac:dyDescent="0.35">
      <c r="A272" s="40" t="s">
        <v>884</v>
      </c>
      <c r="B272" s="42"/>
      <c r="C272" s="42"/>
      <c r="D272" s="42"/>
      <c r="E272" s="42"/>
      <c r="F272" s="42"/>
      <c r="G272" s="42">
        <v>-32.299999999999997</v>
      </c>
      <c r="H272" s="42">
        <v>1.08</v>
      </c>
      <c r="I272" s="42">
        <v>-5.47</v>
      </c>
      <c r="J272" s="42"/>
      <c r="K272" s="42"/>
    </row>
    <row r="273" spans="1:11" x14ac:dyDescent="0.35">
      <c r="A273" s="40" t="s">
        <v>924</v>
      </c>
      <c r="B273" s="42"/>
      <c r="C273" s="42"/>
      <c r="D273" s="42"/>
      <c r="E273" s="42"/>
      <c r="F273" s="42"/>
      <c r="G273" s="42"/>
      <c r="H273" s="42"/>
      <c r="I273" s="42"/>
      <c r="J273" s="42"/>
      <c r="K273" s="42"/>
    </row>
    <row r="274" spans="1:11" x14ac:dyDescent="0.35">
      <c r="A274" s="40" t="s">
        <v>925</v>
      </c>
      <c r="B274" s="42"/>
      <c r="C274" s="42"/>
      <c r="D274" s="42"/>
      <c r="E274" s="42"/>
      <c r="F274" s="42"/>
      <c r="G274" s="42"/>
      <c r="H274" s="42"/>
      <c r="I274" s="42"/>
      <c r="J274" s="42"/>
      <c r="K274" s="42"/>
    </row>
    <row r="275" spans="1:11" x14ac:dyDescent="0.35">
      <c r="A275" s="40" t="s">
        <v>926</v>
      </c>
      <c r="B275" s="41">
        <v>1677</v>
      </c>
      <c r="C275" s="41">
        <v>2169</v>
      </c>
      <c r="D275" s="41">
        <v>2016</v>
      </c>
      <c r="E275" s="41">
        <v>2004</v>
      </c>
      <c r="F275" s="41">
        <v>2784</v>
      </c>
      <c r="G275" s="41">
        <v>2722.34</v>
      </c>
      <c r="H275" s="41">
        <v>2566.56</v>
      </c>
      <c r="I275" s="41">
        <v>2415</v>
      </c>
      <c r="J275" s="41">
        <v>2487.4499999999998</v>
      </c>
      <c r="K275" s="41">
        <v>2562.0700000000002</v>
      </c>
    </row>
    <row r="276" spans="1:11" x14ac:dyDescent="0.35">
      <c r="A276" s="40" t="s">
        <v>928</v>
      </c>
      <c r="B276" s="42">
        <v>917</v>
      </c>
      <c r="C276" s="41">
        <v>1748</v>
      </c>
      <c r="D276" s="41">
        <v>1800</v>
      </c>
      <c r="E276" s="41">
        <v>1843</v>
      </c>
      <c r="F276" s="41">
        <v>1841</v>
      </c>
      <c r="G276" s="41">
        <v>1997.76</v>
      </c>
      <c r="H276" s="41">
        <v>2012</v>
      </c>
      <c r="I276" s="41">
        <v>2055.66</v>
      </c>
      <c r="J276" s="41">
        <v>2096.7800000000002</v>
      </c>
      <c r="K276" s="41">
        <v>2138.71</v>
      </c>
    </row>
    <row r="277" spans="1:11" x14ac:dyDescent="0.35">
      <c r="A277" s="40" t="s">
        <v>936</v>
      </c>
      <c r="B277" s="42"/>
      <c r="C277" s="42"/>
      <c r="D277" s="42"/>
      <c r="E277" s="42"/>
      <c r="F277" s="42"/>
      <c r="G277" s="42"/>
      <c r="H277" s="42"/>
      <c r="I277" s="42"/>
      <c r="J277" s="42"/>
      <c r="K277" s="42"/>
    </row>
    <row r="278" spans="1:11" x14ac:dyDescent="0.35">
      <c r="A278" s="40" t="s">
        <v>1015</v>
      </c>
      <c r="B278" s="41">
        <v>1768</v>
      </c>
      <c r="C278" s="41">
        <v>2620</v>
      </c>
      <c r="D278" s="41">
        <v>2788</v>
      </c>
      <c r="E278" s="41">
        <v>2722</v>
      </c>
      <c r="F278" s="41">
        <v>4016</v>
      </c>
      <c r="G278" s="41">
        <v>9678</v>
      </c>
      <c r="H278" s="41">
        <v>9696</v>
      </c>
      <c r="I278" s="41">
        <v>9296</v>
      </c>
      <c r="J278" s="41">
        <v>9312.2000000000007</v>
      </c>
      <c r="K278" s="41">
        <v>9010.0499999999993</v>
      </c>
    </row>
    <row r="279" spans="1:11" x14ac:dyDescent="0.35">
      <c r="A279" s="40" t="s">
        <v>882</v>
      </c>
      <c r="B279" s="42"/>
      <c r="C279" s="42"/>
      <c r="D279" s="42"/>
      <c r="E279" s="42"/>
      <c r="F279" s="42"/>
      <c r="G279" s="42"/>
      <c r="H279" s="41">
        <v>2713</v>
      </c>
      <c r="I279" s="41">
        <v>2425</v>
      </c>
      <c r="J279" s="42"/>
      <c r="K279" s="42"/>
    </row>
    <row r="280" spans="1:11" x14ac:dyDescent="0.35">
      <c r="A280" s="40" t="s">
        <v>884</v>
      </c>
      <c r="B280" s="42"/>
      <c r="C280" s="42"/>
      <c r="D280" s="42"/>
      <c r="E280" s="42"/>
      <c r="F280" s="42"/>
      <c r="G280" s="42"/>
      <c r="H280" s="42">
        <v>27.98</v>
      </c>
      <c r="I280" s="42">
        <v>26.09</v>
      </c>
      <c r="J280" s="42"/>
      <c r="K280" s="42"/>
    </row>
    <row r="281" spans="1:11" x14ac:dyDescent="0.35">
      <c r="A281" s="40" t="s">
        <v>914</v>
      </c>
      <c r="B281" s="42"/>
      <c r="C281" s="42"/>
      <c r="D281" s="42"/>
      <c r="E281" s="42"/>
      <c r="F281" s="42"/>
      <c r="G281" s="42"/>
      <c r="H281" s="41">
        <v>2839</v>
      </c>
      <c r="I281" s="41">
        <v>2788</v>
      </c>
      <c r="J281" s="42"/>
      <c r="K281" s="42"/>
    </row>
    <row r="282" spans="1:11" x14ac:dyDescent="0.35">
      <c r="A282" s="40" t="s">
        <v>884</v>
      </c>
      <c r="B282" s="42"/>
      <c r="C282" s="42"/>
      <c r="D282" s="42"/>
      <c r="E282" s="42"/>
      <c r="F282" s="42"/>
      <c r="G282" s="42"/>
      <c r="H282" s="42">
        <v>29.28</v>
      </c>
      <c r="I282" s="42">
        <v>29.99</v>
      </c>
      <c r="J282" s="42"/>
      <c r="K282" s="42"/>
    </row>
    <row r="283" spans="1:11" x14ac:dyDescent="0.35">
      <c r="A283" s="40" t="s">
        <v>919</v>
      </c>
      <c r="B283" s="42"/>
      <c r="C283" s="42"/>
      <c r="D283" s="42"/>
      <c r="E283" s="42"/>
      <c r="F283" s="42"/>
      <c r="G283" s="42"/>
      <c r="H283" s="41">
        <v>2428</v>
      </c>
      <c r="I283" s="41">
        <v>2177</v>
      </c>
      <c r="J283" s="42"/>
      <c r="K283" s="42"/>
    </row>
    <row r="284" spans="1:11" x14ac:dyDescent="0.35">
      <c r="A284" s="40" t="s">
        <v>884</v>
      </c>
      <c r="B284" s="42"/>
      <c r="C284" s="42"/>
      <c r="D284" s="42"/>
      <c r="E284" s="42"/>
      <c r="F284" s="42"/>
      <c r="G284" s="42"/>
      <c r="H284" s="42">
        <v>25.04</v>
      </c>
      <c r="I284" s="42">
        <v>23.42</v>
      </c>
      <c r="J284" s="42"/>
      <c r="K284" s="42"/>
    </row>
    <row r="285" spans="1:11" x14ac:dyDescent="0.35">
      <c r="A285" s="40" t="s">
        <v>920</v>
      </c>
      <c r="B285" s="42">
        <v>358</v>
      </c>
      <c r="C285" s="42">
        <v>391</v>
      </c>
      <c r="D285" s="42">
        <v>505</v>
      </c>
      <c r="E285" s="42"/>
      <c r="F285" s="42">
        <v>612</v>
      </c>
      <c r="G285" s="42"/>
      <c r="H285" s="42"/>
      <c r="I285" s="42"/>
      <c r="J285" s="42"/>
      <c r="K285" s="42"/>
    </row>
    <row r="286" spans="1:11" x14ac:dyDescent="0.35">
      <c r="A286" s="40" t="s">
        <v>884</v>
      </c>
      <c r="B286" s="42">
        <v>20.25</v>
      </c>
      <c r="C286" s="42">
        <v>14.92</v>
      </c>
      <c r="D286" s="42">
        <v>18.11</v>
      </c>
      <c r="E286" s="42"/>
      <c r="F286" s="42">
        <v>15.24</v>
      </c>
      <c r="G286" s="42"/>
      <c r="H286" s="42"/>
      <c r="I286" s="42"/>
      <c r="J286" s="42"/>
      <c r="K286" s="42"/>
    </row>
    <row r="287" spans="1:11" x14ac:dyDescent="0.35">
      <c r="A287" s="40" t="s">
        <v>921</v>
      </c>
      <c r="B287" s="42">
        <v>92</v>
      </c>
      <c r="C287" s="42">
        <v>34</v>
      </c>
      <c r="D287" s="42">
        <v>511</v>
      </c>
      <c r="E287" s="42">
        <v>498</v>
      </c>
      <c r="F287" s="42">
        <v>612</v>
      </c>
      <c r="G287" s="42"/>
      <c r="H287" s="42"/>
      <c r="I287" s="42"/>
      <c r="J287" s="42"/>
      <c r="K287" s="42"/>
    </row>
    <row r="288" spans="1:11" x14ac:dyDescent="0.35">
      <c r="A288" s="40" t="s">
        <v>884</v>
      </c>
      <c r="B288" s="42">
        <v>5.2</v>
      </c>
      <c r="C288" s="42">
        <v>1.3</v>
      </c>
      <c r="D288" s="42">
        <v>18.329999999999998</v>
      </c>
      <c r="E288" s="42">
        <v>18.3</v>
      </c>
      <c r="F288" s="42">
        <v>15.24</v>
      </c>
      <c r="G288" s="42"/>
      <c r="H288" s="42"/>
      <c r="I288" s="42"/>
      <c r="J288" s="42"/>
      <c r="K288" s="42"/>
    </row>
    <row r="289" spans="1:11" x14ac:dyDescent="0.35">
      <c r="A289" s="40" t="s">
        <v>924</v>
      </c>
      <c r="B289" s="42"/>
      <c r="C289" s="42"/>
      <c r="D289" s="42"/>
      <c r="E289" s="42"/>
      <c r="F289" s="42"/>
      <c r="G289" s="42"/>
      <c r="H289" s="42"/>
      <c r="I289" s="42"/>
      <c r="J289" s="42"/>
      <c r="K289" s="42"/>
    </row>
    <row r="290" spans="1:11" x14ac:dyDescent="0.35">
      <c r="A290" s="40" t="s">
        <v>926</v>
      </c>
      <c r="B290" s="42">
        <v>745</v>
      </c>
      <c r="C290" s="42">
        <v>903</v>
      </c>
      <c r="D290" s="42">
        <v>968</v>
      </c>
      <c r="E290" s="42">
        <v>986</v>
      </c>
      <c r="F290" s="41">
        <v>1261</v>
      </c>
      <c r="G290" s="42"/>
      <c r="H290" s="42"/>
      <c r="I290" s="42"/>
      <c r="J290" s="42"/>
      <c r="K290" s="42"/>
    </row>
    <row r="291" spans="1:11" x14ac:dyDescent="0.35">
      <c r="A291" s="40" t="s">
        <v>928</v>
      </c>
      <c r="B291" s="42">
        <v>491</v>
      </c>
      <c r="C291" s="41">
        <v>1102</v>
      </c>
      <c r="D291" s="41">
        <v>1175</v>
      </c>
      <c r="E291" s="41">
        <v>1131</v>
      </c>
      <c r="F291" s="41">
        <v>1881</v>
      </c>
      <c r="G291" s="42"/>
      <c r="H291" s="42"/>
      <c r="I291" s="42"/>
      <c r="J291" s="42"/>
      <c r="K291" s="42"/>
    </row>
    <row r="292" spans="1:11" x14ac:dyDescent="0.35">
      <c r="A292" s="40" t="s">
        <v>936</v>
      </c>
      <c r="B292" s="42"/>
      <c r="C292" s="42"/>
      <c r="D292" s="42"/>
      <c r="E292" s="42"/>
      <c r="F292" s="42"/>
      <c r="G292" s="42"/>
      <c r="H292" s="42"/>
      <c r="I292" s="42"/>
      <c r="J292" s="42"/>
      <c r="K292" s="42"/>
    </row>
    <row r="293" spans="1:11" x14ac:dyDescent="0.35">
      <c r="A293" s="40" t="s">
        <v>1016</v>
      </c>
      <c r="B293" s="42"/>
      <c r="C293" s="42"/>
      <c r="D293" s="42"/>
      <c r="E293" s="42"/>
      <c r="F293" s="42"/>
      <c r="G293" s="42"/>
      <c r="H293" s="42"/>
      <c r="I293" s="42"/>
      <c r="J293" s="42"/>
      <c r="K293" s="42"/>
    </row>
    <row r="294" spans="1:11" x14ac:dyDescent="0.35">
      <c r="A294" s="40" t="s">
        <v>882</v>
      </c>
      <c r="B294" s="42"/>
      <c r="C294" s="42"/>
      <c r="D294" s="42"/>
      <c r="E294" s="42"/>
      <c r="F294" s="42"/>
      <c r="G294" s="41">
        <v>2347</v>
      </c>
      <c r="H294" s="41">
        <v>2713</v>
      </c>
      <c r="I294" s="41">
        <v>2425</v>
      </c>
      <c r="J294" s="41">
        <v>2666.44</v>
      </c>
      <c r="K294" s="41">
        <v>2623.77</v>
      </c>
    </row>
    <row r="295" spans="1:11" x14ac:dyDescent="0.35">
      <c r="A295" s="40" t="s">
        <v>884</v>
      </c>
      <c r="B295" s="42"/>
      <c r="C295" s="42"/>
      <c r="D295" s="42"/>
      <c r="E295" s="42"/>
      <c r="F295" s="42"/>
      <c r="G295" s="42"/>
      <c r="H295" s="42"/>
      <c r="I295" s="42"/>
      <c r="J295" s="42"/>
      <c r="K295" s="42"/>
    </row>
    <row r="296" spans="1:11" x14ac:dyDescent="0.35">
      <c r="A296" s="40" t="s">
        <v>914</v>
      </c>
      <c r="B296" s="42"/>
      <c r="C296" s="42"/>
      <c r="D296" s="42"/>
      <c r="E296" s="42"/>
      <c r="F296" s="42"/>
      <c r="G296" s="41">
        <v>2981</v>
      </c>
      <c r="H296" s="41">
        <v>2839</v>
      </c>
      <c r="I296" s="41">
        <v>2788</v>
      </c>
      <c r="J296" s="41">
        <v>2662.53</v>
      </c>
      <c r="K296" s="41">
        <v>2511.9299999999998</v>
      </c>
    </row>
    <row r="297" spans="1:11" x14ac:dyDescent="0.35">
      <c r="A297" s="40" t="s">
        <v>884</v>
      </c>
      <c r="B297" s="42"/>
      <c r="C297" s="42"/>
      <c r="D297" s="42"/>
      <c r="E297" s="42"/>
      <c r="F297" s="42"/>
      <c r="G297" s="42"/>
      <c r="H297" s="42"/>
      <c r="I297" s="42"/>
      <c r="J297" s="42"/>
      <c r="K297" s="42"/>
    </row>
    <row r="298" spans="1:11" x14ac:dyDescent="0.35">
      <c r="A298" s="40" t="s">
        <v>919</v>
      </c>
      <c r="B298" s="42"/>
      <c r="C298" s="42"/>
      <c r="D298" s="42"/>
      <c r="E298" s="42"/>
      <c r="F298" s="42"/>
      <c r="G298" s="41">
        <v>3568</v>
      </c>
      <c r="H298" s="41">
        <v>2428</v>
      </c>
      <c r="I298" s="41">
        <v>2177</v>
      </c>
      <c r="J298" s="41">
        <v>2128.19</v>
      </c>
      <c r="K298" s="41">
        <v>2347.81</v>
      </c>
    </row>
    <row r="299" spans="1:11" x14ac:dyDescent="0.35">
      <c r="A299" s="40" t="s">
        <v>884</v>
      </c>
      <c r="B299" s="42"/>
      <c r="C299" s="42"/>
      <c r="D299" s="42"/>
      <c r="E299" s="42"/>
      <c r="F299" s="42"/>
      <c r="G299" s="42"/>
      <c r="H299" s="42"/>
      <c r="I299" s="42"/>
      <c r="J299" s="42"/>
      <c r="K299" s="42"/>
    </row>
    <row r="300" spans="1:11" x14ac:dyDescent="0.35">
      <c r="A300" s="40" t="s">
        <v>920</v>
      </c>
      <c r="B300" s="42">
        <v>358</v>
      </c>
      <c r="C300" s="42">
        <v>391</v>
      </c>
      <c r="D300" s="42">
        <v>505</v>
      </c>
      <c r="E300" s="42"/>
      <c r="F300" s="42">
        <v>612</v>
      </c>
      <c r="G300" s="41">
        <v>1136.5899999999999</v>
      </c>
      <c r="H300" s="41">
        <v>1144.5899999999999</v>
      </c>
      <c r="I300" s="41">
        <v>1159</v>
      </c>
      <c r="J300" s="41">
        <v>1006.22</v>
      </c>
      <c r="K300" s="41">
        <v>1112.47</v>
      </c>
    </row>
    <row r="301" spans="1:11" x14ac:dyDescent="0.35">
      <c r="A301" s="40" t="s">
        <v>884</v>
      </c>
      <c r="B301" s="42"/>
      <c r="C301" s="42"/>
      <c r="D301" s="42"/>
      <c r="E301" s="42"/>
      <c r="F301" s="42"/>
      <c r="G301" s="42"/>
      <c r="H301" s="42"/>
      <c r="I301" s="42"/>
      <c r="J301" s="42"/>
      <c r="K301" s="42"/>
    </row>
    <row r="302" spans="1:11" x14ac:dyDescent="0.35">
      <c r="A302" s="40" t="s">
        <v>921</v>
      </c>
      <c r="B302" s="42">
        <v>92</v>
      </c>
      <c r="C302" s="42">
        <v>34</v>
      </c>
      <c r="D302" s="42">
        <v>511</v>
      </c>
      <c r="E302" s="42">
        <v>498</v>
      </c>
      <c r="F302" s="42">
        <v>612</v>
      </c>
      <c r="G302" s="42"/>
      <c r="H302" s="42"/>
      <c r="I302" s="42"/>
      <c r="J302" s="42"/>
      <c r="K302" s="42"/>
    </row>
    <row r="303" spans="1:11" x14ac:dyDescent="0.35">
      <c r="A303" s="40" t="s">
        <v>884</v>
      </c>
      <c r="B303" s="42"/>
      <c r="C303" s="42"/>
      <c r="D303" s="42"/>
      <c r="E303" s="42"/>
      <c r="F303" s="42"/>
      <c r="G303" s="42"/>
      <c r="H303" s="42"/>
      <c r="I303" s="42"/>
      <c r="J303" s="42"/>
      <c r="K303" s="42"/>
    </row>
    <row r="304" spans="1:11" x14ac:dyDescent="0.35">
      <c r="A304" s="40" t="s">
        <v>923</v>
      </c>
      <c r="B304" s="42"/>
      <c r="C304" s="42"/>
      <c r="D304" s="42"/>
      <c r="E304" s="42"/>
      <c r="F304" s="42"/>
      <c r="G304" s="42"/>
      <c r="H304" s="42"/>
      <c r="I304" s="42"/>
      <c r="J304" s="42"/>
      <c r="K304" s="42"/>
    </row>
    <row r="305" spans="1:11" x14ac:dyDescent="0.35">
      <c r="A305" s="40" t="s">
        <v>884</v>
      </c>
      <c r="B305" s="42"/>
      <c r="C305" s="42"/>
      <c r="D305" s="42"/>
      <c r="E305" s="42"/>
      <c r="F305" s="42"/>
      <c r="G305" s="42"/>
      <c r="H305" s="42"/>
      <c r="I305" s="42"/>
      <c r="J305" s="42"/>
      <c r="K305" s="42"/>
    </row>
    <row r="306" spans="1:11" x14ac:dyDescent="0.35">
      <c r="A306" s="40" t="s">
        <v>924</v>
      </c>
      <c r="B306" s="42"/>
      <c r="C306" s="42"/>
      <c r="D306" s="42"/>
      <c r="E306" s="42"/>
      <c r="F306" s="42"/>
      <c r="G306" s="42"/>
      <c r="H306" s="42"/>
      <c r="I306" s="42"/>
      <c r="J306" s="42"/>
      <c r="K306" s="42"/>
    </row>
    <row r="307" spans="1:11" x14ac:dyDescent="0.35">
      <c r="A307" s="40" t="s">
        <v>925</v>
      </c>
      <c r="B307" s="42"/>
      <c r="C307" s="42"/>
      <c r="D307" s="42"/>
      <c r="E307" s="42"/>
      <c r="F307" s="42"/>
      <c r="G307" s="42"/>
      <c r="H307" s="42"/>
      <c r="I307" s="42"/>
      <c r="J307" s="42"/>
      <c r="K307" s="42"/>
    </row>
    <row r="308" spans="1:11" x14ac:dyDescent="0.35">
      <c r="A308" s="40" t="s">
        <v>926</v>
      </c>
      <c r="B308" s="42">
        <v>745</v>
      </c>
      <c r="C308" s="42">
        <v>903</v>
      </c>
      <c r="D308" s="42">
        <v>968</v>
      </c>
      <c r="E308" s="42">
        <v>986</v>
      </c>
      <c r="F308" s="41">
        <v>1261</v>
      </c>
      <c r="G308" s="41">
        <v>1240.6199999999999</v>
      </c>
      <c r="H308" s="41">
        <v>1263.8399999999999</v>
      </c>
      <c r="I308" s="41">
        <v>1352.31</v>
      </c>
      <c r="J308" s="41">
        <v>1157.8399999999999</v>
      </c>
      <c r="K308" s="41">
        <v>1181</v>
      </c>
    </row>
    <row r="309" spans="1:11" x14ac:dyDescent="0.35">
      <c r="A309" s="40" t="s">
        <v>928</v>
      </c>
      <c r="B309" s="42">
        <v>491</v>
      </c>
      <c r="C309" s="41">
        <v>1102</v>
      </c>
      <c r="D309" s="41">
        <v>1175</v>
      </c>
      <c r="E309" s="41">
        <v>1131</v>
      </c>
      <c r="F309" s="41">
        <v>1881</v>
      </c>
      <c r="G309" s="41">
        <v>1771.92</v>
      </c>
      <c r="H309" s="41">
        <v>1815.28</v>
      </c>
      <c r="I309" s="41">
        <v>1800.35</v>
      </c>
      <c r="J309" s="41">
        <v>1675.51</v>
      </c>
      <c r="K309" s="41">
        <v>1675.51</v>
      </c>
    </row>
    <row r="310" spans="1:11" x14ac:dyDescent="0.35">
      <c r="A310" s="40" t="s">
        <v>936</v>
      </c>
      <c r="B310" s="42"/>
      <c r="C310" s="42"/>
      <c r="D310" s="42"/>
      <c r="E310" s="42"/>
      <c r="F310" s="42"/>
      <c r="G310" s="42"/>
      <c r="H310" s="42"/>
      <c r="I310" s="42"/>
      <c r="J310" s="42"/>
      <c r="K310" s="42"/>
    </row>
    <row r="311" spans="1:11" x14ac:dyDescent="0.35">
      <c r="A311" s="40" t="s">
        <v>1017</v>
      </c>
      <c r="B311" s="42">
        <v>39</v>
      </c>
      <c r="C311" s="42">
        <v>80</v>
      </c>
      <c r="D311" s="42">
        <v>142</v>
      </c>
      <c r="E311" s="42">
        <v>110</v>
      </c>
      <c r="F311" s="42">
        <v>178</v>
      </c>
      <c r="G311" s="42">
        <v>412</v>
      </c>
      <c r="H311" s="42">
        <v>500</v>
      </c>
      <c r="I311" s="42">
        <v>557</v>
      </c>
      <c r="J311" s="42"/>
      <c r="K311" s="42"/>
    </row>
    <row r="312" spans="1:11" x14ac:dyDescent="0.35">
      <c r="A312" s="40" t="s">
        <v>882</v>
      </c>
      <c r="B312" s="42"/>
      <c r="C312" s="42"/>
      <c r="D312" s="42"/>
      <c r="E312" s="42"/>
      <c r="F312" s="42"/>
      <c r="G312" s="42">
        <v>27</v>
      </c>
      <c r="H312" s="42">
        <v>0</v>
      </c>
      <c r="I312" s="42">
        <v>-1</v>
      </c>
      <c r="J312" s="42"/>
      <c r="K312" s="42"/>
    </row>
    <row r="313" spans="1:11" x14ac:dyDescent="0.35">
      <c r="A313" s="40" t="s">
        <v>884</v>
      </c>
      <c r="B313" s="42"/>
      <c r="C313" s="42"/>
      <c r="D313" s="42"/>
      <c r="E313" s="42"/>
      <c r="F313" s="42"/>
      <c r="G313" s="42">
        <v>6.55</v>
      </c>
      <c r="H313" s="42">
        <v>0</v>
      </c>
      <c r="I313" s="42">
        <v>-0.18</v>
      </c>
      <c r="J313" s="42"/>
      <c r="K313" s="42"/>
    </row>
    <row r="314" spans="1:11" x14ac:dyDescent="0.35">
      <c r="A314" s="40" t="s">
        <v>914</v>
      </c>
      <c r="B314" s="42"/>
      <c r="C314" s="42"/>
      <c r="D314" s="42"/>
      <c r="E314" s="42"/>
      <c r="F314" s="42"/>
      <c r="G314" s="42">
        <v>9</v>
      </c>
      <c r="H314" s="42">
        <v>0</v>
      </c>
      <c r="I314" s="42"/>
      <c r="J314" s="42"/>
      <c r="K314" s="42"/>
    </row>
    <row r="315" spans="1:11" x14ac:dyDescent="0.35">
      <c r="A315" s="40" t="s">
        <v>884</v>
      </c>
      <c r="B315" s="42"/>
      <c r="C315" s="42"/>
      <c r="D315" s="42"/>
      <c r="E315" s="42"/>
      <c r="F315" s="42"/>
      <c r="G315" s="42">
        <v>2.1800000000000002</v>
      </c>
      <c r="H315" s="42">
        <v>0</v>
      </c>
      <c r="I315" s="42"/>
      <c r="J315" s="42"/>
      <c r="K315" s="42"/>
    </row>
    <row r="316" spans="1:11" x14ac:dyDescent="0.35">
      <c r="A316" s="40" t="s">
        <v>919</v>
      </c>
      <c r="B316" s="42"/>
      <c r="C316" s="42"/>
      <c r="D316" s="42"/>
      <c r="E316" s="42"/>
      <c r="F316" s="42"/>
      <c r="G316" s="42">
        <v>-1</v>
      </c>
      <c r="H316" s="42">
        <v>0</v>
      </c>
      <c r="I316" s="42"/>
      <c r="J316" s="42"/>
      <c r="K316" s="42"/>
    </row>
    <row r="317" spans="1:11" x14ac:dyDescent="0.35">
      <c r="A317" s="40" t="s">
        <v>884</v>
      </c>
      <c r="B317" s="42"/>
      <c r="C317" s="42"/>
      <c r="D317" s="42"/>
      <c r="E317" s="42"/>
      <c r="F317" s="42"/>
      <c r="G317" s="42">
        <v>-0.24</v>
      </c>
      <c r="H317" s="42">
        <v>0</v>
      </c>
      <c r="I317" s="42"/>
      <c r="J317" s="42"/>
      <c r="K317" s="42"/>
    </row>
    <row r="318" spans="1:11" x14ac:dyDescent="0.35">
      <c r="A318" s="40" t="s">
        <v>920</v>
      </c>
      <c r="B318" s="42"/>
      <c r="C318" s="42">
        <v>81</v>
      </c>
      <c r="D318" s="42">
        <v>137</v>
      </c>
      <c r="E318" s="42">
        <v>99</v>
      </c>
      <c r="F318" s="42">
        <v>166</v>
      </c>
      <c r="G318" s="42">
        <v>399</v>
      </c>
      <c r="H318" s="42">
        <v>488</v>
      </c>
      <c r="I318" s="42">
        <v>547</v>
      </c>
      <c r="J318" s="42"/>
      <c r="K318" s="42"/>
    </row>
    <row r="319" spans="1:11" x14ac:dyDescent="0.35">
      <c r="A319" s="40" t="s">
        <v>884</v>
      </c>
      <c r="B319" s="42"/>
      <c r="C319" s="42">
        <v>101.25</v>
      </c>
      <c r="D319" s="42">
        <v>96.48</v>
      </c>
      <c r="E319" s="42">
        <v>90</v>
      </c>
      <c r="F319" s="42">
        <v>93.26</v>
      </c>
      <c r="G319" s="42">
        <v>96.84</v>
      </c>
      <c r="H319" s="42">
        <v>97.6</v>
      </c>
      <c r="I319" s="42">
        <v>98.2</v>
      </c>
      <c r="J319" s="42"/>
      <c r="K319" s="42"/>
    </row>
    <row r="320" spans="1:11" x14ac:dyDescent="0.35">
      <c r="A320" s="40" t="s">
        <v>921</v>
      </c>
      <c r="B320" s="42"/>
      <c r="C320" s="42">
        <v>0</v>
      </c>
      <c r="D320" s="42">
        <v>0</v>
      </c>
      <c r="E320" s="42">
        <v>99</v>
      </c>
      <c r="F320" s="42">
        <v>166</v>
      </c>
      <c r="G320" s="42"/>
      <c r="H320" s="42"/>
      <c r="I320" s="42"/>
      <c r="J320" s="42"/>
      <c r="K320" s="42"/>
    </row>
    <row r="321" spans="1:11" x14ac:dyDescent="0.35">
      <c r="A321" s="40" t="s">
        <v>884</v>
      </c>
      <c r="B321" s="42"/>
      <c r="C321" s="42">
        <v>0</v>
      </c>
      <c r="D321" s="42">
        <v>0</v>
      </c>
      <c r="E321" s="42">
        <v>90</v>
      </c>
      <c r="F321" s="42">
        <v>93.26</v>
      </c>
      <c r="G321" s="42"/>
      <c r="H321" s="42"/>
      <c r="I321" s="42"/>
      <c r="J321" s="42"/>
      <c r="K321" s="42"/>
    </row>
    <row r="322" spans="1:11" x14ac:dyDescent="0.35">
      <c r="A322" s="40" t="s">
        <v>924</v>
      </c>
      <c r="B322" s="42"/>
      <c r="C322" s="42"/>
      <c r="D322" s="42"/>
      <c r="E322" s="42"/>
      <c r="F322" s="42"/>
      <c r="G322" s="42"/>
      <c r="H322" s="42"/>
      <c r="I322" s="42"/>
      <c r="J322" s="42"/>
      <c r="K322" s="42"/>
    </row>
    <row r="323" spans="1:11" x14ac:dyDescent="0.35">
      <c r="A323" s="40" t="s">
        <v>926</v>
      </c>
      <c r="B323" s="42"/>
      <c r="C323" s="42">
        <v>0</v>
      </c>
      <c r="D323" s="42">
        <v>0</v>
      </c>
      <c r="E323" s="42">
        <v>0</v>
      </c>
      <c r="F323" s="42">
        <v>0</v>
      </c>
      <c r="G323" s="42"/>
      <c r="H323" s="42"/>
      <c r="I323" s="42"/>
      <c r="J323" s="42"/>
      <c r="K323" s="42"/>
    </row>
    <row r="324" spans="1:11" x14ac:dyDescent="0.35">
      <c r="A324" s="40" t="s">
        <v>928</v>
      </c>
      <c r="B324" s="42"/>
      <c r="C324" s="42">
        <v>0</v>
      </c>
      <c r="D324" s="42">
        <v>0</v>
      </c>
      <c r="E324" s="42">
        <v>0</v>
      </c>
      <c r="F324" s="42">
        <v>1</v>
      </c>
      <c r="G324" s="42"/>
      <c r="H324" s="42"/>
      <c r="I324" s="42"/>
      <c r="J324" s="42"/>
      <c r="K324" s="42"/>
    </row>
    <row r="325" spans="1:11" x14ac:dyDescent="0.35">
      <c r="A325" s="40" t="s">
        <v>936</v>
      </c>
      <c r="B325" s="42"/>
      <c r="C325" s="42"/>
      <c r="D325" s="42"/>
      <c r="E325" s="42"/>
      <c r="F325" s="42"/>
      <c r="G325" s="42"/>
      <c r="H325" s="42"/>
      <c r="I325" s="42"/>
      <c r="J325" s="42"/>
      <c r="K325" s="42"/>
    </row>
    <row r="326" spans="1:11" x14ac:dyDescent="0.35">
      <c r="A326" s="40" t="s">
        <v>1018</v>
      </c>
      <c r="B326" s="42">
        <v>143</v>
      </c>
      <c r="C326" s="42">
        <v>750</v>
      </c>
      <c r="D326" s="42">
        <v>26</v>
      </c>
      <c r="E326" s="42">
        <v>93.57</v>
      </c>
      <c r="F326" s="42">
        <v>32</v>
      </c>
      <c r="G326" s="42">
        <v>607</v>
      </c>
      <c r="H326" s="42"/>
      <c r="I326" s="42"/>
      <c r="J326" s="42"/>
      <c r="K326" s="42"/>
    </row>
    <row r="327" spans="1:11" x14ac:dyDescent="0.35">
      <c r="A327" s="40" t="s">
        <v>882</v>
      </c>
      <c r="B327" s="42"/>
      <c r="C327" s="42"/>
      <c r="D327" s="42"/>
      <c r="E327" s="42"/>
      <c r="F327" s="42"/>
      <c r="G327" s="41">
        <v>1050</v>
      </c>
      <c r="H327" s="42">
        <v>225</v>
      </c>
      <c r="I327" s="42">
        <v>263</v>
      </c>
      <c r="J327" s="42"/>
      <c r="K327" s="42"/>
    </row>
    <row r="328" spans="1:11" x14ac:dyDescent="0.35">
      <c r="A328" s="40" t="s">
        <v>884</v>
      </c>
      <c r="B328" s="42"/>
      <c r="C328" s="42"/>
      <c r="D328" s="42"/>
      <c r="E328" s="42"/>
      <c r="F328" s="42"/>
      <c r="G328" s="42">
        <v>172.98</v>
      </c>
      <c r="H328" s="42"/>
      <c r="I328" s="42"/>
      <c r="J328" s="42"/>
      <c r="K328" s="42"/>
    </row>
    <row r="329" spans="1:11" x14ac:dyDescent="0.35">
      <c r="A329" s="40" t="s">
        <v>914</v>
      </c>
      <c r="B329" s="42"/>
      <c r="C329" s="42"/>
      <c r="D329" s="42"/>
      <c r="E329" s="42"/>
      <c r="F329" s="42"/>
      <c r="G329" s="41">
        <v>1003</v>
      </c>
      <c r="H329" s="42">
        <v>201</v>
      </c>
      <c r="I329" s="42">
        <v>85</v>
      </c>
      <c r="J329" s="42"/>
      <c r="K329" s="42"/>
    </row>
    <row r="330" spans="1:11" x14ac:dyDescent="0.35">
      <c r="A330" s="40" t="s">
        <v>884</v>
      </c>
      <c r="B330" s="42"/>
      <c r="C330" s="42"/>
      <c r="D330" s="42"/>
      <c r="E330" s="42"/>
      <c r="F330" s="42"/>
      <c r="G330" s="42">
        <v>165.24</v>
      </c>
      <c r="H330" s="42"/>
      <c r="I330" s="42"/>
      <c r="J330" s="42"/>
      <c r="K330" s="42"/>
    </row>
    <row r="331" spans="1:11" x14ac:dyDescent="0.35">
      <c r="A331" s="40" t="s">
        <v>919</v>
      </c>
      <c r="B331" s="42"/>
      <c r="C331" s="42"/>
      <c r="D331" s="42"/>
      <c r="E331" s="42"/>
      <c r="F331" s="42"/>
      <c r="G331" s="41">
        <v>1551</v>
      </c>
      <c r="H331" s="42">
        <v>66</v>
      </c>
      <c r="I331" s="42">
        <v>3</v>
      </c>
      <c r="J331" s="42"/>
      <c r="K331" s="42"/>
    </row>
    <row r="332" spans="1:11" x14ac:dyDescent="0.35">
      <c r="A332" s="40" t="s">
        <v>884</v>
      </c>
      <c r="B332" s="42"/>
      <c r="C332" s="42"/>
      <c r="D332" s="42"/>
      <c r="E332" s="42"/>
      <c r="F332" s="42"/>
      <c r="G332" s="42">
        <v>255.52</v>
      </c>
      <c r="H332" s="42"/>
      <c r="I332" s="42"/>
      <c r="J332" s="42"/>
      <c r="K332" s="42"/>
    </row>
    <row r="333" spans="1:11" x14ac:dyDescent="0.35">
      <c r="A333" s="40" t="s">
        <v>920</v>
      </c>
      <c r="B333" s="42">
        <v>12</v>
      </c>
      <c r="C333" s="42">
        <v>121</v>
      </c>
      <c r="D333" s="42">
        <v>-9</v>
      </c>
      <c r="E333" s="42">
        <v>21</v>
      </c>
      <c r="F333" s="42">
        <v>2</v>
      </c>
      <c r="G333" s="42">
        <v>195</v>
      </c>
      <c r="H333" s="42">
        <v>95</v>
      </c>
      <c r="I333" s="42">
        <v>96</v>
      </c>
      <c r="J333" s="42"/>
      <c r="K333" s="42"/>
    </row>
    <row r="334" spans="1:11" x14ac:dyDescent="0.35">
      <c r="A334" s="40" t="s">
        <v>884</v>
      </c>
      <c r="B334" s="42">
        <v>8.39</v>
      </c>
      <c r="C334" s="42">
        <v>16.13</v>
      </c>
      <c r="D334" s="42">
        <v>-34.619999999999997</v>
      </c>
      <c r="E334" s="42">
        <v>22.44</v>
      </c>
      <c r="F334" s="42">
        <v>6.25</v>
      </c>
      <c r="G334" s="42">
        <v>32.130000000000003</v>
      </c>
      <c r="H334" s="42"/>
      <c r="I334" s="42"/>
      <c r="J334" s="42"/>
      <c r="K334" s="42"/>
    </row>
    <row r="335" spans="1:11" x14ac:dyDescent="0.35">
      <c r="A335" s="40" t="s">
        <v>921</v>
      </c>
      <c r="B335" s="42">
        <v>3</v>
      </c>
      <c r="C335" s="42">
        <v>1</v>
      </c>
      <c r="D335" s="42">
        <v>-9</v>
      </c>
      <c r="E335" s="42">
        <v>21</v>
      </c>
      <c r="F335" s="42">
        <v>2</v>
      </c>
      <c r="G335" s="42"/>
      <c r="H335" s="42"/>
      <c r="I335" s="42"/>
      <c r="J335" s="42"/>
      <c r="K335" s="42"/>
    </row>
    <row r="336" spans="1:11" x14ac:dyDescent="0.35">
      <c r="A336" s="40" t="s">
        <v>884</v>
      </c>
      <c r="B336" s="42">
        <v>2.1</v>
      </c>
      <c r="C336" s="42">
        <v>0.13</v>
      </c>
      <c r="D336" s="42">
        <v>-34.619999999999997</v>
      </c>
      <c r="E336" s="42">
        <v>22.44</v>
      </c>
      <c r="F336" s="42">
        <v>6.25</v>
      </c>
      <c r="G336" s="42"/>
      <c r="H336" s="42"/>
      <c r="I336" s="42"/>
      <c r="J336" s="42"/>
      <c r="K336" s="42"/>
    </row>
    <row r="337" spans="1:11" x14ac:dyDescent="0.35">
      <c r="A337" s="40" t="s">
        <v>924</v>
      </c>
      <c r="B337" s="42"/>
      <c r="C337" s="42"/>
      <c r="D337" s="42"/>
      <c r="E337" s="42"/>
      <c r="F337" s="42"/>
      <c r="G337" s="42"/>
      <c r="H337" s="42"/>
      <c r="I337" s="42"/>
      <c r="J337" s="42"/>
      <c r="K337" s="42"/>
    </row>
    <row r="338" spans="1:11" x14ac:dyDescent="0.35">
      <c r="A338" s="40" t="s">
        <v>925</v>
      </c>
      <c r="B338" s="42"/>
      <c r="C338" s="42"/>
      <c r="D338" s="42"/>
      <c r="E338" s="42"/>
      <c r="F338" s="42"/>
      <c r="G338" s="42"/>
      <c r="H338" s="42"/>
      <c r="I338" s="42"/>
      <c r="J338" s="42"/>
      <c r="K338" s="42"/>
    </row>
    <row r="339" spans="1:11" x14ac:dyDescent="0.35">
      <c r="A339" s="40" t="s">
        <v>926</v>
      </c>
      <c r="B339" s="42">
        <v>42</v>
      </c>
      <c r="C339" s="42">
        <v>307</v>
      </c>
      <c r="D339" s="42">
        <v>20</v>
      </c>
      <c r="E339" s="42">
        <v>29</v>
      </c>
      <c r="F339" s="42">
        <v>26</v>
      </c>
      <c r="G339" s="42"/>
      <c r="H339" s="42"/>
      <c r="I339" s="42"/>
      <c r="J339" s="42"/>
      <c r="K339" s="42"/>
    </row>
    <row r="340" spans="1:11" x14ac:dyDescent="0.35">
      <c r="A340" s="40" t="s">
        <v>928</v>
      </c>
      <c r="B340" s="42">
        <v>18</v>
      </c>
      <c r="C340" s="42">
        <v>322</v>
      </c>
      <c r="D340" s="42">
        <v>15</v>
      </c>
      <c r="E340" s="42">
        <v>41</v>
      </c>
      <c r="F340" s="42">
        <v>4</v>
      </c>
      <c r="G340" s="41">
        <v>1222.33</v>
      </c>
      <c r="H340" s="42">
        <v>101</v>
      </c>
      <c r="I340" s="42">
        <v>6.34</v>
      </c>
      <c r="J340" s="42">
        <v>21</v>
      </c>
      <c r="K340" s="42">
        <v>10</v>
      </c>
    </row>
    <row r="341" spans="1:11" x14ac:dyDescent="0.35">
      <c r="A341" s="40" t="s">
        <v>936</v>
      </c>
      <c r="B341" s="42"/>
      <c r="C341" s="42"/>
      <c r="D341" s="42"/>
      <c r="E341" s="42"/>
      <c r="F341" s="42"/>
      <c r="G341" s="42"/>
      <c r="H341" s="42"/>
      <c r="I341" s="42"/>
      <c r="J341" s="42"/>
      <c r="K341" s="42"/>
    </row>
    <row r="342" spans="1:11" x14ac:dyDescent="0.35">
      <c r="A342" s="40" t="s">
        <v>1019</v>
      </c>
      <c r="B342" s="41">
        <v>1327</v>
      </c>
      <c r="C342" s="42"/>
      <c r="D342" s="42">
        <v>155</v>
      </c>
      <c r="E342" s="42"/>
      <c r="F342" s="42"/>
      <c r="G342" s="42"/>
      <c r="H342" s="42"/>
      <c r="I342" s="42"/>
      <c r="J342" s="42"/>
      <c r="K342" s="42"/>
    </row>
    <row r="343" spans="1:11" x14ac:dyDescent="0.35">
      <c r="A343" s="40" t="s">
        <v>920</v>
      </c>
      <c r="B343" s="42"/>
      <c r="C343" s="42"/>
      <c r="D343" s="42">
        <v>0</v>
      </c>
      <c r="E343" s="42">
        <v>0</v>
      </c>
      <c r="F343" s="42"/>
      <c r="G343" s="42"/>
      <c r="H343" s="42"/>
      <c r="I343" s="42"/>
      <c r="J343" s="42"/>
      <c r="K343" s="42"/>
    </row>
    <row r="344" spans="1:11" x14ac:dyDescent="0.35">
      <c r="A344" s="40" t="s">
        <v>884</v>
      </c>
      <c r="B344" s="42"/>
      <c r="C344" s="42"/>
      <c r="D344" s="42">
        <v>0</v>
      </c>
      <c r="E344" s="42"/>
      <c r="F344" s="42"/>
      <c r="G344" s="42"/>
      <c r="H344" s="42"/>
      <c r="I344" s="42"/>
      <c r="J344" s="42"/>
      <c r="K344" s="42"/>
    </row>
    <row r="345" spans="1:11" x14ac:dyDescent="0.35">
      <c r="A345" s="40" t="s">
        <v>921</v>
      </c>
      <c r="B345" s="42"/>
      <c r="C345" s="42"/>
      <c r="D345" s="42">
        <v>0</v>
      </c>
      <c r="E345" s="42">
        <v>0</v>
      </c>
      <c r="F345" s="42"/>
      <c r="G345" s="42"/>
      <c r="H345" s="42"/>
      <c r="I345" s="42"/>
      <c r="J345" s="42"/>
      <c r="K345" s="42"/>
    </row>
    <row r="346" spans="1:11" x14ac:dyDescent="0.35">
      <c r="A346" s="40" t="s">
        <v>884</v>
      </c>
      <c r="B346" s="42"/>
      <c r="C346" s="42"/>
      <c r="D346" s="42">
        <v>0</v>
      </c>
      <c r="E346" s="42"/>
      <c r="F346" s="42"/>
      <c r="G346" s="42"/>
      <c r="H346" s="42"/>
      <c r="I346" s="42"/>
      <c r="J346" s="42"/>
      <c r="K346" s="42"/>
    </row>
    <row r="347" spans="1:11" x14ac:dyDescent="0.35">
      <c r="A347" s="40" t="s">
        <v>924</v>
      </c>
      <c r="B347" s="42"/>
      <c r="C347" s="42"/>
      <c r="D347" s="42"/>
      <c r="E347" s="42"/>
      <c r="F347" s="42"/>
      <c r="G347" s="42"/>
      <c r="H347" s="42"/>
      <c r="I347" s="42"/>
      <c r="J347" s="42"/>
      <c r="K347" s="42"/>
    </row>
    <row r="348" spans="1:11" x14ac:dyDescent="0.35">
      <c r="A348" s="40" t="s">
        <v>926</v>
      </c>
      <c r="B348" s="42"/>
      <c r="C348" s="42"/>
      <c r="D348" s="42">
        <v>155</v>
      </c>
      <c r="E348" s="42">
        <v>124</v>
      </c>
      <c r="F348" s="42"/>
      <c r="G348" s="42"/>
      <c r="H348" s="42"/>
      <c r="I348" s="42"/>
      <c r="J348" s="42"/>
      <c r="K348" s="42"/>
    </row>
    <row r="349" spans="1:11" x14ac:dyDescent="0.35">
      <c r="A349" s="40" t="s">
        <v>928</v>
      </c>
      <c r="B349" s="42"/>
      <c r="C349" s="42"/>
      <c r="D349" s="42">
        <v>0</v>
      </c>
      <c r="E349" s="42">
        <v>0</v>
      </c>
      <c r="F349" s="42"/>
      <c r="G349" s="42"/>
      <c r="H349" s="42"/>
      <c r="I349" s="42"/>
      <c r="J349" s="42"/>
      <c r="K349" s="42"/>
    </row>
    <row r="350" spans="1:11" x14ac:dyDescent="0.35">
      <c r="A350" s="40" t="s">
        <v>936</v>
      </c>
      <c r="B350" s="42"/>
      <c r="C350" s="42"/>
      <c r="D350" s="42"/>
      <c r="E350" s="42"/>
      <c r="F350" s="42"/>
      <c r="G350" s="42"/>
      <c r="H350" s="42"/>
      <c r="I350" s="42"/>
      <c r="J350" s="42"/>
      <c r="K350" s="42"/>
    </row>
    <row r="351" spans="1:11" x14ac:dyDescent="0.35">
      <c r="A351" s="62" t="s">
        <v>1020</v>
      </c>
      <c r="B351" s="63">
        <v>330</v>
      </c>
      <c r="C351" s="64">
        <v>1398</v>
      </c>
      <c r="D351" s="64">
        <v>1347</v>
      </c>
      <c r="E351" s="64">
        <v>1359</v>
      </c>
      <c r="F351" s="64">
        <v>1582</v>
      </c>
      <c r="G351" s="64">
        <v>7193</v>
      </c>
      <c r="H351" s="64">
        <v>7985</v>
      </c>
      <c r="I351" s="64">
        <v>7037</v>
      </c>
      <c r="J351" s="64">
        <v>5767.88</v>
      </c>
      <c r="K351" s="64">
        <v>5324.91</v>
      </c>
    </row>
    <row r="352" spans="1:11" x14ac:dyDescent="0.35">
      <c r="A352" s="62" t="s">
        <v>882</v>
      </c>
      <c r="B352" s="63"/>
      <c r="C352" s="63"/>
      <c r="D352" s="63"/>
      <c r="E352" s="63"/>
      <c r="F352" s="63"/>
      <c r="G352" s="63">
        <v>540</v>
      </c>
      <c r="H352" s="63">
        <v>667</v>
      </c>
      <c r="I352" s="63">
        <v>702</v>
      </c>
      <c r="J352" s="243">
        <f>$J$351 * (J353/100)</f>
        <v>496.80673066666674</v>
      </c>
      <c r="K352" s="243">
        <f>K351 * (K353/100)</f>
        <v>478.23608366666662</v>
      </c>
    </row>
    <row r="353" spans="1:12" x14ac:dyDescent="0.35">
      <c r="A353" s="40" t="s">
        <v>884</v>
      </c>
      <c r="B353" s="42"/>
      <c r="C353" s="42"/>
      <c r="D353" s="42"/>
      <c r="E353" s="42"/>
      <c r="F353" s="42"/>
      <c r="G353" s="42">
        <v>7.51</v>
      </c>
      <c r="H353" s="42">
        <v>8.35</v>
      </c>
      <c r="I353" s="42">
        <v>9.98</v>
      </c>
      <c r="J353" s="242">
        <f>AVERAGE(G353:I353)</f>
        <v>8.6133333333333333</v>
      </c>
      <c r="K353" s="242">
        <f>AVERAGE(H353:J353)</f>
        <v>8.9811111111111099</v>
      </c>
    </row>
    <row r="354" spans="1:12" x14ac:dyDescent="0.35">
      <c r="A354" s="62" t="s">
        <v>914</v>
      </c>
      <c r="B354" s="63"/>
      <c r="C354" s="63"/>
      <c r="D354" s="63"/>
      <c r="E354" s="63"/>
      <c r="F354" s="63"/>
      <c r="G354" s="64">
        <v>4691</v>
      </c>
      <c r="H354" s="64">
        <v>4961</v>
      </c>
      <c r="I354" s="64">
        <v>4172</v>
      </c>
      <c r="J354" s="243">
        <f>$J$351 * (J355/100)</f>
        <v>3588.3904106666664</v>
      </c>
      <c r="K354" s="243">
        <f>$K$351 * (K355/100)</f>
        <v>3259.436576666666</v>
      </c>
    </row>
    <row r="355" spans="1:12" x14ac:dyDescent="0.35">
      <c r="A355" s="40" t="s">
        <v>884</v>
      </c>
      <c r="B355" s="42"/>
      <c r="C355" s="42"/>
      <c r="D355" s="42"/>
      <c r="E355" s="42"/>
      <c r="F355" s="42"/>
      <c r="G355" s="42">
        <v>65.22</v>
      </c>
      <c r="H355" s="42">
        <v>62.13</v>
      </c>
      <c r="I355" s="42">
        <v>59.29</v>
      </c>
      <c r="J355" s="242">
        <f>AVERAGE(G355:I355)</f>
        <v>62.213333333333331</v>
      </c>
      <c r="K355" s="242">
        <f>AVERAGE(H355:J355)</f>
        <v>61.211111111111109</v>
      </c>
    </row>
    <row r="356" spans="1:12" x14ac:dyDescent="0.35">
      <c r="A356" s="62" t="s">
        <v>919</v>
      </c>
      <c r="B356" s="63"/>
      <c r="C356" s="63"/>
      <c r="D356" s="63"/>
      <c r="E356" s="63"/>
      <c r="F356" s="63"/>
      <c r="G356" s="64">
        <v>1764</v>
      </c>
      <c r="H356" s="64">
        <v>2063</v>
      </c>
      <c r="I356" s="64">
        <v>1831</v>
      </c>
      <c r="J356" s="243">
        <f>$J$351 * (J357/100)</f>
        <v>1468.502248</v>
      </c>
      <c r="K356" s="243">
        <f>$K$351 * (K357/100)</f>
        <v>1372.406804</v>
      </c>
    </row>
    <row r="357" spans="1:12" x14ac:dyDescent="0.35">
      <c r="A357" s="40" t="s">
        <v>884</v>
      </c>
      <c r="B357" s="42"/>
      <c r="C357" s="42"/>
      <c r="D357" s="42"/>
      <c r="E357" s="42"/>
      <c r="F357" s="42"/>
      <c r="G357" s="42">
        <v>24.52</v>
      </c>
      <c r="H357" s="42">
        <v>25.84</v>
      </c>
      <c r="I357" s="42">
        <v>26.02</v>
      </c>
      <c r="J357" s="242">
        <f>AVERAGE(G357:I357)</f>
        <v>25.459999999999997</v>
      </c>
      <c r="K357" s="242">
        <f>AVERAGE(H357:J357)</f>
        <v>25.77333333333333</v>
      </c>
    </row>
    <row r="358" spans="1:12" x14ac:dyDescent="0.35">
      <c r="A358" s="40" t="s">
        <v>920</v>
      </c>
      <c r="B358" s="42">
        <v>68</v>
      </c>
      <c r="C358" s="42">
        <v>96</v>
      </c>
      <c r="D358" s="42">
        <v>69</v>
      </c>
      <c r="E358" s="42">
        <v>86</v>
      </c>
      <c r="F358" s="42">
        <v>123</v>
      </c>
      <c r="G358" s="42">
        <v>232</v>
      </c>
      <c r="H358" s="42">
        <v>294</v>
      </c>
      <c r="I358" s="42">
        <v>332</v>
      </c>
      <c r="J358" s="243">
        <f>$J$351 * (J359/100)</f>
        <v>223.60148133333334</v>
      </c>
      <c r="K358" s="243">
        <f>$K$351 * (K359/100)</f>
        <v>217.90715033333333</v>
      </c>
      <c r="L358" s="125"/>
    </row>
    <row r="359" spans="1:12" x14ac:dyDescent="0.35">
      <c r="A359" s="40" t="s">
        <v>884</v>
      </c>
      <c r="B359" s="42">
        <v>20.61</v>
      </c>
      <c r="C359" s="42">
        <v>6.87</v>
      </c>
      <c r="D359" s="42">
        <v>5.12</v>
      </c>
      <c r="E359" s="42">
        <v>6.33</v>
      </c>
      <c r="F359" s="42">
        <v>7.77</v>
      </c>
      <c r="G359" s="42">
        <v>3.23</v>
      </c>
      <c r="H359" s="42">
        <v>3.68</v>
      </c>
      <c r="I359" s="42">
        <v>4.72</v>
      </c>
      <c r="J359" s="242">
        <f>AVERAGE(G359:I359)</f>
        <v>3.8766666666666665</v>
      </c>
      <c r="K359" s="242">
        <f>AVERAGE(H359:J359)</f>
        <v>4.0922222222222224</v>
      </c>
    </row>
    <row r="360" spans="1:12" x14ac:dyDescent="0.35">
      <c r="A360" s="40" t="s">
        <v>921</v>
      </c>
      <c r="B360" s="42">
        <v>5</v>
      </c>
      <c r="C360" s="42">
        <v>2</v>
      </c>
      <c r="D360" s="42">
        <v>0</v>
      </c>
      <c r="E360" s="42"/>
      <c r="F360" s="42"/>
      <c r="G360" s="42"/>
      <c r="H360" s="42"/>
      <c r="I360" s="42"/>
      <c r="J360" s="42"/>
      <c r="K360" s="42"/>
    </row>
    <row r="361" spans="1:12" x14ac:dyDescent="0.35">
      <c r="A361" s="40" t="s">
        <v>884</v>
      </c>
      <c r="B361" s="42">
        <v>1.52</v>
      </c>
      <c r="C361" s="42">
        <v>0.14000000000000001</v>
      </c>
      <c r="D361" s="42">
        <v>0</v>
      </c>
      <c r="E361" s="42"/>
      <c r="F361" s="42"/>
      <c r="G361" s="42"/>
      <c r="H361" s="42"/>
      <c r="I361" s="42"/>
      <c r="J361" s="42"/>
      <c r="K361" s="42"/>
    </row>
    <row r="362" spans="1:12" x14ac:dyDescent="0.35">
      <c r="A362" s="40" t="s">
        <v>924</v>
      </c>
      <c r="B362" s="42"/>
      <c r="C362" s="42"/>
      <c r="D362" s="42"/>
      <c r="E362" s="42"/>
      <c r="F362" s="42"/>
      <c r="G362" s="42"/>
      <c r="H362" s="42"/>
      <c r="I362" s="42"/>
      <c r="J362" s="42"/>
      <c r="K362" s="42"/>
    </row>
    <row r="363" spans="1:12" x14ac:dyDescent="0.35">
      <c r="A363" s="40" t="s">
        <v>925</v>
      </c>
      <c r="B363" s="42"/>
      <c r="C363" s="42"/>
      <c r="D363" s="42"/>
      <c r="E363" s="42"/>
      <c r="F363" s="42"/>
      <c r="G363" s="42"/>
      <c r="H363" s="42"/>
      <c r="I363" s="42"/>
      <c r="J363" s="42"/>
      <c r="K363" s="42"/>
    </row>
    <row r="364" spans="1:12" x14ac:dyDescent="0.35">
      <c r="A364" s="40" t="s">
        <v>926</v>
      </c>
      <c r="B364" s="42">
        <v>222</v>
      </c>
      <c r="C364" s="42">
        <v>315</v>
      </c>
      <c r="D364" s="42">
        <v>328</v>
      </c>
      <c r="E364" s="42">
        <v>374</v>
      </c>
      <c r="F364" s="42">
        <v>394</v>
      </c>
      <c r="G364" s="42">
        <v>388.67</v>
      </c>
      <c r="H364" s="42">
        <v>224.5</v>
      </c>
      <c r="I364" s="42">
        <v>400</v>
      </c>
      <c r="J364" s="42"/>
      <c r="K364" s="42"/>
    </row>
    <row r="365" spans="1:12" x14ac:dyDescent="0.35">
      <c r="A365" s="40" t="s">
        <v>928</v>
      </c>
      <c r="B365" s="42">
        <v>35</v>
      </c>
      <c r="C365" s="42">
        <v>985</v>
      </c>
      <c r="D365" s="42">
        <v>950</v>
      </c>
      <c r="E365" s="42">
        <v>899</v>
      </c>
      <c r="F365" s="41">
        <v>1065</v>
      </c>
      <c r="G365" s="41">
        <v>3285.67</v>
      </c>
      <c r="H365" s="41">
        <v>7849.26</v>
      </c>
      <c r="I365" s="41">
        <v>7008.42</v>
      </c>
      <c r="J365" s="41">
        <v>5833.24</v>
      </c>
      <c r="K365" s="41">
        <v>5624.11</v>
      </c>
    </row>
    <row r="366" spans="1:12" x14ac:dyDescent="0.35">
      <c r="A366" s="40" t="s">
        <v>936</v>
      </c>
      <c r="B366" s="42"/>
      <c r="C366" s="42"/>
      <c r="D366" s="42"/>
      <c r="E366" s="42"/>
      <c r="F366" s="42"/>
      <c r="G366" s="42"/>
      <c r="H366" s="42"/>
      <c r="I366" s="42"/>
      <c r="J366" s="42"/>
      <c r="K366" s="42"/>
    </row>
    <row r="367" spans="1:12" x14ac:dyDescent="0.35">
      <c r="A367" s="40" t="s">
        <v>1021</v>
      </c>
      <c r="B367" s="42"/>
      <c r="C367" s="42"/>
      <c r="D367" s="42"/>
      <c r="E367" s="42"/>
      <c r="F367" s="42"/>
      <c r="G367" s="42"/>
      <c r="H367" s="42"/>
      <c r="I367" s="42"/>
      <c r="J367" s="42"/>
      <c r="K367" s="42"/>
    </row>
    <row r="368" spans="1:12" x14ac:dyDescent="0.35">
      <c r="A368" s="62" t="s">
        <v>882</v>
      </c>
      <c r="B368" s="63"/>
      <c r="C368" s="63"/>
      <c r="D368" s="63"/>
      <c r="E368" s="63"/>
      <c r="F368" s="63"/>
      <c r="G368" s="64">
        <v>2416</v>
      </c>
      <c r="H368" s="64">
        <v>2373</v>
      </c>
      <c r="I368" s="64">
        <v>1139</v>
      </c>
      <c r="J368" s="63">
        <v>785.33</v>
      </c>
      <c r="K368" s="63">
        <v>600.80999999999995</v>
      </c>
    </row>
    <row r="369" spans="1:11" x14ac:dyDescent="0.35">
      <c r="A369" s="40" t="s">
        <v>884</v>
      </c>
      <c r="B369" s="42"/>
      <c r="C369" s="42"/>
      <c r="D369" s="42"/>
      <c r="E369" s="42"/>
      <c r="F369" s="42"/>
      <c r="G369" s="42"/>
      <c r="H369" s="42"/>
      <c r="I369" s="42"/>
      <c r="J369" s="42"/>
      <c r="K369" s="42"/>
    </row>
    <row r="370" spans="1:11" x14ac:dyDescent="0.35">
      <c r="A370" s="40" t="s">
        <v>914</v>
      </c>
      <c r="B370" s="42"/>
      <c r="C370" s="42"/>
      <c r="D370" s="42"/>
      <c r="E370" s="42"/>
      <c r="F370" s="42"/>
      <c r="G370" s="42"/>
      <c r="H370" s="42"/>
      <c r="I370" s="42"/>
      <c r="J370" s="42"/>
      <c r="K370" s="42"/>
    </row>
    <row r="371" spans="1:11" x14ac:dyDescent="0.35">
      <c r="A371" s="40" t="s">
        <v>884</v>
      </c>
      <c r="B371" s="42"/>
      <c r="C371" s="42"/>
      <c r="D371" s="42"/>
      <c r="E371" s="42"/>
      <c r="F371" s="42"/>
      <c r="G371" s="42"/>
      <c r="H371" s="42"/>
      <c r="I371" s="42"/>
      <c r="J371" s="42"/>
      <c r="K371" s="42"/>
    </row>
    <row r="372" spans="1:11" x14ac:dyDescent="0.35">
      <c r="A372" s="40" t="s">
        <v>919</v>
      </c>
      <c r="B372" s="42"/>
      <c r="C372" s="42"/>
      <c r="D372" s="42"/>
      <c r="E372" s="42"/>
      <c r="F372" s="42"/>
      <c r="G372" s="42"/>
      <c r="H372" s="42"/>
      <c r="I372" s="42"/>
      <c r="J372" s="42"/>
      <c r="K372" s="42"/>
    </row>
    <row r="373" spans="1:11" x14ac:dyDescent="0.35">
      <c r="A373" s="40" t="s">
        <v>884</v>
      </c>
      <c r="B373" s="42"/>
      <c r="C373" s="42"/>
      <c r="D373" s="42"/>
      <c r="E373" s="42"/>
      <c r="F373" s="42"/>
      <c r="G373" s="42"/>
      <c r="H373" s="42"/>
      <c r="I373" s="42"/>
      <c r="J373" s="42"/>
      <c r="K373" s="42"/>
    </row>
    <row r="374" spans="1:11" x14ac:dyDescent="0.35">
      <c r="A374" s="40" t="s">
        <v>920</v>
      </c>
      <c r="B374" s="42">
        <v>0</v>
      </c>
      <c r="C374" s="42"/>
      <c r="D374" s="42"/>
      <c r="E374" s="42"/>
      <c r="F374" s="42"/>
      <c r="G374" s="42"/>
      <c r="H374" s="42"/>
      <c r="I374" s="42"/>
      <c r="J374" s="42"/>
      <c r="K374" s="42"/>
    </row>
    <row r="375" spans="1:11" x14ac:dyDescent="0.35">
      <c r="A375" s="40" t="s">
        <v>884</v>
      </c>
      <c r="B375" s="42"/>
      <c r="C375" s="42"/>
      <c r="D375" s="42"/>
      <c r="E375" s="42"/>
      <c r="F375" s="42"/>
      <c r="G375" s="42"/>
      <c r="H375" s="42"/>
      <c r="I375" s="42"/>
      <c r="J375" s="42"/>
      <c r="K375" s="42"/>
    </row>
    <row r="376" spans="1:11" x14ac:dyDescent="0.35">
      <c r="A376" s="40" t="s">
        <v>921</v>
      </c>
      <c r="B376" s="42">
        <v>8</v>
      </c>
      <c r="C376" s="42">
        <v>2</v>
      </c>
      <c r="D376" s="42">
        <v>2</v>
      </c>
      <c r="E376" s="42">
        <v>2</v>
      </c>
      <c r="F376" s="42">
        <v>2</v>
      </c>
      <c r="G376" s="42"/>
      <c r="H376" s="42"/>
      <c r="I376" s="42"/>
      <c r="J376" s="42"/>
      <c r="K376" s="42"/>
    </row>
    <row r="377" spans="1:11" x14ac:dyDescent="0.35">
      <c r="A377" s="40" t="s">
        <v>884</v>
      </c>
      <c r="B377" s="42"/>
      <c r="C377" s="42"/>
      <c r="D377" s="42"/>
      <c r="E377" s="42"/>
      <c r="F377" s="42"/>
      <c r="G377" s="42"/>
      <c r="H377" s="42"/>
      <c r="I377" s="42"/>
      <c r="J377" s="42"/>
      <c r="K377" s="42"/>
    </row>
    <row r="378" spans="1:11" x14ac:dyDescent="0.35">
      <c r="A378" s="40" t="s">
        <v>924</v>
      </c>
      <c r="B378" s="42"/>
      <c r="C378" s="42"/>
      <c r="D378" s="42"/>
      <c r="E378" s="42"/>
      <c r="F378" s="42"/>
      <c r="G378" s="42"/>
      <c r="H378" s="42"/>
      <c r="I378" s="42"/>
      <c r="J378" s="42"/>
      <c r="K378" s="42"/>
    </row>
    <row r="379" spans="1:11" x14ac:dyDescent="0.35">
      <c r="A379" s="40" t="s">
        <v>926</v>
      </c>
      <c r="B379" s="41">
        <v>1126</v>
      </c>
      <c r="C379" s="41">
        <v>1584</v>
      </c>
      <c r="D379" s="41">
        <v>1303</v>
      </c>
      <c r="E379" s="41">
        <v>1307</v>
      </c>
      <c r="F379" s="41">
        <v>1934</v>
      </c>
      <c r="G379" s="42"/>
      <c r="H379" s="42"/>
      <c r="I379" s="42"/>
      <c r="J379" s="42"/>
      <c r="K379" s="42"/>
    </row>
    <row r="380" spans="1:11" x14ac:dyDescent="0.35">
      <c r="A380" s="40" t="s">
        <v>928</v>
      </c>
      <c r="B380" s="42">
        <v>776</v>
      </c>
      <c r="C380" s="41">
        <v>1702</v>
      </c>
      <c r="D380" s="41">
        <v>1548</v>
      </c>
      <c r="E380" s="41">
        <v>1647</v>
      </c>
      <c r="F380" s="41">
        <v>1565</v>
      </c>
      <c r="G380" s="42"/>
      <c r="H380" s="42"/>
      <c r="I380" s="42"/>
      <c r="J380" s="42"/>
      <c r="K380" s="42"/>
    </row>
    <row r="381" spans="1:11" x14ac:dyDescent="0.35">
      <c r="A381" s="40" t="s">
        <v>936</v>
      </c>
      <c r="B381" s="42"/>
      <c r="C381" s="42"/>
      <c r="D381" s="42"/>
      <c r="E381" s="42"/>
      <c r="F381" s="42"/>
      <c r="G381" s="42"/>
      <c r="H381" s="42"/>
      <c r="I381" s="42"/>
      <c r="J381" s="42"/>
      <c r="K381" s="42"/>
    </row>
    <row r="382" spans="1:11" x14ac:dyDescent="0.35">
      <c r="A382" s="40" t="s">
        <v>1022</v>
      </c>
      <c r="B382" s="42"/>
      <c r="C382" s="42"/>
      <c r="D382" s="42"/>
      <c r="E382" s="42"/>
      <c r="F382" s="42"/>
      <c r="G382" s="42"/>
      <c r="H382" s="42"/>
      <c r="I382" s="42"/>
      <c r="J382" s="42"/>
      <c r="K382" s="42"/>
    </row>
    <row r="383" spans="1:11" x14ac:dyDescent="0.35">
      <c r="A383" s="40" t="s">
        <v>914</v>
      </c>
      <c r="B383" s="42"/>
      <c r="C383" s="42"/>
      <c r="D383" s="42"/>
      <c r="E383" s="42"/>
      <c r="F383" s="42"/>
      <c r="G383" s="42">
        <v>-28</v>
      </c>
      <c r="H383" s="42">
        <v>-5.25</v>
      </c>
      <c r="I383" s="42"/>
      <c r="J383" s="42">
        <v>-130</v>
      </c>
      <c r="K383" s="42">
        <v>10</v>
      </c>
    </row>
    <row r="384" spans="1:11" x14ac:dyDescent="0.35">
      <c r="A384" s="40" t="s">
        <v>884</v>
      </c>
      <c r="B384" s="42"/>
      <c r="C384" s="42"/>
      <c r="D384" s="42"/>
      <c r="E384" s="42"/>
      <c r="F384" s="42"/>
      <c r="G384" s="42"/>
      <c r="H384" s="42"/>
      <c r="I384" s="42"/>
      <c r="J384" s="42"/>
      <c r="K384" s="42"/>
    </row>
    <row r="385" spans="1:11" x14ac:dyDescent="0.35">
      <c r="A385" s="40" t="s">
        <v>919</v>
      </c>
      <c r="B385" s="42"/>
      <c r="C385" s="42"/>
      <c r="D385" s="42"/>
      <c r="E385" s="42"/>
      <c r="F385" s="42"/>
      <c r="G385" s="42"/>
      <c r="H385" s="42">
        <v>10</v>
      </c>
      <c r="I385" s="42">
        <v>13.5</v>
      </c>
      <c r="J385" s="42">
        <v>3</v>
      </c>
      <c r="K385" s="42">
        <v>0</v>
      </c>
    </row>
    <row r="386" spans="1:11" x14ac:dyDescent="0.35">
      <c r="A386" s="40" t="s">
        <v>884</v>
      </c>
      <c r="B386" s="42"/>
      <c r="C386" s="42"/>
      <c r="D386" s="42"/>
      <c r="E386" s="42"/>
      <c r="F386" s="42"/>
      <c r="G386" s="42"/>
      <c r="H386" s="42"/>
      <c r="I386" s="42"/>
      <c r="J386" s="42"/>
      <c r="K386" s="42"/>
    </row>
    <row r="387" spans="1:11" x14ac:dyDescent="0.35">
      <c r="A387" s="40" t="s">
        <v>920</v>
      </c>
      <c r="B387" s="42"/>
      <c r="C387" s="42"/>
      <c r="D387" s="42"/>
      <c r="E387" s="42"/>
      <c r="F387" s="42"/>
      <c r="G387" s="41">
        <v>-3631</v>
      </c>
      <c r="H387" s="41">
        <v>2269</v>
      </c>
      <c r="I387" s="41">
        <v>-2782</v>
      </c>
      <c r="J387" s="41">
        <v>-3958.19</v>
      </c>
      <c r="K387" s="41">
        <v>-3601.83</v>
      </c>
    </row>
    <row r="388" spans="1:11" x14ac:dyDescent="0.35">
      <c r="A388" s="40" t="s">
        <v>884</v>
      </c>
      <c r="B388" s="42"/>
      <c r="C388" s="42"/>
      <c r="D388" s="42"/>
      <c r="E388" s="42"/>
      <c r="F388" s="42"/>
      <c r="G388" s="42"/>
      <c r="H388" s="42"/>
      <c r="I388" s="42"/>
      <c r="J388" s="42"/>
      <c r="K388" s="42"/>
    </row>
    <row r="389" spans="1:11" x14ac:dyDescent="0.35">
      <c r="A389" s="40" t="s">
        <v>936</v>
      </c>
      <c r="B389" s="42"/>
      <c r="C389" s="42"/>
      <c r="D389" s="42"/>
      <c r="E389" s="42"/>
      <c r="F389" s="42"/>
      <c r="G389" s="42"/>
      <c r="H389" s="42"/>
      <c r="I389" s="42"/>
      <c r="J389" s="42"/>
      <c r="K389" s="42"/>
    </row>
    <row r="390" spans="1:11" x14ac:dyDescent="0.35">
      <c r="A390" s="62" t="s">
        <v>1023</v>
      </c>
      <c r="B390" s="63">
        <v>135</v>
      </c>
      <c r="C390" s="63">
        <v>147</v>
      </c>
      <c r="D390" s="63">
        <v>289</v>
      </c>
      <c r="E390" s="63">
        <v>402</v>
      </c>
      <c r="F390" s="63">
        <v>373</v>
      </c>
      <c r="G390" s="63">
        <v>987</v>
      </c>
      <c r="H390" s="64">
        <v>1316</v>
      </c>
      <c r="I390" s="63">
        <v>948</v>
      </c>
      <c r="J390" s="63"/>
      <c r="K390" s="63"/>
    </row>
    <row r="391" spans="1:11" x14ac:dyDescent="0.35">
      <c r="A391" s="40" t="s">
        <v>920</v>
      </c>
      <c r="B391" s="42"/>
      <c r="C391" s="42"/>
      <c r="D391" s="42"/>
      <c r="E391" s="42"/>
      <c r="F391" s="42"/>
      <c r="G391" s="42"/>
      <c r="H391" s="42"/>
      <c r="I391" s="42"/>
      <c r="J391" s="42"/>
      <c r="K391" s="42"/>
    </row>
    <row r="392" spans="1:11" x14ac:dyDescent="0.35">
      <c r="A392" s="40" t="s">
        <v>884</v>
      </c>
      <c r="B392" s="42"/>
      <c r="C392" s="42"/>
      <c r="D392" s="42"/>
      <c r="E392" s="42"/>
      <c r="F392" s="42"/>
      <c r="G392" s="42"/>
      <c r="H392" s="42"/>
      <c r="I392" s="42"/>
      <c r="J392" s="42"/>
      <c r="K392" s="42"/>
    </row>
    <row r="393" spans="1:11" x14ac:dyDescent="0.35">
      <c r="A393" s="40" t="s">
        <v>921</v>
      </c>
      <c r="B393" s="42"/>
      <c r="C393" s="42"/>
      <c r="D393" s="42"/>
      <c r="E393" s="42"/>
      <c r="F393" s="42"/>
      <c r="G393" s="42"/>
      <c r="H393" s="42"/>
      <c r="I393" s="42"/>
      <c r="J393" s="42"/>
      <c r="K393" s="42"/>
    </row>
    <row r="394" spans="1:11" x14ac:dyDescent="0.35">
      <c r="A394" s="40" t="s">
        <v>884</v>
      </c>
      <c r="B394" s="42"/>
      <c r="C394" s="42"/>
      <c r="D394" s="42"/>
      <c r="E394" s="42"/>
      <c r="F394" s="42"/>
      <c r="G394" s="42"/>
      <c r="H394" s="42"/>
      <c r="I394" s="42"/>
      <c r="J394" s="42"/>
      <c r="K394" s="42"/>
    </row>
    <row r="395" spans="1:11" x14ac:dyDescent="0.35">
      <c r="A395" s="40" t="s">
        <v>924</v>
      </c>
      <c r="B395" s="42"/>
      <c r="C395" s="42"/>
      <c r="D395" s="42"/>
      <c r="E395" s="42"/>
      <c r="F395" s="42"/>
      <c r="G395" s="42"/>
      <c r="H395" s="42"/>
      <c r="I395" s="42"/>
      <c r="J395" s="42"/>
      <c r="K395" s="42"/>
    </row>
    <row r="396" spans="1:11" x14ac:dyDescent="0.35">
      <c r="A396" s="40" t="s">
        <v>925</v>
      </c>
      <c r="B396" s="42"/>
      <c r="C396" s="42"/>
      <c r="D396" s="42"/>
      <c r="E396" s="42"/>
      <c r="F396" s="42"/>
      <c r="G396" s="42"/>
      <c r="H396" s="42"/>
      <c r="I396" s="42"/>
      <c r="J396" s="42"/>
      <c r="K396" s="42"/>
    </row>
    <row r="397" spans="1:11" x14ac:dyDescent="0.35">
      <c r="A397" s="40" t="s">
        <v>926</v>
      </c>
      <c r="B397" s="42"/>
      <c r="C397" s="42"/>
      <c r="D397" s="42"/>
      <c r="E397" s="42"/>
      <c r="F397" s="42"/>
      <c r="G397" s="42"/>
      <c r="H397" s="42"/>
      <c r="I397" s="42"/>
      <c r="J397" s="42"/>
      <c r="K397" s="42"/>
    </row>
    <row r="398" spans="1:11" x14ac:dyDescent="0.35">
      <c r="A398" s="40" t="s">
        <v>928</v>
      </c>
      <c r="B398" s="42"/>
      <c r="C398" s="42"/>
      <c r="D398" s="42"/>
      <c r="E398" s="42"/>
      <c r="F398" s="42"/>
      <c r="G398" s="42"/>
      <c r="H398" s="42"/>
      <c r="I398" s="42"/>
      <c r="J398" s="42"/>
      <c r="K398" s="42"/>
    </row>
    <row r="399" spans="1:11" x14ac:dyDescent="0.35">
      <c r="A399" s="40" t="s">
        <v>936</v>
      </c>
      <c r="B399" s="42"/>
      <c r="C399" s="42"/>
      <c r="D399" s="42"/>
      <c r="E399" s="42"/>
      <c r="F399" s="42"/>
      <c r="G399" s="42"/>
      <c r="H399" s="42"/>
      <c r="I399" s="42"/>
      <c r="J399" s="42"/>
      <c r="K399" s="42"/>
    </row>
    <row r="400" spans="1:11" x14ac:dyDescent="0.35">
      <c r="A400" s="40" t="s">
        <v>1024</v>
      </c>
      <c r="B400" s="42"/>
      <c r="C400" s="42"/>
      <c r="D400" s="42"/>
      <c r="E400" s="42"/>
      <c r="F400" s="42"/>
      <c r="G400" s="42"/>
      <c r="H400" s="42"/>
      <c r="I400" s="42"/>
      <c r="J400" s="42"/>
      <c r="K400" s="42"/>
    </row>
    <row r="401" spans="1:11" x14ac:dyDescent="0.35">
      <c r="A401" s="40" t="s">
        <v>920</v>
      </c>
      <c r="B401" s="42"/>
      <c r="C401" s="42"/>
      <c r="D401" s="42"/>
      <c r="E401" s="42"/>
      <c r="F401" s="42">
        <v>-617</v>
      </c>
      <c r="G401" s="42"/>
      <c r="H401" s="42"/>
      <c r="I401" s="42"/>
      <c r="J401" s="42"/>
      <c r="K401" s="42"/>
    </row>
    <row r="402" spans="1:11" x14ac:dyDescent="0.35">
      <c r="A402" s="40" t="s">
        <v>884</v>
      </c>
      <c r="B402" s="42"/>
      <c r="C402" s="42"/>
      <c r="D402" s="42"/>
      <c r="E402" s="42"/>
      <c r="F402" s="42"/>
      <c r="G402" s="42"/>
      <c r="H402" s="42"/>
      <c r="I402" s="42"/>
      <c r="J402" s="42"/>
      <c r="K402" s="42"/>
    </row>
    <row r="403" spans="1:11" x14ac:dyDescent="0.35">
      <c r="A403" s="40" t="s">
        <v>924</v>
      </c>
      <c r="B403" s="42"/>
      <c r="C403" s="42"/>
      <c r="D403" s="42"/>
      <c r="E403" s="42"/>
      <c r="F403" s="42"/>
      <c r="G403" s="42"/>
      <c r="H403" s="42"/>
      <c r="I403" s="42"/>
      <c r="J403" s="42"/>
      <c r="K403" s="42"/>
    </row>
    <row r="404" spans="1:11" x14ac:dyDescent="0.35">
      <c r="A404" s="40" t="s">
        <v>926</v>
      </c>
      <c r="B404" s="42"/>
      <c r="C404" s="42"/>
      <c r="D404" s="42"/>
      <c r="E404" s="42"/>
      <c r="F404" s="42">
        <v>494</v>
      </c>
      <c r="G404" s="42"/>
      <c r="H404" s="42"/>
      <c r="I404" s="42"/>
      <c r="J404" s="42"/>
      <c r="K404" s="42"/>
    </row>
    <row r="405" spans="1:11" x14ac:dyDescent="0.35">
      <c r="A405" s="40" t="s">
        <v>928</v>
      </c>
      <c r="B405" s="42"/>
      <c r="C405" s="42"/>
      <c r="D405" s="42"/>
      <c r="E405" s="42"/>
      <c r="F405" s="41">
        <v>3940</v>
      </c>
      <c r="G405" s="42"/>
      <c r="H405" s="42"/>
      <c r="I405" s="42"/>
      <c r="J405" s="42"/>
      <c r="K405" s="42"/>
    </row>
    <row r="406" spans="1:11" x14ac:dyDescent="0.35">
      <c r="A406" s="40" t="s">
        <v>936</v>
      </c>
      <c r="B406" s="42"/>
      <c r="C406" s="42"/>
      <c r="D406" s="42"/>
      <c r="E406" s="42"/>
      <c r="F406" s="42"/>
      <c r="G406" s="42"/>
      <c r="H406" s="42"/>
      <c r="I406" s="42"/>
      <c r="J406" s="42"/>
      <c r="K406" s="42"/>
    </row>
    <row r="407" spans="1:11" x14ac:dyDescent="0.35">
      <c r="A407" s="62" t="s">
        <v>1025</v>
      </c>
      <c r="B407" s="64">
        <v>2531</v>
      </c>
      <c r="C407" s="64">
        <v>4188</v>
      </c>
      <c r="D407" s="64">
        <v>4671</v>
      </c>
      <c r="E407" s="64">
        <v>4196</v>
      </c>
      <c r="F407" s="64">
        <v>3817</v>
      </c>
      <c r="G407" s="64">
        <v>7718</v>
      </c>
      <c r="H407" s="64">
        <v>10200</v>
      </c>
      <c r="I407" s="64">
        <v>9032</v>
      </c>
      <c r="J407" s="64">
        <v>8667.77</v>
      </c>
      <c r="K407" s="64">
        <v>8718.66</v>
      </c>
    </row>
    <row r="408" spans="1:11" x14ac:dyDescent="0.35">
      <c r="A408" s="62" t="s">
        <v>882</v>
      </c>
      <c r="B408" s="63"/>
      <c r="C408" s="63"/>
      <c r="D408" s="63"/>
      <c r="E408" s="63"/>
      <c r="F408" s="63"/>
      <c r="G408" s="64">
        <v>1772</v>
      </c>
      <c r="H408" s="64">
        <v>2183</v>
      </c>
      <c r="I408" s="64">
        <v>1652</v>
      </c>
      <c r="J408" s="63"/>
      <c r="K408" s="63"/>
    </row>
    <row r="409" spans="1:11" x14ac:dyDescent="0.35">
      <c r="A409" s="40" t="s">
        <v>884</v>
      </c>
      <c r="B409" s="42"/>
      <c r="C409" s="42"/>
      <c r="D409" s="42"/>
      <c r="E409" s="42"/>
      <c r="F409" s="42"/>
      <c r="G409" s="42">
        <v>22.96</v>
      </c>
      <c r="H409" s="42">
        <v>21.4</v>
      </c>
      <c r="I409" s="42">
        <v>18.29</v>
      </c>
      <c r="J409" s="42"/>
      <c r="K409" s="42"/>
    </row>
    <row r="410" spans="1:11" x14ac:dyDescent="0.35">
      <c r="A410" s="62" t="s">
        <v>914</v>
      </c>
      <c r="B410" s="63"/>
      <c r="C410" s="63"/>
      <c r="D410" s="63"/>
      <c r="E410" s="63"/>
      <c r="F410" s="63"/>
      <c r="G410" s="64">
        <v>8725</v>
      </c>
      <c r="H410" s="64">
        <v>9063</v>
      </c>
      <c r="I410" s="64">
        <v>8149</v>
      </c>
      <c r="J410" s="63"/>
      <c r="K410" s="63"/>
    </row>
    <row r="411" spans="1:11" x14ac:dyDescent="0.35">
      <c r="A411" s="40" t="s">
        <v>884</v>
      </c>
      <c r="B411" s="42"/>
      <c r="C411" s="42"/>
      <c r="D411" s="42"/>
      <c r="E411" s="42"/>
      <c r="F411" s="42"/>
      <c r="G411" s="42">
        <v>113.05</v>
      </c>
      <c r="H411" s="42">
        <v>88.85</v>
      </c>
      <c r="I411" s="42">
        <v>90.22</v>
      </c>
      <c r="J411" s="42"/>
      <c r="K411" s="42"/>
    </row>
    <row r="412" spans="1:11" x14ac:dyDescent="0.35">
      <c r="A412" s="62" t="s">
        <v>919</v>
      </c>
      <c r="B412" s="63"/>
      <c r="C412" s="63"/>
      <c r="D412" s="63"/>
      <c r="E412" s="63"/>
      <c r="F412" s="63"/>
      <c r="G412" s="64">
        <v>-1596</v>
      </c>
      <c r="H412" s="63">
        <v>103</v>
      </c>
      <c r="I412" s="63">
        <v>677</v>
      </c>
      <c r="J412" s="63"/>
      <c r="K412" s="63"/>
    </row>
    <row r="413" spans="1:11" x14ac:dyDescent="0.35">
      <c r="A413" s="40" t="s">
        <v>884</v>
      </c>
      <c r="B413" s="42"/>
      <c r="C413" s="42"/>
      <c r="D413" s="42"/>
      <c r="E413" s="42"/>
      <c r="F413" s="42"/>
      <c r="G413" s="42">
        <v>-20.68</v>
      </c>
      <c r="H413" s="42">
        <v>1.01</v>
      </c>
      <c r="I413" s="42">
        <v>7.5</v>
      </c>
      <c r="J413" s="42"/>
      <c r="K413" s="42"/>
    </row>
    <row r="414" spans="1:11" x14ac:dyDescent="0.35">
      <c r="A414" s="40" t="s">
        <v>920</v>
      </c>
      <c r="B414" s="42">
        <v>-360</v>
      </c>
      <c r="C414" s="42">
        <v>-392</v>
      </c>
      <c r="D414" s="42">
        <v>-503</v>
      </c>
      <c r="E414" s="42">
        <v>-502</v>
      </c>
      <c r="F414" s="42">
        <v>-617</v>
      </c>
      <c r="G414" s="41">
        <v>-1200</v>
      </c>
      <c r="H414" s="41">
        <v>-1242</v>
      </c>
      <c r="I414" s="41">
        <v>-1260</v>
      </c>
      <c r="J414" s="41">
        <v>-1107.28</v>
      </c>
      <c r="K414" s="42">
        <v>-803.06</v>
      </c>
    </row>
    <row r="415" spans="1:11" x14ac:dyDescent="0.35">
      <c r="A415" s="40" t="s">
        <v>884</v>
      </c>
      <c r="B415" s="42">
        <v>-14.22</v>
      </c>
      <c r="C415" s="42">
        <v>-9.36</v>
      </c>
      <c r="D415" s="42">
        <v>-10.77</v>
      </c>
      <c r="E415" s="42">
        <v>-11.96</v>
      </c>
      <c r="F415" s="42">
        <v>-16.16</v>
      </c>
      <c r="G415" s="42">
        <v>-15.55</v>
      </c>
      <c r="H415" s="42">
        <v>-12.18</v>
      </c>
      <c r="I415" s="42">
        <v>-13.95</v>
      </c>
      <c r="J415" s="42">
        <v>-12.77</v>
      </c>
      <c r="K415" s="42">
        <v>-9.2100000000000009</v>
      </c>
    </row>
    <row r="416" spans="1:11" x14ac:dyDescent="0.35">
      <c r="A416" s="40" t="s">
        <v>921</v>
      </c>
      <c r="B416" s="42">
        <v>6</v>
      </c>
      <c r="C416" s="42">
        <v>3</v>
      </c>
      <c r="D416" s="42">
        <v>4</v>
      </c>
      <c r="E416" s="42"/>
      <c r="F416" s="42"/>
      <c r="G416" s="42"/>
      <c r="H416" s="42"/>
      <c r="I416" s="42"/>
      <c r="J416" s="42"/>
      <c r="K416" s="42"/>
    </row>
    <row r="417" spans="1:11" x14ac:dyDescent="0.35">
      <c r="A417" s="40" t="s">
        <v>884</v>
      </c>
      <c r="B417" s="42">
        <v>0.24</v>
      </c>
      <c r="C417" s="42">
        <v>7.0000000000000007E-2</v>
      </c>
      <c r="D417" s="42">
        <v>0.09</v>
      </c>
      <c r="E417" s="42"/>
      <c r="F417" s="42"/>
      <c r="G417" s="42"/>
      <c r="H417" s="42"/>
      <c r="I417" s="42"/>
      <c r="J417" s="42"/>
      <c r="K417" s="42"/>
    </row>
    <row r="418" spans="1:11" x14ac:dyDescent="0.35">
      <c r="A418" s="40" t="s">
        <v>924</v>
      </c>
      <c r="B418" s="42"/>
      <c r="C418" s="42"/>
      <c r="D418" s="42"/>
      <c r="E418" s="42"/>
      <c r="F418" s="42"/>
      <c r="G418" s="42"/>
      <c r="H418" s="42"/>
      <c r="I418" s="42"/>
      <c r="J418" s="42"/>
      <c r="K418" s="42"/>
    </row>
    <row r="419" spans="1:11" x14ac:dyDescent="0.35">
      <c r="A419" s="40" t="s">
        <v>925</v>
      </c>
      <c r="B419" s="42"/>
      <c r="C419" s="42"/>
      <c r="D419" s="42"/>
      <c r="E419" s="42"/>
      <c r="F419" s="42"/>
      <c r="G419" s="42"/>
      <c r="H419" s="42"/>
      <c r="I419" s="42"/>
      <c r="J419" s="42"/>
      <c r="K419" s="42"/>
    </row>
    <row r="420" spans="1:11" x14ac:dyDescent="0.35">
      <c r="A420" s="40" t="s">
        <v>926</v>
      </c>
      <c r="B420" s="42">
        <v>859</v>
      </c>
      <c r="C420" s="41">
        <v>1077</v>
      </c>
      <c r="D420" s="41">
        <v>1057</v>
      </c>
      <c r="E420" s="42">
        <v>723</v>
      </c>
      <c r="F420" s="42">
        <v>494</v>
      </c>
      <c r="G420" s="42">
        <v>628.52</v>
      </c>
      <c r="H420" s="42">
        <v>564.41999999999996</v>
      </c>
      <c r="I420" s="42">
        <v>275.83</v>
      </c>
      <c r="J420" s="42"/>
      <c r="K420" s="42"/>
    </row>
    <row r="421" spans="1:11" x14ac:dyDescent="0.35">
      <c r="A421" s="40" t="s">
        <v>928</v>
      </c>
      <c r="B421" s="41">
        <v>2026</v>
      </c>
      <c r="C421" s="41">
        <v>3500</v>
      </c>
      <c r="D421" s="41">
        <v>4117</v>
      </c>
      <c r="E421" s="41">
        <v>3975</v>
      </c>
      <c r="F421" s="41">
        <v>3940</v>
      </c>
      <c r="G421" s="41">
        <v>4150.6899999999996</v>
      </c>
      <c r="H421" s="41">
        <v>4703.13</v>
      </c>
      <c r="I421" s="41">
        <v>1464.62</v>
      </c>
      <c r="J421" s="41">
        <v>2480.75</v>
      </c>
      <c r="K421" s="41">
        <v>2514.7399999999998</v>
      </c>
    </row>
    <row r="422" spans="1:11" x14ac:dyDescent="0.35">
      <c r="A422" s="40" t="s">
        <v>936</v>
      </c>
      <c r="B422" s="42"/>
      <c r="C422" s="42"/>
      <c r="D422" s="42"/>
      <c r="E422" s="42"/>
      <c r="F422" s="42"/>
      <c r="G422" s="42"/>
      <c r="H422" s="42"/>
      <c r="I422" s="42"/>
      <c r="J422" s="42"/>
      <c r="K422" s="42"/>
    </row>
    <row r="423" spans="1:11" x14ac:dyDescent="0.35">
      <c r="A423" s="40" t="s">
        <v>1026</v>
      </c>
      <c r="B423" s="42">
        <v>69</v>
      </c>
      <c r="C423" s="42">
        <v>64</v>
      </c>
      <c r="D423" s="42">
        <v>12</v>
      </c>
      <c r="E423" s="42">
        <v>-10</v>
      </c>
      <c r="F423" s="42">
        <v>-9</v>
      </c>
      <c r="G423" s="42"/>
      <c r="H423" s="42"/>
      <c r="I423" s="42"/>
      <c r="J423" s="42"/>
      <c r="K423" s="42"/>
    </row>
    <row r="424" spans="1:11" x14ac:dyDescent="0.35">
      <c r="A424" s="40" t="s">
        <v>921</v>
      </c>
      <c r="B424" s="42">
        <v>0</v>
      </c>
      <c r="C424" s="42"/>
      <c r="D424" s="42"/>
      <c r="E424" s="42"/>
      <c r="F424" s="42"/>
      <c r="G424" s="42"/>
      <c r="H424" s="42"/>
      <c r="I424" s="42"/>
      <c r="J424" s="42"/>
      <c r="K424" s="42"/>
    </row>
    <row r="425" spans="1:11" x14ac:dyDescent="0.35">
      <c r="A425" s="40" t="s">
        <v>884</v>
      </c>
      <c r="B425" s="42">
        <v>0</v>
      </c>
      <c r="C425" s="42"/>
      <c r="D425" s="42"/>
      <c r="E425" s="42"/>
      <c r="F425" s="42"/>
      <c r="G425" s="42"/>
      <c r="H425" s="42"/>
      <c r="I425" s="42"/>
      <c r="J425" s="42"/>
      <c r="K425" s="42"/>
    </row>
    <row r="426" spans="1:11" x14ac:dyDescent="0.35">
      <c r="A426" s="40" t="s">
        <v>924</v>
      </c>
      <c r="B426" s="42"/>
      <c r="C426" s="42"/>
      <c r="D426" s="42"/>
      <c r="E426" s="42"/>
      <c r="F426" s="42"/>
      <c r="G426" s="42"/>
      <c r="H426" s="42"/>
      <c r="I426" s="42"/>
      <c r="J426" s="42"/>
      <c r="K426" s="42"/>
    </row>
    <row r="427" spans="1:11" x14ac:dyDescent="0.35">
      <c r="A427" s="40" t="s">
        <v>925</v>
      </c>
      <c r="B427" s="42"/>
      <c r="C427" s="42"/>
      <c r="D427" s="42"/>
      <c r="E427" s="42"/>
      <c r="F427" s="42"/>
      <c r="G427" s="42"/>
      <c r="H427" s="42"/>
      <c r="I427" s="42"/>
      <c r="J427" s="42"/>
      <c r="K427" s="42"/>
    </row>
    <row r="428" spans="1:11" x14ac:dyDescent="0.35">
      <c r="A428" s="40" t="s">
        <v>926</v>
      </c>
      <c r="B428" s="42">
        <v>26</v>
      </c>
      <c r="C428" s="42"/>
      <c r="D428" s="42"/>
      <c r="E428" s="42"/>
      <c r="F428" s="42"/>
      <c r="G428" s="42"/>
      <c r="H428" s="42"/>
      <c r="I428" s="42"/>
      <c r="J428" s="42"/>
      <c r="K428" s="42"/>
    </row>
    <row r="429" spans="1:11" x14ac:dyDescent="0.35">
      <c r="A429" s="40" t="s">
        <v>928</v>
      </c>
      <c r="B429" s="42">
        <v>59</v>
      </c>
      <c r="C429" s="42"/>
      <c r="D429" s="42"/>
      <c r="E429" s="42"/>
      <c r="F429" s="42"/>
      <c r="G429" s="42"/>
      <c r="H429" s="42"/>
      <c r="I429" s="42"/>
      <c r="J429" s="42"/>
      <c r="K429" s="42"/>
    </row>
    <row r="430" spans="1:11" ht="18" thickBot="1" x14ac:dyDescent="0.4">
      <c r="A430" s="40" t="s">
        <v>936</v>
      </c>
      <c r="B430" s="42"/>
      <c r="C430" s="42"/>
      <c r="D430" s="42"/>
      <c r="E430" s="42"/>
      <c r="F430" s="42"/>
      <c r="G430" s="42"/>
      <c r="H430" s="42"/>
      <c r="I430" s="42"/>
      <c r="J430" s="42"/>
      <c r="K430" s="42"/>
    </row>
    <row r="431" spans="1:11" x14ac:dyDescent="0.35">
      <c r="A431" s="369" t="s">
        <v>1027</v>
      </c>
      <c r="B431" s="370">
        <v>7073</v>
      </c>
      <c r="C431" s="370">
        <v>13006</v>
      </c>
      <c r="D431" s="370">
        <v>13050</v>
      </c>
      <c r="E431" s="370">
        <v>13070</v>
      </c>
      <c r="F431" s="370">
        <v>12912</v>
      </c>
      <c r="G431" s="370">
        <v>34438</v>
      </c>
      <c r="H431" s="370">
        <v>34969</v>
      </c>
      <c r="I431" s="370">
        <v>25667</v>
      </c>
      <c r="J431" s="370">
        <v>25892.959999999999</v>
      </c>
      <c r="K431" s="371">
        <v>25820.26</v>
      </c>
    </row>
    <row r="432" spans="1:11" x14ac:dyDescent="0.35">
      <c r="A432" s="372" t="s">
        <v>882</v>
      </c>
      <c r="B432" s="63"/>
      <c r="C432" s="63"/>
      <c r="D432" s="63"/>
      <c r="E432" s="63"/>
      <c r="F432" s="63"/>
      <c r="G432" s="64">
        <v>8963</v>
      </c>
      <c r="H432" s="64">
        <v>9272</v>
      </c>
      <c r="I432" s="64">
        <v>9197</v>
      </c>
      <c r="J432" s="63"/>
      <c r="K432" s="373"/>
    </row>
    <row r="433" spans="1:11" x14ac:dyDescent="0.35">
      <c r="A433" s="363" t="s">
        <v>884</v>
      </c>
      <c r="B433" s="42"/>
      <c r="C433" s="42"/>
      <c r="D433" s="42"/>
      <c r="E433" s="42"/>
      <c r="F433" s="42"/>
      <c r="G433" s="42">
        <v>26.03</v>
      </c>
      <c r="H433" s="42">
        <v>26.51</v>
      </c>
      <c r="I433" s="42">
        <v>35.83</v>
      </c>
      <c r="J433" s="42"/>
      <c r="K433" s="364"/>
    </row>
    <row r="434" spans="1:11" x14ac:dyDescent="0.35">
      <c r="A434" s="372" t="s">
        <v>914</v>
      </c>
      <c r="B434" s="63"/>
      <c r="C434" s="63"/>
      <c r="D434" s="63"/>
      <c r="E434" s="63"/>
      <c r="F434" s="63"/>
      <c r="G434" s="64">
        <v>17557</v>
      </c>
      <c r="H434" s="64">
        <v>17630</v>
      </c>
      <c r="I434" s="64">
        <v>8419</v>
      </c>
      <c r="J434" s="63"/>
      <c r="K434" s="373"/>
    </row>
    <row r="435" spans="1:11" x14ac:dyDescent="0.35">
      <c r="A435" s="363" t="s">
        <v>884</v>
      </c>
      <c r="B435" s="42"/>
      <c r="C435" s="42"/>
      <c r="D435" s="42"/>
      <c r="E435" s="42"/>
      <c r="F435" s="42"/>
      <c r="G435" s="42">
        <v>50.98</v>
      </c>
      <c r="H435" s="42">
        <v>50.42</v>
      </c>
      <c r="I435" s="42">
        <v>32.799999999999997</v>
      </c>
      <c r="J435" s="42"/>
      <c r="K435" s="364"/>
    </row>
    <row r="436" spans="1:11" x14ac:dyDescent="0.35">
      <c r="A436" s="372" t="s">
        <v>919</v>
      </c>
      <c r="B436" s="63"/>
      <c r="C436" s="63"/>
      <c r="D436" s="63"/>
      <c r="E436" s="63"/>
      <c r="F436" s="63"/>
      <c r="G436" s="64">
        <v>7918</v>
      </c>
      <c r="H436" s="64">
        <v>8067</v>
      </c>
      <c r="I436" s="64">
        <v>8051</v>
      </c>
      <c r="J436" s="63"/>
      <c r="K436" s="373"/>
    </row>
    <row r="437" spans="1:11" x14ac:dyDescent="0.35">
      <c r="A437" s="363" t="s">
        <v>884</v>
      </c>
      <c r="B437" s="42"/>
      <c r="C437" s="42"/>
      <c r="D437" s="42"/>
      <c r="E437" s="42"/>
      <c r="F437" s="42"/>
      <c r="G437" s="42">
        <v>22.99</v>
      </c>
      <c r="H437" s="42">
        <v>23.07</v>
      </c>
      <c r="I437" s="42">
        <v>31.37</v>
      </c>
      <c r="J437" s="42"/>
      <c r="K437" s="364"/>
    </row>
    <row r="438" spans="1:11" x14ac:dyDescent="0.35">
      <c r="A438" s="363" t="s">
        <v>921</v>
      </c>
      <c r="B438" s="42">
        <v>40</v>
      </c>
      <c r="C438" s="42">
        <v>0</v>
      </c>
      <c r="D438" s="42">
        <v>0</v>
      </c>
      <c r="E438" s="42"/>
      <c r="F438" s="42"/>
      <c r="G438" s="42"/>
      <c r="H438" s="42"/>
      <c r="I438" s="42"/>
      <c r="J438" s="42"/>
      <c r="K438" s="364"/>
    </row>
    <row r="439" spans="1:11" x14ac:dyDescent="0.35">
      <c r="A439" s="363" t="s">
        <v>884</v>
      </c>
      <c r="B439" s="42">
        <v>0.56999999999999995</v>
      </c>
      <c r="C439" s="42">
        <v>0</v>
      </c>
      <c r="D439" s="42">
        <v>0</v>
      </c>
      <c r="E439" s="42"/>
      <c r="F439" s="42"/>
      <c r="G439" s="42"/>
      <c r="H439" s="42"/>
      <c r="I439" s="42"/>
      <c r="J439" s="42"/>
      <c r="K439" s="364"/>
    </row>
    <row r="440" spans="1:11" x14ac:dyDescent="0.35">
      <c r="A440" s="363" t="s">
        <v>924</v>
      </c>
      <c r="B440" s="42"/>
      <c r="C440" s="42"/>
      <c r="D440" s="42"/>
      <c r="E440" s="42"/>
      <c r="F440" s="42"/>
      <c r="G440" s="42"/>
      <c r="H440" s="42"/>
      <c r="I440" s="42"/>
      <c r="J440" s="42"/>
      <c r="K440" s="364"/>
    </row>
    <row r="441" spans="1:11" x14ac:dyDescent="0.35">
      <c r="A441" s="363" t="s">
        <v>925</v>
      </c>
      <c r="B441" s="42"/>
      <c r="C441" s="42"/>
      <c r="D441" s="42"/>
      <c r="E441" s="42"/>
      <c r="F441" s="42"/>
      <c r="G441" s="42"/>
      <c r="H441" s="42"/>
      <c r="I441" s="42"/>
      <c r="J441" s="42"/>
      <c r="K441" s="364"/>
    </row>
    <row r="442" spans="1:11" x14ac:dyDescent="0.35">
      <c r="A442" s="363" t="s">
        <v>926</v>
      </c>
      <c r="B442" s="41">
        <v>1555</v>
      </c>
      <c r="C442" s="41">
        <v>2221</v>
      </c>
      <c r="D442" s="41">
        <v>2237</v>
      </c>
      <c r="E442" s="41">
        <v>2257</v>
      </c>
      <c r="F442" s="41">
        <v>2099</v>
      </c>
      <c r="G442" s="42"/>
      <c r="H442" s="42"/>
      <c r="I442" s="42"/>
      <c r="J442" s="42"/>
      <c r="K442" s="364"/>
    </row>
    <row r="443" spans="1:11" ht="18" thickBot="1" x14ac:dyDescent="0.4">
      <c r="A443" s="365" t="s">
        <v>928</v>
      </c>
      <c r="B443" s="366">
        <v>5478</v>
      </c>
      <c r="C443" s="366">
        <v>10785</v>
      </c>
      <c r="D443" s="366">
        <v>10813</v>
      </c>
      <c r="E443" s="366">
        <v>10813</v>
      </c>
      <c r="F443" s="366">
        <v>10813</v>
      </c>
      <c r="G443" s="367"/>
      <c r="H443" s="367"/>
      <c r="I443" s="367"/>
      <c r="J443" s="367"/>
      <c r="K443" s="368"/>
    </row>
    <row r="444" spans="1:11" x14ac:dyDescent="0.35">
      <c r="A444" s="40" t="s">
        <v>936</v>
      </c>
      <c r="B444" s="42"/>
      <c r="C444" s="42"/>
      <c r="D444" s="42"/>
      <c r="E444" s="42"/>
      <c r="F444" s="42"/>
      <c r="G444" s="42"/>
      <c r="H444" s="42"/>
      <c r="I444" s="42"/>
      <c r="J444" s="42"/>
      <c r="K444" s="42"/>
    </row>
    <row r="445" spans="1:11" x14ac:dyDescent="0.35">
      <c r="A445" s="40" t="s">
        <v>1028</v>
      </c>
      <c r="B445" s="41">
        <v>22555</v>
      </c>
      <c r="C445" s="41">
        <v>32550</v>
      </c>
      <c r="D445" s="41">
        <v>33735</v>
      </c>
      <c r="E445" s="41">
        <v>34087</v>
      </c>
      <c r="F445" s="41">
        <v>34427</v>
      </c>
      <c r="G445" s="41">
        <v>134001</v>
      </c>
      <c r="H445" s="41">
        <v>122757</v>
      </c>
      <c r="I445" s="41">
        <v>104560</v>
      </c>
      <c r="J445" s="41">
        <v>100512.42</v>
      </c>
      <c r="K445" s="41">
        <v>98388.79</v>
      </c>
    </row>
    <row r="446" spans="1:11" x14ac:dyDescent="0.35">
      <c r="A446" s="40" t="s">
        <v>920</v>
      </c>
      <c r="B446" s="41">
        <v>12847</v>
      </c>
      <c r="C446" s="41">
        <v>6432</v>
      </c>
      <c r="D446" s="41">
        <v>7230</v>
      </c>
      <c r="E446" s="42"/>
      <c r="F446" s="42"/>
      <c r="G446" s="42"/>
      <c r="H446" s="42"/>
      <c r="I446" s="42"/>
      <c r="J446" s="42"/>
      <c r="K446" s="42"/>
    </row>
    <row r="447" spans="1:11" x14ac:dyDescent="0.35">
      <c r="A447" s="40" t="s">
        <v>884</v>
      </c>
      <c r="B447" s="42">
        <v>56.96</v>
      </c>
      <c r="C447" s="42">
        <v>19.760000000000002</v>
      </c>
      <c r="D447" s="42">
        <v>21.43</v>
      </c>
      <c r="E447" s="42"/>
      <c r="F447" s="42"/>
      <c r="G447" s="42"/>
      <c r="H447" s="42"/>
      <c r="I447" s="42"/>
      <c r="J447" s="42"/>
      <c r="K447" s="42"/>
    </row>
    <row r="448" spans="1:11" x14ac:dyDescent="0.35">
      <c r="A448" s="40" t="s">
        <v>921</v>
      </c>
      <c r="B448" s="42">
        <v>394</v>
      </c>
      <c r="C448" s="42">
        <v>227</v>
      </c>
      <c r="D448" s="42">
        <v>204</v>
      </c>
      <c r="E448" s="42"/>
      <c r="F448" s="42"/>
      <c r="G448" s="42"/>
      <c r="H448" s="42"/>
      <c r="I448" s="42"/>
      <c r="J448" s="42"/>
      <c r="K448" s="42"/>
    </row>
    <row r="449" spans="1:11" x14ac:dyDescent="0.35">
      <c r="A449" s="40" t="s">
        <v>884</v>
      </c>
      <c r="B449" s="42">
        <v>1.75</v>
      </c>
      <c r="C449" s="42">
        <v>0.7</v>
      </c>
      <c r="D449" s="42">
        <v>0.6</v>
      </c>
      <c r="E449" s="42"/>
      <c r="F449" s="42"/>
      <c r="G449" s="42"/>
      <c r="H449" s="42"/>
      <c r="I449" s="42"/>
      <c r="J449" s="42"/>
      <c r="K449" s="42"/>
    </row>
    <row r="450" spans="1:11" x14ac:dyDescent="0.35">
      <c r="A450" s="40" t="s">
        <v>924</v>
      </c>
      <c r="B450" s="42"/>
      <c r="C450" s="42"/>
      <c r="D450" s="42"/>
      <c r="E450" s="42"/>
      <c r="F450" s="42"/>
      <c r="G450" s="42"/>
      <c r="H450" s="42"/>
      <c r="I450" s="42"/>
      <c r="J450" s="42"/>
      <c r="K450" s="42"/>
    </row>
    <row r="451" spans="1:11" x14ac:dyDescent="0.35">
      <c r="A451" s="40" t="s">
        <v>925</v>
      </c>
      <c r="B451" s="42"/>
      <c r="C451" s="42"/>
      <c r="D451" s="42"/>
      <c r="E451" s="42"/>
      <c r="F451" s="42"/>
      <c r="G451" s="42"/>
      <c r="H451" s="42"/>
      <c r="I451" s="42"/>
      <c r="J451" s="42"/>
      <c r="K451" s="42"/>
    </row>
    <row r="452" spans="1:11" x14ac:dyDescent="0.35">
      <c r="A452" s="40" t="s">
        <v>926</v>
      </c>
      <c r="B452" s="41">
        <v>5187</v>
      </c>
      <c r="C452" s="41">
        <v>7208</v>
      </c>
      <c r="D452" s="41">
        <v>8145</v>
      </c>
      <c r="E452" s="42"/>
      <c r="F452" s="42"/>
      <c r="G452" s="42"/>
      <c r="H452" s="42"/>
      <c r="I452" s="42"/>
      <c r="J452" s="42"/>
      <c r="K452" s="42"/>
    </row>
    <row r="453" spans="1:11" x14ac:dyDescent="0.35">
      <c r="A453" s="40" t="s">
        <v>928</v>
      </c>
      <c r="B453" s="41">
        <v>4127</v>
      </c>
      <c r="C453" s="41">
        <v>18683</v>
      </c>
      <c r="D453" s="41">
        <v>18156</v>
      </c>
      <c r="E453" s="42"/>
      <c r="F453" s="42"/>
      <c r="G453" s="42"/>
      <c r="H453" s="42"/>
      <c r="I453" s="42"/>
      <c r="J453" s="42"/>
      <c r="K453" s="42"/>
    </row>
    <row r="454" spans="1:11" x14ac:dyDescent="0.35">
      <c r="A454" s="43" t="s">
        <v>139</v>
      </c>
      <c r="B454" s="43"/>
      <c r="C454" s="43"/>
      <c r="D454" s="43"/>
      <c r="E454" s="43"/>
      <c r="F454" s="43"/>
      <c r="G454" s="43"/>
      <c r="H454" s="43"/>
      <c r="I454" s="43"/>
      <c r="J454" s="43"/>
      <c r="K454" s="43"/>
    </row>
  </sheetData>
  <mergeCells count="3">
    <mergeCell ref="O7:Q7"/>
    <mergeCell ref="R7:S7"/>
    <mergeCell ref="T7:AA7"/>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FB4A22-D5F1-F44C-A388-91E5332E1936}">
  <sheetPr>
    <tabColor rgb="FF00B050"/>
  </sheetPr>
  <dimension ref="A2:Z164"/>
  <sheetViews>
    <sheetView workbookViewId="0">
      <selection activeCell="Y30" sqref="Y30"/>
    </sheetView>
  </sheetViews>
  <sheetFormatPr defaultColWidth="15.44140625" defaultRowHeight="17.399999999999999" outlineLevelCol="1" x14ac:dyDescent="0.35"/>
  <cols>
    <col min="1" max="1" width="2.109375" style="68" bestFit="1" customWidth="1"/>
    <col min="2" max="2" width="33.88671875" style="2" bestFit="1" customWidth="1"/>
    <col min="3" max="8" width="15.44140625" style="2" hidden="1" customWidth="1" outlineLevel="1"/>
    <col min="9" max="11" width="15.44140625" style="2" outlineLevel="1"/>
    <col min="12" max="21" width="15.44140625" style="2"/>
    <col min="22" max="22" width="20.33203125" style="2" bestFit="1" customWidth="1"/>
    <col min="23" max="23" width="21.33203125" style="2" customWidth="1"/>
    <col min="24" max="16384" width="15.44140625" style="2"/>
  </cols>
  <sheetData>
    <row r="2" spans="1:26" s="67" customFormat="1" x14ac:dyDescent="0.35">
      <c r="A2" s="65"/>
      <c r="B2" s="66"/>
    </row>
    <row r="4" spans="1:26" x14ac:dyDescent="0.35">
      <c r="A4" s="68" t="s">
        <v>1029</v>
      </c>
      <c r="B4" s="2" t="s">
        <v>1030</v>
      </c>
      <c r="L4" s="204" t="e" vm="1">
        <v>#VALUE!</v>
      </c>
    </row>
    <row r="5" spans="1:26" x14ac:dyDescent="0.35">
      <c r="B5" s="2" t="s">
        <v>1031</v>
      </c>
      <c r="L5" s="69">
        <v>46001</v>
      </c>
    </row>
    <row r="6" spans="1:26" x14ac:dyDescent="0.35">
      <c r="B6" s="2" t="s">
        <v>1032</v>
      </c>
      <c r="L6" s="69">
        <v>46022</v>
      </c>
    </row>
    <row r="8" spans="1:26" x14ac:dyDescent="0.35">
      <c r="A8" s="68" t="s">
        <v>1029</v>
      </c>
      <c r="B8" s="70" t="s">
        <v>1033</v>
      </c>
      <c r="C8" s="71"/>
      <c r="D8" s="71"/>
      <c r="E8" s="71"/>
      <c r="F8" s="71"/>
      <c r="G8" s="71"/>
      <c r="H8" s="71"/>
      <c r="I8" s="71"/>
      <c r="J8" s="71"/>
      <c r="K8" s="71"/>
      <c r="L8" s="71"/>
      <c r="M8" s="71"/>
      <c r="N8" s="71"/>
      <c r="O8" s="71"/>
      <c r="P8" s="71"/>
      <c r="Q8" s="71"/>
      <c r="V8" s="2" t="s">
        <v>1034</v>
      </c>
      <c r="W8" s="130" t="e" vm="1">
        <v>#VALUE!</v>
      </c>
    </row>
    <row r="9" spans="1:26" x14ac:dyDescent="0.35">
      <c r="V9" s="2" t="s">
        <v>1035</v>
      </c>
      <c r="W9" s="2" t="e" vm="2">
        <v>#VALUE!</v>
      </c>
      <c r="Z9" s="86"/>
    </row>
    <row r="10" spans="1:26" x14ac:dyDescent="0.35">
      <c r="B10" s="2" t="s">
        <v>1036</v>
      </c>
      <c r="L10" s="72">
        <f ca="1">W34</f>
        <v>0.10839122024378989</v>
      </c>
      <c r="Z10" s="126"/>
    </row>
    <row r="11" spans="1:26" x14ac:dyDescent="0.35">
      <c r="B11" s="2" t="s">
        <v>1037</v>
      </c>
      <c r="L11" s="73">
        <f>W20</f>
        <v>0.02</v>
      </c>
      <c r="V11" s="131" t="s">
        <v>1038</v>
      </c>
      <c r="W11" s="132" cm="1">
        <f t="array" aca="1" ref="W11" ca="1">_FV(W8,"Price")</f>
        <v>28.58</v>
      </c>
      <c r="X11" s="133"/>
      <c r="Z11" s="127"/>
    </row>
    <row r="12" spans="1:26" x14ac:dyDescent="0.35">
      <c r="V12" s="134" t="s">
        <v>287</v>
      </c>
      <c r="W12" s="135" cm="1">
        <f t="array" aca="1" ref="W12" ca="1">_FV(W8,"Shares outstanding",TRUE)/10^6</f>
        <v>2478.3989999999999</v>
      </c>
      <c r="X12" s="133"/>
      <c r="Z12" s="127"/>
    </row>
    <row r="13" spans="1:26" x14ac:dyDescent="0.35">
      <c r="A13" s="68" t="s">
        <v>1029</v>
      </c>
      <c r="B13" s="70" t="s">
        <v>1039</v>
      </c>
      <c r="C13" s="71"/>
      <c r="D13" s="71"/>
      <c r="E13" s="71"/>
      <c r="F13" s="71"/>
      <c r="G13" s="71"/>
      <c r="H13" s="71"/>
      <c r="I13" s="71"/>
      <c r="J13" s="71"/>
      <c r="K13" s="71"/>
      <c r="L13" s="264"/>
      <c r="M13" s="71"/>
      <c r="N13" s="71"/>
      <c r="O13" s="71"/>
      <c r="P13" s="71"/>
      <c r="Q13" s="71"/>
      <c r="V13" s="134" t="s">
        <v>1040</v>
      </c>
      <c r="W13" s="136" cm="1">
        <f t="array" aca="1" ref="W13" ca="1">_FV(W8,"Beta")</f>
        <v>1.6515</v>
      </c>
      <c r="X13" s="133"/>
      <c r="Z13" s="128"/>
    </row>
    <row r="14" spans="1:26" x14ac:dyDescent="0.35">
      <c r="L14" s="172"/>
      <c r="V14" s="134" t="s">
        <v>1041</v>
      </c>
      <c r="W14" s="137">
        <f ca="1">W11*W12</f>
        <v>70832.643419999993</v>
      </c>
      <c r="X14" s="133"/>
      <c r="Z14" s="127"/>
    </row>
    <row r="15" spans="1:26" x14ac:dyDescent="0.35">
      <c r="A15" s="68" t="s">
        <v>1029</v>
      </c>
      <c r="B15" s="74" t="s">
        <v>23</v>
      </c>
      <c r="C15" s="75">
        <v>2015</v>
      </c>
      <c r="D15" s="75">
        <f t="shared" ref="D15:H15" si="0">C15+1</f>
        <v>2016</v>
      </c>
      <c r="E15" s="75">
        <f t="shared" si="0"/>
        <v>2017</v>
      </c>
      <c r="F15" s="75">
        <f t="shared" si="0"/>
        <v>2018</v>
      </c>
      <c r="G15" s="75">
        <f t="shared" si="0"/>
        <v>2019</v>
      </c>
      <c r="H15" s="75">
        <f t="shared" si="0"/>
        <v>2020</v>
      </c>
      <c r="I15" s="75">
        <v>2022</v>
      </c>
      <c r="J15" s="75">
        <f t="shared" ref="J15" si="1">I15+1</f>
        <v>2023</v>
      </c>
      <c r="K15" s="75">
        <f t="shared" ref="K15" si="2">J15+1</f>
        <v>2024</v>
      </c>
      <c r="L15" s="265">
        <f>K15+1</f>
        <v>2025</v>
      </c>
      <c r="M15" s="76">
        <f>L15+1</f>
        <v>2026</v>
      </c>
      <c r="N15" s="76">
        <f t="shared" ref="N15" si="3">M15+1</f>
        <v>2027</v>
      </c>
      <c r="O15" s="76">
        <f t="shared" ref="O15" si="4">N15+1</f>
        <v>2028</v>
      </c>
      <c r="P15" s="76">
        <f t="shared" ref="P15" si="5">O15+1</f>
        <v>2029</v>
      </c>
      <c r="Q15" s="76">
        <f t="shared" ref="Q15" si="6">P15+1</f>
        <v>2030</v>
      </c>
      <c r="V15" s="134" t="s">
        <v>481</v>
      </c>
      <c r="W15" s="155">
        <f>SUMPRODUCT('WBD DDIS'!G2:G66,'WBD DDIS'!M2:M66)/10^8</f>
        <v>15472.296775093799</v>
      </c>
      <c r="X15" s="133"/>
    </row>
    <row r="16" spans="1:26" x14ac:dyDescent="0.35">
      <c r="L16" s="172"/>
      <c r="V16" s="138" t="s">
        <v>301</v>
      </c>
      <c r="W16" s="139">
        <f>W15-'WBD Balance Sheet'!K7</f>
        <v>10160.296775093799</v>
      </c>
      <c r="X16" s="133"/>
      <c r="Z16" s="129"/>
    </row>
    <row r="17" spans="1:26" x14ac:dyDescent="0.35">
      <c r="B17" s="2" t="s">
        <v>1042</v>
      </c>
      <c r="C17" s="77">
        <f>[2]Segments!C6</f>
        <v>63708</v>
      </c>
      <c r="D17" s="78">
        <f>[2]Segments!D6</f>
        <v>79785</v>
      </c>
      <c r="E17" s="78">
        <f>[2]Segments!E6</f>
        <v>106110</v>
      </c>
      <c r="F17" s="78">
        <f>[2]Segments!F6</f>
        <v>141366</v>
      </c>
      <c r="G17" s="78">
        <f>[2]Segments!G6</f>
        <v>170773</v>
      </c>
      <c r="H17" s="78">
        <f>[2]Segments!H6</f>
        <v>236282</v>
      </c>
      <c r="I17" s="78">
        <f>'WBD Segments'!O11</f>
        <v>9731</v>
      </c>
      <c r="J17" s="78">
        <f>'WBD Segments'!P11</f>
        <v>12192</v>
      </c>
      <c r="K17" s="78">
        <f>'WBD Segments'!Q11</f>
        <v>11607</v>
      </c>
      <c r="L17" s="266">
        <f>'WBD Segments'!R11</f>
        <v>12772.57</v>
      </c>
      <c r="M17" s="78">
        <f>'WBD Segments'!S11</f>
        <v>12914.39</v>
      </c>
      <c r="N17" s="78">
        <f>'WBD Segments'!T11</f>
        <v>12017.436312695918</v>
      </c>
      <c r="O17" s="78">
        <f>'WBD Segments'!U11</f>
        <v>12115.794380064712</v>
      </c>
      <c r="P17" s="78">
        <f>'WBD Segments'!V11</f>
        <v>12319.086026366904</v>
      </c>
      <c r="Q17" s="78">
        <f>'WBD Segments'!W11</f>
        <v>12735.83076147212</v>
      </c>
      <c r="V17" s="140"/>
      <c r="W17" s="141"/>
      <c r="Z17" s="126"/>
    </row>
    <row r="18" spans="1:26" x14ac:dyDescent="0.35">
      <c r="B18" s="79" t="s">
        <v>1043</v>
      </c>
      <c r="C18" s="80" t="str">
        <f>IF(ISERROR(C17/B17-1),"--",C17/B17-1)</f>
        <v>--</v>
      </c>
      <c r="D18" s="81">
        <f>IF(ISERROR(D17/C17-1),"--",D17/C17-1)</f>
        <v>0.25235449237144469</v>
      </c>
      <c r="E18" s="81">
        <f t="shared" ref="E18:H18" si="7">IF(ISERROR(E17/D17-1),"--",E17/D17-1)</f>
        <v>0.32994923857868019</v>
      </c>
      <c r="F18" s="81">
        <f t="shared" si="7"/>
        <v>0.33225897653378578</v>
      </c>
      <c r="G18" s="81">
        <f t="shared" si="7"/>
        <v>0.20802031605902416</v>
      </c>
      <c r="H18" s="81">
        <f t="shared" si="7"/>
        <v>0.38360279435273736</v>
      </c>
      <c r="I18" s="81" t="str">
        <f>'WBD Segments'!O12</f>
        <v>---</v>
      </c>
      <c r="J18" s="81">
        <f>'WBD Segments'!P12</f>
        <v>0.25290309320727572</v>
      </c>
      <c r="K18" s="81">
        <f>'WBD Segments'!Q12</f>
        <v>-4.7982283464566899E-2</v>
      </c>
      <c r="L18" s="267">
        <f>'WBD Segments'!R12</f>
        <v>0.10041957439476179</v>
      </c>
      <c r="M18" s="81">
        <f>'WBD Segments'!S12</f>
        <v>0.11110348191475952</v>
      </c>
      <c r="N18" s="81">
        <f>'WBD Segments'!T12</f>
        <v>0.20411096651305755</v>
      </c>
      <c r="O18" s="81">
        <f>'WBD Segments'!U12</f>
        <v>0.191912934839503</v>
      </c>
      <c r="P18" s="81">
        <f>'WBD Segments'!V12</f>
        <v>0.15188673941552047</v>
      </c>
      <c r="Q18" s="81">
        <f>'WBD Segments'!W12</f>
        <v>0.16475353067071014</v>
      </c>
      <c r="V18" s="131" t="s">
        <v>1044</v>
      </c>
      <c r="W18" s="142" cm="1">
        <f t="array" aca="1" ref="W18" ca="1">_FV(W9,"Yield yesterday",TRUE)</f>
        <v>4.2529999999999998E-2</v>
      </c>
      <c r="X18" s="133"/>
      <c r="Z18" s="127"/>
    </row>
    <row r="19" spans="1:26" x14ac:dyDescent="0.35">
      <c r="B19" s="79" t="s">
        <v>1045</v>
      </c>
      <c r="C19" s="80">
        <f>C17/C$29</f>
        <v>0.59536848401024245</v>
      </c>
      <c r="D19" s="80">
        <f t="shared" ref="D19:H19" si="8">D17/D$29</f>
        <v>0.58671049438549272</v>
      </c>
      <c r="E19" s="80">
        <f t="shared" si="8"/>
        <v>0.59657270079722935</v>
      </c>
      <c r="F19" s="80">
        <f t="shared" si="8"/>
        <v>0.6070154194952917</v>
      </c>
      <c r="G19" s="80">
        <f t="shared" si="8"/>
        <v>0.60876865272598946</v>
      </c>
      <c r="H19" s="80">
        <f t="shared" si="8"/>
        <v>0.61202805752414102</v>
      </c>
      <c r="I19" s="80">
        <f>'WBD Segments'!O13</f>
        <v>0.28775467959901824</v>
      </c>
      <c r="J19" s="80">
        <f>'WBD Segments'!P13</f>
        <v>0.29505578277389222</v>
      </c>
      <c r="K19" s="80">
        <f>'WBD Segments'!Q13</f>
        <v>0.29518577859159228</v>
      </c>
      <c r="L19" s="268">
        <f>'WBD Segments'!R13</f>
        <v>0.34371565553327371</v>
      </c>
      <c r="M19" s="80">
        <f>'WBD Segments'!S13</f>
        <v>0.35058868561717649</v>
      </c>
      <c r="N19" s="80">
        <f>'WBD Segments'!T13</f>
        <v>0.3144601164229906</v>
      </c>
      <c r="O19" s="80">
        <f>'WBD Segments'!U13</f>
        <v>0.31980120378778504</v>
      </c>
      <c r="P19" s="80">
        <f>'WBD Segments'!V13</f>
        <v>0.3247502879905636</v>
      </c>
      <c r="Q19" s="80">
        <f>'WBD Segments'!W13</f>
        <v>0.33066318987035787</v>
      </c>
      <c r="V19" s="134" t="s">
        <v>1046</v>
      </c>
      <c r="W19" s="143">
        <v>0.21</v>
      </c>
      <c r="X19" s="133"/>
      <c r="Z19" s="127"/>
    </row>
    <row r="20" spans="1:26" x14ac:dyDescent="0.35">
      <c r="C20" s="82"/>
      <c r="D20" s="83"/>
      <c r="E20" s="83"/>
      <c r="F20" s="83"/>
      <c r="G20" s="83"/>
      <c r="H20" s="83"/>
      <c r="I20" s="83"/>
      <c r="J20" s="83"/>
      <c r="K20" s="83"/>
      <c r="L20" s="269"/>
      <c r="M20" s="83"/>
      <c r="N20" s="83"/>
      <c r="O20" s="83"/>
      <c r="P20" s="83"/>
      <c r="Q20" s="83"/>
      <c r="V20" s="134" t="s">
        <v>1047</v>
      </c>
      <c r="W20" s="143">
        <v>0.02</v>
      </c>
      <c r="X20" s="133"/>
    </row>
    <row r="21" spans="1:26" x14ac:dyDescent="0.35">
      <c r="B21" s="2" t="s">
        <v>913</v>
      </c>
      <c r="C21" s="77">
        <f>[2]Segments!C8</f>
        <v>35418</v>
      </c>
      <c r="D21" s="78">
        <f>[2]Segments!D8</f>
        <v>43983</v>
      </c>
      <c r="E21" s="78">
        <f>[2]Segments!E8</f>
        <v>54297</v>
      </c>
      <c r="F21" s="78">
        <f>[2]Segments!F8</f>
        <v>65866</v>
      </c>
      <c r="G21" s="78">
        <f>[2]Segments!G8</f>
        <v>74723</v>
      </c>
      <c r="H21" s="78">
        <f>[2]Segments!H8</f>
        <v>104412</v>
      </c>
      <c r="I21" s="78">
        <f>'WBD Segments'!O14</f>
        <v>19348</v>
      </c>
      <c r="J21" s="78">
        <f>'WBD Segments'!P14</f>
        <v>21244</v>
      </c>
      <c r="K21" s="78">
        <f>'WBD Segments'!Q14</f>
        <v>20175</v>
      </c>
      <c r="L21" s="266">
        <f>'WBD Segments'!R14</f>
        <v>17496.86</v>
      </c>
      <c r="M21" s="78">
        <f>'WBD Segments'!S14</f>
        <v>15770.29</v>
      </c>
      <c r="N21" s="78">
        <f>'WBD Segments'!T14</f>
        <v>15045.843125748197</v>
      </c>
      <c r="O21" s="78">
        <f>'WBD Segments'!U14</f>
        <v>13813.280645700075</v>
      </c>
      <c r="P21" s="78">
        <f>'WBD Segments'!V14</f>
        <v>12572.564044175131</v>
      </c>
      <c r="Q21" s="78">
        <f>'WBD Segments'!W14</f>
        <v>11578.208370064216</v>
      </c>
      <c r="V21" s="134" t="s">
        <v>1048</v>
      </c>
      <c r="W21" s="144">
        <v>12.67</v>
      </c>
      <c r="X21" s="133"/>
      <c r="Z21" s="86"/>
    </row>
    <row r="22" spans="1:26" x14ac:dyDescent="0.35">
      <c r="B22" s="79" t="s">
        <v>1043</v>
      </c>
      <c r="C22" s="80" t="str">
        <f>IF(ISERROR(C21/B21-1),"--",C21/B21-1)</f>
        <v>--</v>
      </c>
      <c r="D22" s="81">
        <f>IF(ISERROR(D21/C21-1),"--",D21/C21-1)</f>
        <v>0.24182619007284423</v>
      </c>
      <c r="E22" s="81">
        <f t="shared" ref="E22:H22" si="9">IF(ISERROR(E21/D21-1),"--",E21/D21-1)</f>
        <v>0.23449969306322904</v>
      </c>
      <c r="F22" s="81">
        <f t="shared" si="9"/>
        <v>0.21306886199974207</v>
      </c>
      <c r="G22" s="81">
        <f t="shared" si="9"/>
        <v>0.13446998451401337</v>
      </c>
      <c r="H22" s="81">
        <f t="shared" si="9"/>
        <v>0.39732077138230526</v>
      </c>
      <c r="I22" s="81" t="str">
        <f>'WBD Segments'!O15</f>
        <v>---</v>
      </c>
      <c r="J22" s="81">
        <f>'WBD Segments'!P15</f>
        <v>9.7994624767417826E-2</v>
      </c>
      <c r="K22" s="81">
        <f>'WBD Segments'!Q15</f>
        <v>-5.0320090378459803E-2</v>
      </c>
      <c r="L22" s="267">
        <f>'WBD Segments'!R15</f>
        <v>-0.13274547707558856</v>
      </c>
      <c r="M22" s="81">
        <f>'WBD Segments'!S15</f>
        <v>-9.8678848661988477E-2</v>
      </c>
      <c r="N22" s="81">
        <f>'WBD Segments'!T15</f>
        <v>-4.5937447837154755E-2</v>
      </c>
      <c r="O22" s="81">
        <f>'WBD Segments'!U15</f>
        <v>-8.19204659882979E-2</v>
      </c>
      <c r="P22" s="81">
        <f>'WBD Segments'!V15</f>
        <v>-8.982055989075742E-2</v>
      </c>
      <c r="Q22" s="81">
        <f>'WBD Segments'!W15</f>
        <v>-7.9089330594549645E-2</v>
      </c>
      <c r="V22" s="138" t="s">
        <v>1049</v>
      </c>
      <c r="W22" s="145">
        <v>59.96</v>
      </c>
      <c r="X22" s="133"/>
    </row>
    <row r="23" spans="1:26" x14ac:dyDescent="0.35">
      <c r="B23" s="79" t="s">
        <v>1045</v>
      </c>
      <c r="C23" s="80">
        <f>C21/C$29</f>
        <v>0.33099078556342637</v>
      </c>
      <c r="D23" s="80">
        <f t="shared" ref="D23:H23" si="10">D21/D$29</f>
        <v>0.32343532837697719</v>
      </c>
      <c r="E23" s="80">
        <f t="shared" si="10"/>
        <v>0.30526913519166116</v>
      </c>
      <c r="F23" s="80">
        <f t="shared" si="10"/>
        <v>0.28282385878129734</v>
      </c>
      <c r="G23" s="80">
        <f t="shared" si="10"/>
        <v>0.26637126499882363</v>
      </c>
      <c r="H23" s="80">
        <f t="shared" si="10"/>
        <v>0.27045256744995649</v>
      </c>
      <c r="I23" s="81">
        <f>'WBD Segments'!O16</f>
        <v>0.57213827364934799</v>
      </c>
      <c r="J23" s="81">
        <f>'WBD Segments'!P16</f>
        <v>0.51412114905253992</v>
      </c>
      <c r="K23" s="81">
        <f>'WBD Segments'!Q16</f>
        <v>0.51308461127641714</v>
      </c>
      <c r="L23" s="267">
        <f>'WBD Segments'!R16</f>
        <v>0.47084844355317024</v>
      </c>
      <c r="M23" s="81">
        <f>'WBD Segments'!S16</f>
        <v>0.42811818776587224</v>
      </c>
      <c r="N23" s="81">
        <f>'WBD Segments'!T16</f>
        <v>0.49966213305946949</v>
      </c>
      <c r="O23" s="81">
        <f>'WBD Segments'!U16</f>
        <v>0.48516690494149384</v>
      </c>
      <c r="P23" s="81">
        <f>'WBD Segments'!V16</f>
        <v>0.47937605611928458</v>
      </c>
      <c r="Q23" s="81">
        <f>'WBD Segments'!W16</f>
        <v>0.47263434508785807</v>
      </c>
      <c r="V23" s="140"/>
      <c r="W23" s="146"/>
      <c r="Z23" s="127"/>
    </row>
    <row r="24" spans="1:26" x14ac:dyDescent="0.35">
      <c r="C24" s="82"/>
      <c r="D24" s="83"/>
      <c r="E24" s="83"/>
      <c r="F24" s="83"/>
      <c r="G24" s="83"/>
      <c r="H24" s="83"/>
      <c r="I24" s="83"/>
      <c r="J24" s="83"/>
      <c r="K24" s="83"/>
      <c r="L24" s="269"/>
      <c r="M24" s="83"/>
      <c r="N24" s="83"/>
      <c r="O24" s="83"/>
      <c r="P24" s="83"/>
      <c r="Q24" s="83"/>
      <c r="V24" s="147" t="s">
        <v>1050</v>
      </c>
      <c r="W24" s="148">
        <v>0.09</v>
      </c>
      <c r="X24" s="133"/>
    </row>
    <row r="25" spans="1:26" x14ac:dyDescent="0.35">
      <c r="B25" s="2" t="s">
        <v>915</v>
      </c>
      <c r="C25" s="77">
        <f>[2]Segments!C9</f>
        <v>7880</v>
      </c>
      <c r="D25" s="78">
        <f>[2]Segments!D9</f>
        <v>12219</v>
      </c>
      <c r="E25" s="78">
        <f>[2]Segments!E9</f>
        <v>17459</v>
      </c>
      <c r="F25" s="78">
        <f>[2]Segments!F9</f>
        <v>25655</v>
      </c>
      <c r="G25" s="78">
        <f>[2]Segments!G9</f>
        <v>35026</v>
      </c>
      <c r="H25" s="78">
        <f>[2]Segments!H9</f>
        <v>45370</v>
      </c>
      <c r="I25" s="78">
        <f>'WBD Segments'!O17</f>
        <v>7274</v>
      </c>
      <c r="J25" s="78">
        <f>'WBD Segments'!P17</f>
        <v>10154</v>
      </c>
      <c r="K25" s="78">
        <f>'WBD Segments'!Q17</f>
        <v>10313</v>
      </c>
      <c r="L25" s="266">
        <f>'WBD Segments'!R17</f>
        <v>10822.08</v>
      </c>
      <c r="M25" s="78">
        <f>'WBD Segments'!S17</f>
        <v>11779.33</v>
      </c>
      <c r="N25" s="78">
        <f>'WBD Segments'!T17</f>
        <v>10196.915345217954</v>
      </c>
      <c r="O25" s="78">
        <f>'WBD Segments'!U17</f>
        <v>10500.591998742255</v>
      </c>
      <c r="P25" s="78">
        <f>'WBD Segments'!V17</f>
        <v>10752.545162643299</v>
      </c>
      <c r="Q25" s="78">
        <f>'WBD Segments'!W17</f>
        <v>11080.642350149305</v>
      </c>
      <c r="V25" s="149" t="s">
        <v>1051</v>
      </c>
      <c r="W25" s="150">
        <f ca="1">W18</f>
        <v>4.2529999999999998E-2</v>
      </c>
      <c r="X25" s="133"/>
    </row>
    <row r="26" spans="1:26" x14ac:dyDescent="0.35">
      <c r="B26" s="79" t="s">
        <v>1043</v>
      </c>
      <c r="C26" s="80" t="str">
        <f>IF(ISERROR(C25/B25-1),"--",C25/B25-1)</f>
        <v>--</v>
      </c>
      <c r="D26" s="81">
        <f>IF(ISERROR(D25/C25-1),"--",D25/C25-1)</f>
        <v>0.55063451776649752</v>
      </c>
      <c r="E26" s="81">
        <f t="shared" ref="E26:H26" si="11">IF(ISERROR(E25/D25-1),"--",E25/D25-1)</f>
        <v>0.42884033063262139</v>
      </c>
      <c r="F26" s="81">
        <f t="shared" si="11"/>
        <v>0.46944269431238905</v>
      </c>
      <c r="G26" s="81">
        <f t="shared" si="11"/>
        <v>0.36526992788930035</v>
      </c>
      <c r="H26" s="81">
        <f t="shared" si="11"/>
        <v>0.29532347399074976</v>
      </c>
      <c r="I26" s="81" t="str">
        <f>'WBD Segments'!O18</f>
        <v>---</v>
      </c>
      <c r="J26" s="81">
        <f>'WBD Segments'!P18</f>
        <v>0.39593071212537806</v>
      </c>
      <c r="K26" s="81">
        <f>'WBD Segments'!Q18</f>
        <v>1.565885365373252E-2</v>
      </c>
      <c r="L26" s="267">
        <f>'WBD Segments'!R18</f>
        <v>4.9362939978667697E-2</v>
      </c>
      <c r="M26" s="81">
        <f>'WBD Segments'!S18</f>
        <v>8.8453421153789291E-2</v>
      </c>
      <c r="N26" s="81">
        <f>'WBD Segments'!T18</f>
        <v>0.13735148172789191</v>
      </c>
      <c r="O26" s="81">
        <f>'WBD Segments'!U18</f>
        <v>7.270667412852036E-2</v>
      </c>
      <c r="P26" s="81">
        <f>'WBD Segments'!V18</f>
        <v>8.6968629247217322E-2</v>
      </c>
      <c r="Q26" s="81">
        <f>'WBD Segments'!W18</f>
        <v>9.6370051564354728E-2</v>
      </c>
      <c r="V26" s="151" t="s">
        <v>1052</v>
      </c>
      <c r="W26" s="152">
        <f ca="1">W25+W13*(W24-W25)</f>
        <v>0.120926705</v>
      </c>
      <c r="X26" s="133"/>
    </row>
    <row r="27" spans="1:26" x14ac:dyDescent="0.35">
      <c r="B27" s="79" t="s">
        <v>1045</v>
      </c>
      <c r="C27" s="80">
        <f>C25/C$29</f>
        <v>7.3640730426331236E-2</v>
      </c>
      <c r="D27" s="80">
        <f t="shared" ref="D27:H27" si="12">D25/D$29</f>
        <v>8.9854177237530058E-2</v>
      </c>
      <c r="E27" s="80">
        <f t="shared" si="12"/>
        <v>9.8158164011109481E-2</v>
      </c>
      <c r="F27" s="80">
        <f t="shared" si="12"/>
        <v>0.11016072172341093</v>
      </c>
      <c r="G27" s="80">
        <f t="shared" si="12"/>
        <v>0.12486008227518697</v>
      </c>
      <c r="H27" s="80">
        <f t="shared" si="12"/>
        <v>0.11751937502590244</v>
      </c>
      <c r="I27" s="81">
        <f>'WBD Segments'!O19</f>
        <v>0.21509891474702073</v>
      </c>
      <c r="J27" s="81">
        <f>'WBD Segments'!P19</f>
        <v>0.24573461436073668</v>
      </c>
      <c r="K27" s="81">
        <f>'WBD Segments'!Q19</f>
        <v>0.26227715470105034</v>
      </c>
      <c r="L27" s="267">
        <f>'WBD Segments'!R19</f>
        <v>0.29122708440302386</v>
      </c>
      <c r="M27" s="81">
        <f>'WBD Segments'!S19</f>
        <v>0.31977505884141455</v>
      </c>
      <c r="N27" s="81">
        <f>'WBD Segments'!T19</f>
        <v>0.26682256541064919</v>
      </c>
      <c r="O27" s="81">
        <f>'WBD Segments'!U19</f>
        <v>0.27716729554337494</v>
      </c>
      <c r="P27" s="81">
        <f>'WBD Segments'!V19</f>
        <v>0.28345383177990258</v>
      </c>
      <c r="Q27" s="81">
        <f>'WBD Segments'!W19</f>
        <v>0.287689167195673</v>
      </c>
      <c r="V27" s="153" t="s">
        <v>483</v>
      </c>
      <c r="W27" s="154">
        <f>'WBD DDIS'!D71</f>
        <v>6.4561254717119043E-2</v>
      </c>
      <c r="X27" s="133"/>
    </row>
    <row r="28" spans="1:26" x14ac:dyDescent="0.35">
      <c r="C28" s="83"/>
      <c r="D28" s="83"/>
      <c r="E28" s="83"/>
      <c r="F28" s="83"/>
      <c r="G28" s="83"/>
      <c r="H28" s="83"/>
      <c r="I28" s="83"/>
      <c r="J28" s="83"/>
      <c r="K28" s="83"/>
      <c r="L28" s="269"/>
      <c r="M28" s="83"/>
      <c r="N28" s="83"/>
      <c r="O28" s="83"/>
      <c r="P28" s="83"/>
      <c r="Q28" s="83"/>
      <c r="V28" s="140"/>
      <c r="W28" s="146"/>
    </row>
    <row r="29" spans="1:26" x14ac:dyDescent="0.35">
      <c r="B29" s="256" t="s">
        <v>1053</v>
      </c>
      <c r="C29" s="257">
        <f>C17+C21+C25</f>
        <v>107006</v>
      </c>
      <c r="D29" s="257">
        <f t="shared" ref="D29:H29" si="13">D17+D21+D25</f>
        <v>135987</v>
      </c>
      <c r="E29" s="257">
        <f t="shared" si="13"/>
        <v>177866</v>
      </c>
      <c r="F29" s="257">
        <f t="shared" si="13"/>
        <v>232887</v>
      </c>
      <c r="G29" s="257">
        <f t="shared" si="13"/>
        <v>280522</v>
      </c>
      <c r="H29" s="257">
        <f t="shared" si="13"/>
        <v>386064</v>
      </c>
      <c r="I29" s="257">
        <f>'WBD Segments'!O9</f>
        <v>33817</v>
      </c>
      <c r="J29" s="257">
        <f>'WBD Segments'!P9</f>
        <v>41321</v>
      </c>
      <c r="K29" s="257">
        <f>'WBD Segments'!Q9</f>
        <v>39321</v>
      </c>
      <c r="L29" s="270">
        <f>'WBD Segments'!R9</f>
        <v>37160.28</v>
      </c>
      <c r="M29" s="257">
        <f>'WBD Segments'!S9</f>
        <v>36836.300000000003</v>
      </c>
      <c r="N29" s="257">
        <f>'WBD Segments'!T9</f>
        <v>38216.090642575706</v>
      </c>
      <c r="O29" s="257">
        <f>'WBD Segments'!U9</f>
        <v>37885.393289840642</v>
      </c>
      <c r="P29" s="257">
        <f>'WBD Segments'!V9</f>
        <v>37934.026487221665</v>
      </c>
      <c r="Q29" s="258">
        <f>'WBD Segments'!W9</f>
        <v>38516.022199100596</v>
      </c>
      <c r="V29" s="131" t="s">
        <v>481</v>
      </c>
      <c r="W29" s="160">
        <f>W15</f>
        <v>15472.296775093799</v>
      </c>
      <c r="X29" s="133"/>
    </row>
    <row r="30" spans="1:26" x14ac:dyDescent="0.35">
      <c r="B30" s="259" t="s">
        <v>1043</v>
      </c>
      <c r="C30" s="260" t="str">
        <f>IF(ISERROR(C29/B29-1),"--",C29/B29-1)</f>
        <v>--</v>
      </c>
      <c r="D30" s="261">
        <f>IF(ISERROR(D29/C29-1),"--",D29/C29-1)</f>
        <v>0.27083528026465808</v>
      </c>
      <c r="E30" s="261">
        <f t="shared" ref="E30:H30" si="14">IF(ISERROR(E29/D29-1),"--",E29/D29-1)</f>
        <v>0.30796326119408479</v>
      </c>
      <c r="F30" s="261">
        <f t="shared" si="14"/>
        <v>0.3093396152159491</v>
      </c>
      <c r="G30" s="261">
        <f t="shared" si="14"/>
        <v>0.20454125820676983</v>
      </c>
      <c r="H30" s="261">
        <f t="shared" si="14"/>
        <v>0.37623430604373276</v>
      </c>
      <c r="I30" s="261">
        <f>'WBD Segments'!O10</f>
        <v>1.7739315888770406</v>
      </c>
      <c r="J30" s="261">
        <f>'WBD Segments'!P10</f>
        <v>0.22190022769612927</v>
      </c>
      <c r="K30" s="261">
        <f>'WBD Segments'!Q10</f>
        <v>-4.8401539168945518E-2</v>
      </c>
      <c r="L30" s="271">
        <f>'WBD Segments'!R10</f>
        <v>-5.4950789654383159E-2</v>
      </c>
      <c r="M30" s="261">
        <f>'WBD Segments'!S10</f>
        <v>-8.7184488383832415E-3</v>
      </c>
      <c r="N30" s="261">
        <f>'WBD Segments'!T10</f>
        <v>3.745736250860434E-2</v>
      </c>
      <c r="O30" s="261">
        <f>'WBD Segments'!U10</f>
        <v>-8.6533537882768925E-3</v>
      </c>
      <c r="P30" s="261">
        <f>'WBD Segments'!V10</f>
        <v>1.2836925568902625E-3</v>
      </c>
      <c r="Q30" s="262">
        <f>'WBD Segments'!W10</f>
        <v>1.5342313109708617E-2</v>
      </c>
      <c r="V30" s="134" t="s">
        <v>283</v>
      </c>
      <c r="W30" s="155">
        <f ca="1">W14</f>
        <v>70832.643419999993</v>
      </c>
      <c r="X30" s="133"/>
    </row>
    <row r="31" spans="1:26" x14ac:dyDescent="0.35">
      <c r="C31" s="86"/>
      <c r="D31" s="86"/>
      <c r="E31" s="86"/>
      <c r="F31" s="86"/>
      <c r="G31" s="86"/>
      <c r="H31" s="86"/>
      <c r="I31" s="86"/>
      <c r="J31" s="86"/>
      <c r="K31" s="86"/>
      <c r="L31" s="272"/>
      <c r="M31" s="86"/>
      <c r="V31" s="134" t="s">
        <v>1054</v>
      </c>
      <c r="W31" s="156">
        <f ca="1">W15/(W30+W15)</f>
        <v>0.17927475229249226</v>
      </c>
      <c r="X31" s="133"/>
    </row>
    <row r="32" spans="1:26" x14ac:dyDescent="0.35">
      <c r="A32" s="68" t="s">
        <v>1029</v>
      </c>
      <c r="B32" s="74" t="s">
        <v>122</v>
      </c>
      <c r="C32" s="75">
        <v>2015</v>
      </c>
      <c r="D32" s="75">
        <v>2016</v>
      </c>
      <c r="E32" s="75">
        <v>2017</v>
      </c>
      <c r="F32" s="75">
        <v>2018</v>
      </c>
      <c r="G32" s="75">
        <v>2019</v>
      </c>
      <c r="H32" s="75">
        <v>2020</v>
      </c>
      <c r="I32" s="75">
        <v>2022</v>
      </c>
      <c r="J32" s="75">
        <f t="shared" ref="J32" si="15">I32+1</f>
        <v>2023</v>
      </c>
      <c r="K32" s="75">
        <f t="shared" ref="K32" si="16">J32+1</f>
        <v>2024</v>
      </c>
      <c r="L32" s="265">
        <f>K32+1</f>
        <v>2025</v>
      </c>
      <c r="M32" s="76">
        <f>L32+1</f>
        <v>2026</v>
      </c>
      <c r="N32" s="76">
        <f t="shared" ref="N32" si="17">M32+1</f>
        <v>2027</v>
      </c>
      <c r="O32" s="76">
        <f t="shared" ref="O32" si="18">N32+1</f>
        <v>2028</v>
      </c>
      <c r="P32" s="76">
        <f t="shared" ref="P32" si="19">O32+1</f>
        <v>2029</v>
      </c>
      <c r="Q32" s="76">
        <f t="shared" ref="Q32" si="20">P32+1</f>
        <v>2030</v>
      </c>
      <c r="V32" s="138" t="s">
        <v>1055</v>
      </c>
      <c r="W32" s="157">
        <f ca="1">W30/(W30+W15)</f>
        <v>0.82072524770750777</v>
      </c>
      <c r="X32" s="133"/>
    </row>
    <row r="33" spans="2:24" x14ac:dyDescent="0.35">
      <c r="L33" s="172"/>
      <c r="V33" s="140"/>
      <c r="W33" s="146"/>
    </row>
    <row r="34" spans="2:24" x14ac:dyDescent="0.35">
      <c r="B34" s="2" t="s">
        <v>1042</v>
      </c>
      <c r="C34" s="78">
        <f>[2]Segments!C12</f>
        <v>2751</v>
      </c>
      <c r="D34" s="78">
        <f>[2]Segments!D12</f>
        <v>4099</v>
      </c>
      <c r="E34" s="78">
        <f>[2]Segments!E12</f>
        <v>2837</v>
      </c>
      <c r="F34" s="78">
        <f>[2]Segments!F12</f>
        <v>7267</v>
      </c>
      <c r="G34" s="78">
        <f>[2]Segments!G12</f>
        <v>7033</v>
      </c>
      <c r="H34" s="78">
        <f>[2]Segments!H12</f>
        <v>8651</v>
      </c>
      <c r="I34" s="78">
        <f>'WBD Segments'!O25</f>
        <v>541</v>
      </c>
      <c r="J34" s="78">
        <f>'WBD Segments'!P25</f>
        <v>211</v>
      </c>
      <c r="K34" s="78">
        <f>'WBD Segments'!Q25</f>
        <v>529</v>
      </c>
      <c r="L34" s="266">
        <f>'WBD Segments'!R25</f>
        <v>1690.07</v>
      </c>
      <c r="M34" s="78">
        <f>'WBD Segments'!S25</f>
        <v>1847.18</v>
      </c>
      <c r="N34" s="78">
        <f>'WBD Segments'!T25</f>
        <v>3040.886574127363</v>
      </c>
      <c r="O34" s="78">
        <f>O35*O17</f>
        <v>3065.7750543935658</v>
      </c>
      <c r="P34" s="78">
        <f t="shared" ref="P34:Q34" si="21">P35*P17</f>
        <v>3117.2158793571643</v>
      </c>
      <c r="Q34" s="78">
        <f t="shared" si="21"/>
        <v>3222.6687760353766</v>
      </c>
      <c r="V34" s="185" t="s">
        <v>1036</v>
      </c>
      <c r="W34" s="186">
        <f ca="1">(W31*W27*(1-W19))+(W32*W26)</f>
        <v>0.10839122024378989</v>
      </c>
      <c r="X34" s="133"/>
    </row>
    <row r="35" spans="2:24" x14ac:dyDescent="0.35">
      <c r="B35" s="79" t="s">
        <v>1043</v>
      </c>
      <c r="C35" s="81">
        <f>C34/C17</f>
        <v>4.3181390092296101E-2</v>
      </c>
      <c r="D35" s="81">
        <f t="shared" ref="D35:H35" si="22">D34/D17</f>
        <v>5.1375571849345117E-2</v>
      </c>
      <c r="E35" s="81">
        <f t="shared" si="22"/>
        <v>2.6736405616812741E-2</v>
      </c>
      <c r="F35" s="81">
        <f t="shared" si="22"/>
        <v>5.1405571353790869E-2</v>
      </c>
      <c r="G35" s="81">
        <f t="shared" si="22"/>
        <v>4.1183325232911523E-2</v>
      </c>
      <c r="H35" s="81">
        <f t="shared" si="22"/>
        <v>3.6613030192735797E-2</v>
      </c>
      <c r="I35" s="81" t="str">
        <f>'WBD Segments'!O26</f>
        <v>---</v>
      </c>
      <c r="J35" s="81">
        <f>'WBD Segments'!P26</f>
        <v>-0.60998151571164505</v>
      </c>
      <c r="K35" s="81">
        <f>'WBD Segments'!Q26</f>
        <v>1.5071090047393365</v>
      </c>
      <c r="L35" s="267">
        <f>'WBD Segments'!R26</f>
        <v>2.1948393194706992</v>
      </c>
      <c r="M35" s="81">
        <f>'WBD Segments'!S26</f>
        <v>9.296064660043675E-2</v>
      </c>
      <c r="N35" s="81">
        <f>N34/N17</f>
        <v>0.25303954146316499</v>
      </c>
      <c r="O35" s="234">
        <f>N35</f>
        <v>0.25303954146316499</v>
      </c>
      <c r="P35" s="234">
        <f t="shared" ref="P35:Q35" si="23">O35</f>
        <v>0.25303954146316499</v>
      </c>
      <c r="Q35" s="234">
        <f t="shared" si="23"/>
        <v>0.25303954146316499</v>
      </c>
    </row>
    <row r="36" spans="2:24" x14ac:dyDescent="0.35">
      <c r="B36" s="79" t="s">
        <v>1045</v>
      </c>
      <c r="C36" s="81">
        <f>C34/C$46</f>
        <v>0.60822462967057267</v>
      </c>
      <c r="D36" s="81">
        <f t="shared" ref="D36:Q36" si="24">D34/D$46</f>
        <v>0.55936135371179041</v>
      </c>
      <c r="E36" s="81">
        <f t="shared" si="24"/>
        <v>0.69094008767657089</v>
      </c>
      <c r="F36" s="81">
        <f t="shared" si="24"/>
        <v>0.58505756380323648</v>
      </c>
      <c r="G36" s="81">
        <f t="shared" si="24"/>
        <v>0.48366687297985006</v>
      </c>
      <c r="H36" s="81">
        <f t="shared" si="24"/>
        <v>0.3777894231189135</v>
      </c>
      <c r="I36" s="81">
        <f>'WBD Segments'!O27</f>
        <v>7.3405698778833101E-2</v>
      </c>
      <c r="J36" s="81">
        <f>'WBD Segments'!P27</f>
        <v>-0.13630490956072353</v>
      </c>
      <c r="K36" s="81">
        <f>'WBD Segments'!Q27</f>
        <v>-5.2731259968102073E-2</v>
      </c>
      <c r="L36" s="267">
        <f>'WBD Segments'!R27</f>
        <v>1.7766272811369943</v>
      </c>
      <c r="M36" s="81">
        <f>'WBD Segments'!S27</f>
        <v>0.70417316320967982</v>
      </c>
      <c r="N36" s="81">
        <f t="shared" si="24"/>
        <v>1.8100978028105581</v>
      </c>
      <c r="O36" s="81">
        <f t="shared" si="24"/>
        <v>5.1691137089032146</v>
      </c>
      <c r="P36" s="81">
        <f t="shared" si="24"/>
        <v>3.3659882909135126</v>
      </c>
      <c r="Q36" s="81">
        <f t="shared" si="24"/>
        <v>2.4366778207226045</v>
      </c>
    </row>
    <row r="37" spans="2:24" x14ac:dyDescent="0.35">
      <c r="C37" s="87"/>
      <c r="D37" s="87"/>
      <c r="E37" s="87"/>
      <c r="F37" s="87"/>
      <c r="G37" s="87"/>
      <c r="H37" s="87"/>
      <c r="I37" s="87"/>
      <c r="J37" s="87"/>
      <c r="K37" s="87"/>
      <c r="L37" s="273"/>
      <c r="M37" s="87"/>
      <c r="N37" s="87"/>
      <c r="O37" s="87"/>
      <c r="P37" s="87"/>
      <c r="Q37" s="87"/>
    </row>
    <row r="38" spans="2:24" x14ac:dyDescent="0.35">
      <c r="B38" s="2" t="s">
        <v>913</v>
      </c>
      <c r="C38" s="78">
        <f>[2]Segments!C14</f>
        <v>-91</v>
      </c>
      <c r="D38" s="78">
        <f>[2]Segments!D14</f>
        <v>-477</v>
      </c>
      <c r="E38" s="78">
        <f>[2]Segments!E14</f>
        <v>-3062</v>
      </c>
      <c r="F38" s="78">
        <f>[2]Segments!F14</f>
        <v>-2142</v>
      </c>
      <c r="G38" s="78">
        <f>[2]Segments!G14</f>
        <v>-1693</v>
      </c>
      <c r="H38" s="78">
        <f>[2]Segments!H14</f>
        <v>717</v>
      </c>
      <c r="I38" s="78">
        <f>'WBD Segments'!O28</f>
        <v>3812</v>
      </c>
      <c r="J38" s="78">
        <f>'WBD Segments'!P28</f>
        <v>3322</v>
      </c>
      <c r="K38" s="78">
        <f>'WBD Segments'!Q28</f>
        <v>-5759</v>
      </c>
      <c r="L38" s="266">
        <f>'WBD Segments'!R28</f>
        <v>2447.0700000000002</v>
      </c>
      <c r="M38" s="78">
        <f>'WBD Segments'!S28</f>
        <v>2116.0700000000002</v>
      </c>
      <c r="N38" s="78">
        <f>'WBD Segments'!T28</f>
        <v>1072.589772497174</v>
      </c>
      <c r="O38" s="78">
        <f>'WBD Segments'!U28</f>
        <v>445.91109659529764</v>
      </c>
      <c r="P38" s="78">
        <f>'WBD Segments'!V28</f>
        <v>424.9822413255697</v>
      </c>
      <c r="Q38" s="78">
        <f>'WBD Segments'!W28</f>
        <v>248.65843614634196</v>
      </c>
    </row>
    <row r="39" spans="2:24" x14ac:dyDescent="0.35">
      <c r="B39" s="79" t="s">
        <v>1043</v>
      </c>
      <c r="C39" s="81">
        <f>C38/C21</f>
        <v>-2.5693150375515274E-3</v>
      </c>
      <c r="D39" s="81">
        <f t="shared" ref="D39:H39" si="25">D38/D21</f>
        <v>-1.0845099242889298E-2</v>
      </c>
      <c r="E39" s="81">
        <f t="shared" si="25"/>
        <v>-5.6393539237895279E-2</v>
      </c>
      <c r="F39" s="81">
        <f t="shared" si="25"/>
        <v>-3.2520572070567515E-2</v>
      </c>
      <c r="G39" s="81">
        <f t="shared" si="25"/>
        <v>-2.2657013235549965E-2</v>
      </c>
      <c r="H39" s="81">
        <f t="shared" si="25"/>
        <v>6.8670267785312031E-3</v>
      </c>
      <c r="I39" s="81" t="str">
        <f>'WBD Segments'!O29</f>
        <v>---</v>
      </c>
      <c r="J39" s="81">
        <f>'WBD Segments'!P29</f>
        <v>-0.1285414480587618</v>
      </c>
      <c r="K39" s="81">
        <f>'WBD Segments'!Q29</f>
        <v>-2.7335942203491874</v>
      </c>
      <c r="L39" s="267">
        <f>'WBD Segments'!R29</f>
        <v>1.4249123111651327</v>
      </c>
      <c r="M39" s="81">
        <f>'WBD Segments'!S29</f>
        <v>-0.13526380528550469</v>
      </c>
      <c r="N39" s="81">
        <f>'WBD Segments'!T29</f>
        <v>-0.49312179063208028</v>
      </c>
      <c r="O39" s="81">
        <f>'WBD Segments'!U29</f>
        <v>-0.58426687627540985</v>
      </c>
      <c r="P39" s="81">
        <f>'WBD Segments'!V29</f>
        <v>-4.6935040256965516E-2</v>
      </c>
      <c r="Q39" s="81">
        <f>'WBD Segments'!W29</f>
        <v>-0.4148968781124901</v>
      </c>
    </row>
    <row r="40" spans="2:24" x14ac:dyDescent="0.35">
      <c r="B40" s="79" t="s">
        <v>1045</v>
      </c>
      <c r="C40" s="81">
        <f>C38/C$46</f>
        <v>-2.0119389785540572E-2</v>
      </c>
      <c r="D40" s="81">
        <f t="shared" ref="D40:Q40" si="26">D38/D$46</f>
        <v>-6.5092794759825323E-2</v>
      </c>
      <c r="E40" s="81">
        <f t="shared" si="26"/>
        <v>-0.7457379444715051</v>
      </c>
      <c r="F40" s="81">
        <f t="shared" si="26"/>
        <v>-0.17244988326221722</v>
      </c>
      <c r="G40" s="81">
        <f t="shared" si="26"/>
        <v>-0.11642940650574238</v>
      </c>
      <c r="H40" s="81">
        <f t="shared" si="26"/>
        <v>3.1311410978645357E-2</v>
      </c>
      <c r="I40" s="81">
        <f>'WBD Segments'!O30</f>
        <v>0.51723202170963367</v>
      </c>
      <c r="J40" s="81">
        <f>'WBD Segments'!P30</f>
        <v>-2.1459948320413438</v>
      </c>
      <c r="K40" s="81">
        <f>'WBD Segments'!Q30</f>
        <v>0.57406299840510366</v>
      </c>
      <c r="L40" s="267">
        <f>'WBD Segments'!R30</f>
        <v>2.5723971911529731</v>
      </c>
      <c r="M40" s="81">
        <f>'WBD Segments'!S30</f>
        <v>0.80667812853815402</v>
      </c>
      <c r="N40" s="81">
        <f t="shared" si="26"/>
        <v>0.63846261384193748</v>
      </c>
      <c r="O40" s="81">
        <f t="shared" si="26"/>
        <v>0.75183766632179039</v>
      </c>
      <c r="P40" s="81">
        <f t="shared" si="26"/>
        <v>0.45889835786511024</v>
      </c>
      <c r="Q40" s="81">
        <f t="shared" si="26"/>
        <v>0.18801202928423699</v>
      </c>
    </row>
    <row r="41" spans="2:24" x14ac:dyDescent="0.35">
      <c r="C41" s="78"/>
      <c r="D41" s="78"/>
      <c r="E41" s="78"/>
      <c r="F41" s="78"/>
      <c r="G41" s="78"/>
      <c r="H41" s="78"/>
      <c r="I41" s="78"/>
      <c r="J41" s="78"/>
      <c r="K41" s="78"/>
      <c r="L41" s="266"/>
      <c r="M41" s="78"/>
      <c r="N41" s="78"/>
      <c r="O41" s="78"/>
      <c r="P41" s="78"/>
      <c r="Q41" s="78"/>
    </row>
    <row r="42" spans="2:24" x14ac:dyDescent="0.35">
      <c r="B42" s="2" t="s">
        <v>915</v>
      </c>
      <c r="C42" s="78">
        <f>[2]Segments!C15</f>
        <v>1863</v>
      </c>
      <c r="D42" s="78">
        <f>[2]Segments!D15</f>
        <v>3706</v>
      </c>
      <c r="E42" s="78">
        <f>[2]Segments!E15</f>
        <v>4331</v>
      </c>
      <c r="F42" s="78">
        <f>[2]Segments!F15</f>
        <v>7296</v>
      </c>
      <c r="G42" s="78">
        <f>[2]Segments!G15</f>
        <v>9201</v>
      </c>
      <c r="H42" s="78">
        <f>[2]Segments!H15</f>
        <v>13531</v>
      </c>
      <c r="I42" s="78">
        <f>'WBD Segments'!O31</f>
        <v>-5736</v>
      </c>
      <c r="J42" s="78">
        <f>'WBD Segments'!P31</f>
        <v>-2565</v>
      </c>
      <c r="K42" s="78">
        <f>'WBD Segments'!Q31</f>
        <v>-1485</v>
      </c>
      <c r="L42" s="266">
        <f>'WBD Segments'!R31</f>
        <v>-348.59</v>
      </c>
      <c r="M42" s="78">
        <f>'WBD Segments'!S31</f>
        <v>75.88</v>
      </c>
      <c r="N42" s="78">
        <f>'WBD Segments'!T31</f>
        <v>131.97074423515232</v>
      </c>
      <c r="O42" s="78">
        <f>'WBD Segments'!U31</f>
        <v>235.67309406004438</v>
      </c>
      <c r="P42" s="78">
        <f>'WBD Segments'!V31</f>
        <v>442.35471398329349</v>
      </c>
      <c r="Q42" s="78">
        <f>'WBD Segments'!W31</f>
        <v>842.64841650123719</v>
      </c>
    </row>
    <row r="43" spans="2:24" x14ac:dyDescent="0.35">
      <c r="B43" s="79" t="s">
        <v>1043</v>
      </c>
      <c r="C43" s="81">
        <f>C42/C25</f>
        <v>0.23642131979695433</v>
      </c>
      <c r="D43" s="81">
        <f t="shared" ref="D43:H43" si="27">D42/D25</f>
        <v>0.30329814223749896</v>
      </c>
      <c r="E43" s="81">
        <f t="shared" si="27"/>
        <v>0.24806689959333295</v>
      </c>
      <c r="F43" s="81">
        <f t="shared" si="27"/>
        <v>0.28438900799064509</v>
      </c>
      <c r="G43" s="81">
        <f t="shared" si="27"/>
        <v>0.26269057271740992</v>
      </c>
      <c r="H43" s="81">
        <f t="shared" si="27"/>
        <v>0.29823672029975756</v>
      </c>
      <c r="I43" s="81" t="str">
        <f>'WBD Segments'!O32</f>
        <v>---</v>
      </c>
      <c r="J43" s="81">
        <f>'WBD Segments'!P32</f>
        <v>0.55282426778242677</v>
      </c>
      <c r="K43" s="81">
        <f>'WBD Segments'!Q32</f>
        <v>0.42105263157894735</v>
      </c>
      <c r="L43" s="267">
        <f>'WBD Segments'!R32</f>
        <v>0.76525925925925931</v>
      </c>
      <c r="M43" s="81">
        <f>'WBD Segments'!S32</f>
        <v>1.2176769270489687</v>
      </c>
      <c r="N43" s="81">
        <f>'WBD Segments'!T32</f>
        <v>0.7392032714174005</v>
      </c>
      <c r="O43" s="81">
        <f>'WBD Segments'!U32</f>
        <v>0.78579802232614393</v>
      </c>
      <c r="P43" s="81">
        <f>'WBD Segments'!V32</f>
        <v>0.87698437001294305</v>
      </c>
      <c r="Q43" s="81">
        <f>'WBD Segments'!W32</f>
        <v>0.90491564770136401</v>
      </c>
    </row>
    <row r="44" spans="2:24" x14ac:dyDescent="0.35">
      <c r="B44" s="79" t="s">
        <v>1045</v>
      </c>
      <c r="C44" s="81">
        <f>C42/C$46</f>
        <v>0.41189476011496795</v>
      </c>
      <c r="D44" s="81">
        <f t="shared" ref="D44:Q44" si="28">D42/D$46</f>
        <v>0.50573144104803491</v>
      </c>
      <c r="E44" s="81">
        <f t="shared" si="28"/>
        <v>1.0547978567949343</v>
      </c>
      <c r="F44" s="81">
        <f t="shared" si="28"/>
        <v>0.58739231945898074</v>
      </c>
      <c r="G44" s="81">
        <f t="shared" si="28"/>
        <v>0.63276253352589229</v>
      </c>
      <c r="H44" s="81">
        <f t="shared" si="28"/>
        <v>0.59089916590244118</v>
      </c>
      <c r="I44" s="81">
        <f>'WBD Segments'!O33</f>
        <v>-0.77829036635006787</v>
      </c>
      <c r="J44" s="81">
        <f>'WBD Segments'!P33</f>
        <v>1.6569767441860466</v>
      </c>
      <c r="K44" s="81">
        <f>'WBD Segments'!Q33</f>
        <v>0.14802631578947367</v>
      </c>
      <c r="L44" s="267">
        <f>'WBD Segments'!R33</f>
        <v>-0.36644310823311749</v>
      </c>
      <c r="M44" s="81">
        <f>'WBD Segments'!S33</f>
        <v>2.8926612254545035E-2</v>
      </c>
      <c r="N44" s="81">
        <f t="shared" si="28"/>
        <v>7.8556022512570767E-2</v>
      </c>
      <c r="O44" s="81">
        <f t="shared" si="28"/>
        <v>0.39736151534652819</v>
      </c>
      <c r="P44" s="81">
        <f t="shared" si="28"/>
        <v>0.47765725741305309</v>
      </c>
      <c r="Q44" s="81">
        <f t="shared" si="28"/>
        <v>0.63713116359465682</v>
      </c>
    </row>
    <row r="45" spans="2:24" x14ac:dyDescent="0.35">
      <c r="C45" s="83"/>
      <c r="D45" s="83"/>
      <c r="E45" s="83"/>
      <c r="F45" s="83"/>
      <c r="G45" s="83"/>
      <c r="H45" s="83"/>
      <c r="I45" s="83"/>
      <c r="J45" s="83"/>
      <c r="K45" s="83"/>
      <c r="L45" s="269"/>
      <c r="M45" s="83"/>
      <c r="N45" s="83"/>
      <c r="O45" s="83"/>
      <c r="P45" s="83"/>
      <c r="Q45" s="83"/>
    </row>
    <row r="46" spans="2:24" x14ac:dyDescent="0.35">
      <c r="B46" s="256" t="s">
        <v>1053</v>
      </c>
      <c r="C46" s="257">
        <f>C34+C38+C42</f>
        <v>4523</v>
      </c>
      <c r="D46" s="257">
        <f t="shared" ref="D46:H46" si="29">D34+D38+D42</f>
        <v>7328</v>
      </c>
      <c r="E46" s="257">
        <f t="shared" si="29"/>
        <v>4106</v>
      </c>
      <c r="F46" s="257">
        <f t="shared" si="29"/>
        <v>12421</v>
      </c>
      <c r="G46" s="257">
        <f t="shared" si="29"/>
        <v>14541</v>
      </c>
      <c r="H46" s="257">
        <f t="shared" si="29"/>
        <v>22899</v>
      </c>
      <c r="I46" s="257">
        <f>'WBD Segments'!O23</f>
        <v>-7370</v>
      </c>
      <c r="J46" s="257">
        <f>'WBD Segments'!P23</f>
        <v>-1548</v>
      </c>
      <c r="K46" s="257">
        <f>'WBD Segments'!Q23</f>
        <v>-10032</v>
      </c>
      <c r="L46" s="270">
        <f>'WBD Segments'!R23</f>
        <v>951.28</v>
      </c>
      <c r="M46" s="257">
        <f>'WBD Segments'!S23</f>
        <v>2623.19</v>
      </c>
      <c r="N46" s="257">
        <f>'WBD Segments'!T23</f>
        <v>1679.957055030809</v>
      </c>
      <c r="O46" s="257">
        <f>'WBD Segments'!U23</f>
        <v>593.09491472650609</v>
      </c>
      <c r="P46" s="257">
        <f>'WBD Segments'!V23</f>
        <v>926.0923122555389</v>
      </c>
      <c r="Q46" s="258">
        <f>'WBD Segments'!W23</f>
        <v>1322.5666309383832</v>
      </c>
    </row>
    <row r="47" spans="2:24" x14ac:dyDescent="0.35">
      <c r="B47" s="259" t="s">
        <v>1056</v>
      </c>
      <c r="C47" s="260">
        <f>C46/C29</f>
        <v>4.2268657832271087E-2</v>
      </c>
      <c r="D47" s="260">
        <f t="shared" ref="D47:P47" si="30">D46/D29</f>
        <v>5.3887503952583703E-2</v>
      </c>
      <c r="E47" s="260">
        <f t="shared" si="30"/>
        <v>2.3084794170892695E-2</v>
      </c>
      <c r="F47" s="260">
        <f t="shared" si="30"/>
        <v>5.3334879147397665E-2</v>
      </c>
      <c r="G47" s="260">
        <f t="shared" si="30"/>
        <v>5.1835506662579051E-2</v>
      </c>
      <c r="H47" s="260">
        <f t="shared" si="30"/>
        <v>5.9313999751336569E-2</v>
      </c>
      <c r="I47" s="260">
        <f t="shared" si="30"/>
        <v>-0.21793772363012687</v>
      </c>
      <c r="J47" s="260">
        <f t="shared" si="30"/>
        <v>-3.7462791316763874E-2</v>
      </c>
      <c r="K47" s="260">
        <f t="shared" si="30"/>
        <v>-0.25513084611276415</v>
      </c>
      <c r="L47" s="274">
        <f t="shared" si="30"/>
        <v>2.5599376538605199E-2</v>
      </c>
      <c r="M47" s="260">
        <f t="shared" si="30"/>
        <v>7.1212092419705553E-2</v>
      </c>
      <c r="N47" s="260">
        <f t="shared" si="30"/>
        <v>4.395941674785557E-2</v>
      </c>
      <c r="O47" s="260">
        <f t="shared" si="30"/>
        <v>1.5654975789456845E-2</v>
      </c>
      <c r="P47" s="260">
        <f t="shared" si="30"/>
        <v>2.4413235240595917E-2</v>
      </c>
      <c r="Q47" s="263">
        <f>Q46/Q29</f>
        <v>3.4338089850027842E-2</v>
      </c>
    </row>
    <row r="48" spans="2:24" x14ac:dyDescent="0.35">
      <c r="L48" s="172"/>
    </row>
    <row r="49" spans="1:22" x14ac:dyDescent="0.35">
      <c r="A49" s="68" t="s">
        <v>1029</v>
      </c>
      <c r="B49" s="74" t="s">
        <v>1046</v>
      </c>
      <c r="C49" s="75">
        <v>2015</v>
      </c>
      <c r="D49" s="75">
        <v>2016</v>
      </c>
      <c r="E49" s="75">
        <v>2017</v>
      </c>
      <c r="F49" s="75">
        <v>2018</v>
      </c>
      <c r="G49" s="75">
        <v>2019</v>
      </c>
      <c r="H49" s="75">
        <v>2020</v>
      </c>
      <c r="I49" s="75">
        <v>2022</v>
      </c>
      <c r="J49" s="75">
        <f t="shared" ref="J49" si="31">I49+1</f>
        <v>2023</v>
      </c>
      <c r="K49" s="75">
        <f t="shared" ref="K49" si="32">J49+1</f>
        <v>2024</v>
      </c>
      <c r="L49" s="265">
        <f>K49+1</f>
        <v>2025</v>
      </c>
      <c r="M49" s="76">
        <f>L49+1</f>
        <v>2026</v>
      </c>
      <c r="N49" s="76">
        <f t="shared" ref="N49" si="33">M49+1</f>
        <v>2027</v>
      </c>
      <c r="O49" s="76">
        <f t="shared" ref="O49" si="34">N49+1</f>
        <v>2028</v>
      </c>
      <c r="P49" s="76">
        <f t="shared" ref="P49" si="35">O49+1</f>
        <v>2029</v>
      </c>
      <c r="Q49" s="76">
        <f t="shared" ref="Q49" si="36">P49+1</f>
        <v>2030</v>
      </c>
    </row>
    <row r="50" spans="1:22" x14ac:dyDescent="0.35">
      <c r="L50" s="172"/>
    </row>
    <row r="51" spans="1:22" x14ac:dyDescent="0.35">
      <c r="B51" s="2" t="s">
        <v>1057</v>
      </c>
      <c r="C51" s="78">
        <f>[2]IS!C31</f>
        <v>950</v>
      </c>
      <c r="D51" s="78">
        <f>[2]IS!D31</f>
        <v>1425</v>
      </c>
      <c r="E51" s="78">
        <f>[2]IS!E31</f>
        <v>769</v>
      </c>
      <c r="F51" s="78">
        <f>[2]IS!F31</f>
        <v>1197</v>
      </c>
      <c r="G51" s="78">
        <f>[2]IS!G31</f>
        <v>2374</v>
      </c>
      <c r="H51" s="78">
        <f>[2]IS!H31</f>
        <v>2863</v>
      </c>
      <c r="I51" s="78">
        <f>'WBD Income Statement - GAAP'!F27</f>
        <v>-1663</v>
      </c>
      <c r="J51" s="78">
        <f>'WBD Income Statement - GAAP'!G27</f>
        <v>-784</v>
      </c>
      <c r="K51" s="78">
        <f>'WBD Income Statement - GAAP'!H27</f>
        <v>94</v>
      </c>
      <c r="L51" s="266">
        <f>L46*L52</f>
        <v>199.7688</v>
      </c>
      <c r="M51" s="78">
        <f t="shared" ref="M51:Q51" si="37">M46*M52</f>
        <v>550.86990000000003</v>
      </c>
      <c r="N51" s="78">
        <f t="shared" si="37"/>
        <v>352.79098155646989</v>
      </c>
      <c r="O51" s="78">
        <f t="shared" si="37"/>
        <v>124.54993209256628</v>
      </c>
      <c r="P51" s="78">
        <f t="shared" si="37"/>
        <v>194.47938557366317</v>
      </c>
      <c r="Q51" s="78">
        <f t="shared" si="37"/>
        <v>277.73899249706045</v>
      </c>
    </row>
    <row r="52" spans="1:22" x14ac:dyDescent="0.35">
      <c r="B52" s="79" t="s">
        <v>1058</v>
      </c>
      <c r="C52" s="81">
        <f>IF(C51&lt;0,"--",[2]IS!C31/[2]IS!C30)</f>
        <v>0.60586734693877553</v>
      </c>
      <c r="D52" s="81">
        <f>IF(D51&lt;0,"--",[2]IS!D31/[2]IS!D30)</f>
        <v>0.36613566289825283</v>
      </c>
      <c r="E52" s="81">
        <f>IF(E51&lt;0,"--",[2]IS!E31/[2]IS!E30)</f>
        <v>0.20204939569101418</v>
      </c>
      <c r="F52" s="81">
        <f>IF(F51&lt;0,"--",[2]IS!F31/[2]IS!F30)</f>
        <v>0.10629606606873279</v>
      </c>
      <c r="G52" s="81">
        <f>IF(G51&lt;0,"--",[2]IS!G31/[2]IS!G30)</f>
        <v>0.16986262163709215</v>
      </c>
      <c r="H52" s="81">
        <f>IF(H51&lt;0,"--",[2]IS!H31/[2]IS!H30)</f>
        <v>0.1184134337000579</v>
      </c>
      <c r="I52" s="81">
        <f>'WBD Income Statement - GAAP'!F28</f>
        <v>0.18560267857142856</v>
      </c>
      <c r="J52" s="81">
        <f>'WBD Income Statement - GAAP'!G28</f>
        <v>0.2029510742945897</v>
      </c>
      <c r="K52" s="81">
        <f>'WBD Income Statement - GAAP'!H28</f>
        <v>-8.2543027748507199E-3</v>
      </c>
      <c r="L52" s="267">
        <v>0.21</v>
      </c>
      <c r="M52" s="81">
        <v>0.21</v>
      </c>
      <c r="N52" s="81">
        <v>0.21</v>
      </c>
      <c r="O52" s="81">
        <v>0.21</v>
      </c>
      <c r="P52" s="81">
        <v>0.21</v>
      </c>
      <c r="Q52" s="81">
        <v>0.21</v>
      </c>
    </row>
    <row r="53" spans="1:22" x14ac:dyDescent="0.35">
      <c r="L53" s="172"/>
    </row>
    <row r="54" spans="1:22" x14ac:dyDescent="0.35">
      <c r="A54" s="68" t="s">
        <v>1029</v>
      </c>
      <c r="B54" s="74" t="s">
        <v>1059</v>
      </c>
      <c r="C54" s="75">
        <v>2015</v>
      </c>
      <c r="D54" s="75">
        <f t="shared" ref="D54:H54" si="38">C54+1</f>
        <v>2016</v>
      </c>
      <c r="E54" s="75">
        <f t="shared" si="38"/>
        <v>2017</v>
      </c>
      <c r="F54" s="75">
        <f t="shared" si="38"/>
        <v>2018</v>
      </c>
      <c r="G54" s="75">
        <f t="shared" si="38"/>
        <v>2019</v>
      </c>
      <c r="H54" s="75">
        <f t="shared" si="38"/>
        <v>2020</v>
      </c>
      <c r="I54" s="75">
        <v>2022</v>
      </c>
      <c r="J54" s="75">
        <f t="shared" ref="J54" si="39">I54+1</f>
        <v>2023</v>
      </c>
      <c r="K54" s="75">
        <f t="shared" ref="K54" si="40">J54+1</f>
        <v>2024</v>
      </c>
      <c r="L54" s="265">
        <f>K54+1</f>
        <v>2025</v>
      </c>
      <c r="M54" s="76">
        <f>L54+1</f>
        <v>2026</v>
      </c>
      <c r="N54" s="76">
        <f t="shared" ref="N54" si="41">M54+1</f>
        <v>2027</v>
      </c>
      <c r="O54" s="76">
        <f t="shared" ref="O54" si="42">N54+1</f>
        <v>2028</v>
      </c>
      <c r="P54" s="76">
        <f t="shared" ref="P54" si="43">O54+1</f>
        <v>2029</v>
      </c>
      <c r="Q54" s="76">
        <f t="shared" ref="Q54" si="44">P54+1</f>
        <v>2030</v>
      </c>
    </row>
    <row r="55" spans="1:22" x14ac:dyDescent="0.35">
      <c r="L55" s="172"/>
    </row>
    <row r="56" spans="1:22" x14ac:dyDescent="0.35">
      <c r="B56" s="2" t="s">
        <v>907</v>
      </c>
      <c r="I56" s="88">
        <f>'WBD Segments'!H352</f>
        <v>667</v>
      </c>
      <c r="J56" s="88">
        <f>'WBD Segments'!I352</f>
        <v>702</v>
      </c>
      <c r="K56" s="88">
        <f>'WBD Segments'!J352</f>
        <v>496.80673066666674</v>
      </c>
      <c r="L56" s="275">
        <f>L59*L$17</f>
        <v>719.20173142057911</v>
      </c>
      <c r="M56" s="88">
        <f t="shared" ref="M56:Q56" si="45">M59*M$17</f>
        <v>674.51591985108257</v>
      </c>
      <c r="N56" s="88">
        <f t="shared" si="45"/>
        <v>606.24133798992466</v>
      </c>
      <c r="O56" s="88">
        <f t="shared" si="45"/>
        <v>642.07614529231216</v>
      </c>
      <c r="P56" s="88">
        <f t="shared" si="45"/>
        <v>639.24383339993562</v>
      </c>
      <c r="Q56" s="88">
        <f t="shared" si="45"/>
        <v>659.42864571954499</v>
      </c>
      <c r="R56" s="77"/>
      <c r="S56" s="77"/>
      <c r="T56" s="77"/>
    </row>
    <row r="57" spans="1:22" x14ac:dyDescent="0.35">
      <c r="B57" s="2" t="s">
        <v>1060</v>
      </c>
      <c r="I57" s="89"/>
      <c r="J57" s="89"/>
      <c r="K57" s="89"/>
      <c r="L57" s="276"/>
      <c r="M57" s="77"/>
      <c r="N57" s="77"/>
      <c r="P57" s="77"/>
      <c r="Q57" s="77"/>
      <c r="R57" s="77"/>
      <c r="S57" s="77"/>
      <c r="T57" s="77"/>
    </row>
    <row r="58" spans="1:22" x14ac:dyDescent="0.35">
      <c r="B58" s="79" t="s">
        <v>1061</v>
      </c>
      <c r="I58" s="249">
        <f>'WBD Segments'!G353/100</f>
        <v>7.51E-2</v>
      </c>
      <c r="J58" s="249">
        <f>'WBD Segments'!H353/100</f>
        <v>8.3499999999999991E-2</v>
      </c>
      <c r="K58" s="249">
        <f>'WBD Segments'!I353/100</f>
        <v>9.98E-2</v>
      </c>
      <c r="L58" s="172"/>
    </row>
    <row r="59" spans="1:22" x14ac:dyDescent="0.35">
      <c r="B59" s="79" t="s">
        <v>1062</v>
      </c>
      <c r="I59" s="81">
        <f>I56/I17</f>
        <v>6.8543829000102766E-2</v>
      </c>
      <c r="J59" s="81">
        <f t="shared" ref="J59:K59" si="46">J56/J17</f>
        <v>5.7578740157480317E-2</v>
      </c>
      <c r="K59" s="81">
        <f t="shared" si="46"/>
        <v>4.2802337440050547E-2</v>
      </c>
      <c r="L59" s="285">
        <f>AVERAGE(I59:K59)</f>
        <v>5.6308302199211208E-2</v>
      </c>
      <c r="M59" s="237">
        <f t="shared" ref="M59:Q59" si="47">AVERAGE(J59:L59)</f>
        <v>5.2229793265580693E-2</v>
      </c>
      <c r="N59" s="237">
        <f t="shared" si="47"/>
        <v>5.0446810968280818E-2</v>
      </c>
      <c r="O59" s="237">
        <f t="shared" si="47"/>
        <v>5.2994968811024244E-2</v>
      </c>
      <c r="P59" s="237">
        <f t="shared" si="47"/>
        <v>5.1890524348295254E-2</v>
      </c>
      <c r="Q59" s="237">
        <f t="shared" si="47"/>
        <v>5.1777434709200106E-2</v>
      </c>
    </row>
    <row r="60" spans="1:22" x14ac:dyDescent="0.35">
      <c r="L60" s="172"/>
    </row>
    <row r="61" spans="1:22" x14ac:dyDescent="0.35">
      <c r="B61" s="2" t="s">
        <v>913</v>
      </c>
      <c r="I61" s="88">
        <f>'WBD Segments'!G354</f>
        <v>4691</v>
      </c>
      <c r="J61" s="88">
        <f>'WBD Segments'!H354</f>
        <v>4961</v>
      </c>
      <c r="K61" s="88">
        <f>'WBD Segments'!I354</f>
        <v>4172</v>
      </c>
      <c r="L61" s="275">
        <f>L64*L$21</f>
        <v>3499.3720000000003</v>
      </c>
      <c r="M61" s="88">
        <f t="shared" ref="M61:Q61" si="48">M64*M$21</f>
        <v>3154.0580000000004</v>
      </c>
      <c r="N61" s="88">
        <f t="shared" si="48"/>
        <v>3009.1686251496394</v>
      </c>
      <c r="O61" s="88">
        <f t="shared" si="48"/>
        <v>2762.6561291400153</v>
      </c>
      <c r="P61" s="88">
        <f t="shared" si="48"/>
        <v>2514.5128088350266</v>
      </c>
      <c r="Q61" s="88">
        <f t="shared" si="48"/>
        <v>2315.6416740128434</v>
      </c>
      <c r="R61" s="89"/>
      <c r="S61" s="89"/>
      <c r="T61" s="89"/>
      <c r="V61" s="89"/>
    </row>
    <row r="62" spans="1:22" x14ac:dyDescent="0.35">
      <c r="B62" s="2" t="s">
        <v>1063</v>
      </c>
      <c r="I62" s="89"/>
      <c r="J62" s="89"/>
      <c r="K62" s="89"/>
      <c r="L62" s="172"/>
    </row>
    <row r="63" spans="1:22" x14ac:dyDescent="0.35">
      <c r="B63" s="79" t="s">
        <v>1061</v>
      </c>
      <c r="I63" s="249">
        <f>'WBD Segments'!G355/100</f>
        <v>0.6522</v>
      </c>
      <c r="J63" s="249">
        <f>'WBD Segments'!H355/100</f>
        <v>0.62130000000000007</v>
      </c>
      <c r="K63" s="249">
        <f>'WBD Segments'!I355/100</f>
        <v>0.59289999999999998</v>
      </c>
      <c r="L63" s="172"/>
      <c r="M63" s="79"/>
    </row>
    <row r="64" spans="1:22" x14ac:dyDescent="0.35">
      <c r="B64" s="79" t="s">
        <v>1064</v>
      </c>
      <c r="I64" s="81">
        <f>I61/I21</f>
        <v>0.24245400041347942</v>
      </c>
      <c r="J64" s="81">
        <f>J61/J21</f>
        <v>0.23352475993221616</v>
      </c>
      <c r="K64" s="81">
        <f>K61/K21</f>
        <v>0.20679058240396531</v>
      </c>
      <c r="L64" s="285">
        <v>0.2</v>
      </c>
      <c r="M64" s="237">
        <v>0.2</v>
      </c>
      <c r="N64" s="237">
        <v>0.2</v>
      </c>
      <c r="O64" s="237">
        <v>0.2</v>
      </c>
      <c r="P64" s="237">
        <v>0.2</v>
      </c>
      <c r="Q64" s="237">
        <v>0.2</v>
      </c>
    </row>
    <row r="65" spans="1:22" x14ac:dyDescent="0.35">
      <c r="L65" s="172"/>
    </row>
    <row r="66" spans="1:22" x14ac:dyDescent="0.35">
      <c r="B66" s="2" t="s">
        <v>915</v>
      </c>
      <c r="I66" s="88">
        <f>'WBD Segments'!G356</f>
        <v>1764</v>
      </c>
      <c r="J66" s="88">
        <f>'WBD Segments'!H356</f>
        <v>2063</v>
      </c>
      <c r="K66" s="88">
        <f>'WBD Segments'!I356</f>
        <v>1831</v>
      </c>
      <c r="L66" s="275">
        <f>L69*L$25</f>
        <v>2248.1847873517236</v>
      </c>
      <c r="M66" s="88">
        <f t="shared" ref="M66:Q66" si="49">M69*M$25</f>
        <v>2310.5337007063022</v>
      </c>
      <c r="N66" s="88">
        <f t="shared" si="49"/>
        <v>1976.2811221845457</v>
      </c>
      <c r="O66" s="88">
        <f t="shared" si="49"/>
        <v>2092.0810563607674</v>
      </c>
      <c r="P66" s="88">
        <f t="shared" si="49"/>
        <v>2111.7919253631276</v>
      </c>
      <c r="Q66" s="88">
        <f t="shared" si="49"/>
        <v>2177.1449463191348</v>
      </c>
      <c r="R66" s="89"/>
      <c r="S66" s="89"/>
      <c r="T66" s="89"/>
      <c r="V66" s="89"/>
    </row>
    <row r="67" spans="1:22" x14ac:dyDescent="0.35">
      <c r="B67" s="2" t="s">
        <v>1065</v>
      </c>
      <c r="I67" s="89"/>
      <c r="J67" s="89"/>
      <c r="K67" s="89"/>
      <c r="L67" s="277"/>
      <c r="M67" s="89"/>
      <c r="N67" s="89"/>
      <c r="P67" s="89"/>
      <c r="Q67" s="89"/>
      <c r="R67" s="89"/>
      <c r="S67" s="89"/>
      <c r="T67" s="89"/>
      <c r="V67" s="89"/>
    </row>
    <row r="68" spans="1:22" x14ac:dyDescent="0.35">
      <c r="B68" s="79" t="s">
        <v>1061</v>
      </c>
      <c r="I68" s="249">
        <f>'WBD Segments'!G357/100</f>
        <v>0.2452</v>
      </c>
      <c r="J68" s="249">
        <f>'WBD Segments'!H357/100</f>
        <v>0.25840000000000002</v>
      </c>
      <c r="K68" s="249">
        <f>'WBD Segments'!I357/100</f>
        <v>0.26019999999999999</v>
      </c>
      <c r="L68" s="172"/>
    </row>
    <row r="69" spans="1:22" x14ac:dyDescent="0.35">
      <c r="B69" s="79" t="s">
        <v>1066</v>
      </c>
      <c r="I69" s="81">
        <f>I66/I25</f>
        <v>0.24250756117679406</v>
      </c>
      <c r="J69" s="81">
        <f>J66/J25</f>
        <v>0.20317116407327163</v>
      </c>
      <c r="K69" s="81">
        <f>K66/K25</f>
        <v>0.17754290701056918</v>
      </c>
      <c r="L69" s="285">
        <f>AVERAGE(I69:K69)</f>
        <v>0.20774054408687828</v>
      </c>
      <c r="M69" s="237">
        <f t="shared" ref="M69:Q69" si="50">AVERAGE(J69:L69)</f>
        <v>0.19615153839023969</v>
      </c>
      <c r="N69" s="237">
        <f t="shared" si="50"/>
        <v>0.19381166316256238</v>
      </c>
      <c r="O69" s="237">
        <f t="shared" si="50"/>
        <v>0.19923458187989343</v>
      </c>
      <c r="P69" s="237">
        <f t="shared" si="50"/>
        <v>0.19639926114423181</v>
      </c>
      <c r="Q69" s="237">
        <f t="shared" si="50"/>
        <v>0.19648183539556252</v>
      </c>
    </row>
    <row r="70" spans="1:22" x14ac:dyDescent="0.35">
      <c r="B70" s="79"/>
      <c r="L70" s="172"/>
    </row>
    <row r="71" spans="1:22" x14ac:dyDescent="0.35">
      <c r="B71" s="84" t="s">
        <v>1067</v>
      </c>
      <c r="C71" s="90"/>
      <c r="D71" s="90"/>
      <c r="E71" s="90"/>
      <c r="F71" s="90"/>
      <c r="G71" s="90"/>
      <c r="H71" s="90"/>
      <c r="I71" s="91">
        <f>I56+I61+I66</f>
        <v>7122</v>
      </c>
      <c r="J71" s="91">
        <f>J56+J61+J66</f>
        <v>7726</v>
      </c>
      <c r="K71" s="91">
        <f>K56+K61+K66</f>
        <v>6499.8067306666671</v>
      </c>
      <c r="L71" s="278">
        <f t="shared" ref="L71:Q71" si="51">L56+L61+L66</f>
        <v>6466.7585187723034</v>
      </c>
      <c r="M71" s="91">
        <f t="shared" si="51"/>
        <v>6139.1076205573845</v>
      </c>
      <c r="N71" s="91">
        <f t="shared" si="51"/>
        <v>5591.6910853241097</v>
      </c>
      <c r="O71" s="91">
        <f t="shared" si="51"/>
        <v>5496.8133307930948</v>
      </c>
      <c r="P71" s="91">
        <f t="shared" si="51"/>
        <v>5265.5485675980899</v>
      </c>
      <c r="Q71" s="92">
        <f t="shared" si="51"/>
        <v>5152.215266051523</v>
      </c>
    </row>
    <row r="72" spans="1:22" x14ac:dyDescent="0.35">
      <c r="B72" s="93" t="s">
        <v>1045</v>
      </c>
      <c r="C72" s="94"/>
      <c r="D72" s="94"/>
      <c r="E72" s="94"/>
      <c r="F72" s="94"/>
      <c r="G72" s="94"/>
      <c r="H72" s="94"/>
      <c r="I72" s="95">
        <f>I71/I$29</f>
        <v>0.21060413401543601</v>
      </c>
      <c r="J72" s="95">
        <f t="shared" ref="J72:Q72" si="52">J71/J$29</f>
        <v>0.18697514580963676</v>
      </c>
      <c r="K72" s="95">
        <f t="shared" si="52"/>
        <v>0.1653011553792291</v>
      </c>
      <c r="L72" s="279">
        <f t="shared" si="52"/>
        <v>0.17402340667972102</v>
      </c>
      <c r="M72" s="95">
        <f t="shared" si="52"/>
        <v>0.16665918185478412</v>
      </c>
      <c r="N72" s="95">
        <f t="shared" si="52"/>
        <v>0.14631771568739502</v>
      </c>
      <c r="O72" s="95">
        <f t="shared" si="52"/>
        <v>0.14509057062546377</v>
      </c>
      <c r="P72" s="95">
        <f t="shared" si="52"/>
        <v>0.13880805849523581</v>
      </c>
      <c r="Q72" s="96">
        <f t="shared" si="52"/>
        <v>0.13376810407414902</v>
      </c>
    </row>
    <row r="73" spans="1:22" x14ac:dyDescent="0.35">
      <c r="B73" s="97" t="s">
        <v>1068</v>
      </c>
      <c r="C73" s="98"/>
      <c r="D73" s="98"/>
      <c r="E73" s="98"/>
      <c r="F73" s="98"/>
      <c r="G73" s="98"/>
      <c r="H73" s="98"/>
      <c r="I73" s="99">
        <f>I57+I62+I67</f>
        <v>0</v>
      </c>
      <c r="J73" s="99">
        <f>J57+J62+J67</f>
        <v>0</v>
      </c>
      <c r="K73" s="99">
        <f>K57+K62+K67</f>
        <v>0</v>
      </c>
      <c r="L73" s="280"/>
      <c r="M73" s="100"/>
      <c r="N73" s="100"/>
      <c r="O73" s="100"/>
      <c r="P73" s="100"/>
      <c r="Q73" s="101"/>
    </row>
    <row r="74" spans="1:22" x14ac:dyDescent="0.35">
      <c r="B74" s="79"/>
      <c r="I74" s="87"/>
      <c r="J74" s="87"/>
      <c r="K74" s="87"/>
      <c r="L74" s="172"/>
    </row>
    <row r="75" spans="1:22" x14ac:dyDescent="0.35">
      <c r="B75" s="84" t="s">
        <v>1069</v>
      </c>
      <c r="C75" s="102">
        <f>[2]CFS!C12</f>
        <v>5646</v>
      </c>
      <c r="D75" s="102">
        <f>[2]CFS!D12</f>
        <v>7482</v>
      </c>
      <c r="E75" s="102">
        <f>[2]CFS!E12</f>
        <v>10933</v>
      </c>
      <c r="F75" s="102">
        <f>[2]CFS!F12</f>
        <v>15341</v>
      </c>
      <c r="G75" s="102">
        <f>[2]CFS!G12</f>
        <v>21789</v>
      </c>
      <c r="H75" s="102">
        <f>[2]CFS!H12</f>
        <v>25251</v>
      </c>
      <c r="I75" s="102">
        <f>'WBD Income Statement - GAAP'!F16</f>
        <v>7193</v>
      </c>
      <c r="J75" s="102">
        <f>'WBD Income Statement - GAAP'!G16</f>
        <v>7985</v>
      </c>
      <c r="K75" s="102">
        <f>'WBD Income Statement - GAAP'!H16</f>
        <v>7037</v>
      </c>
      <c r="L75" s="281">
        <f>K75*(1+L76)</f>
        <v>8303.66</v>
      </c>
      <c r="M75" s="102">
        <f>M76*M$29</f>
        <v>6117.153588307775</v>
      </c>
      <c r="N75" s="102">
        <f>N76*N$29</f>
        <v>6114.5745028121128</v>
      </c>
      <c r="O75" s="102">
        <f>O76*O$29</f>
        <v>5682.8089934760965</v>
      </c>
      <c r="P75" s="102">
        <f>P76*P$29</f>
        <v>5690.1039730832499</v>
      </c>
      <c r="Q75" s="236">
        <f>Q76*Q$29</f>
        <v>5777.4033298650893</v>
      </c>
    </row>
    <row r="76" spans="1:22" x14ac:dyDescent="0.35">
      <c r="B76" s="93" t="s">
        <v>1056</v>
      </c>
      <c r="C76" s="103">
        <f t="shared" ref="C76:K76" si="53">C75/C$29</f>
        <v>5.2763396445059153E-2</v>
      </c>
      <c r="D76" s="103">
        <f t="shared" si="53"/>
        <v>5.5019965143726972E-2</v>
      </c>
      <c r="E76" s="103">
        <f t="shared" si="53"/>
        <v>6.1467621692734981E-2</v>
      </c>
      <c r="F76" s="103">
        <f t="shared" si="53"/>
        <v>6.5873148780309768E-2</v>
      </c>
      <c r="G76" s="103">
        <f t="shared" si="53"/>
        <v>7.7673052380918428E-2</v>
      </c>
      <c r="H76" s="103">
        <f t="shared" si="53"/>
        <v>6.5406253885366153E-2</v>
      </c>
      <c r="I76" s="103">
        <f>I75/I$29</f>
        <v>0.21270366975189994</v>
      </c>
      <c r="J76" s="103">
        <f t="shared" si="53"/>
        <v>0.19324314513201521</v>
      </c>
      <c r="K76" s="103">
        <f t="shared" si="53"/>
        <v>0.17896289514508787</v>
      </c>
      <c r="L76" s="282">
        <v>0.18</v>
      </c>
      <c r="M76" s="240">
        <f>AVERAGE(H76:L76)</f>
        <v>0.16606319278287382</v>
      </c>
      <c r="N76" s="240">
        <v>0.16</v>
      </c>
      <c r="O76" s="240">
        <v>0.15</v>
      </c>
      <c r="P76" s="240">
        <v>0.15</v>
      </c>
      <c r="Q76" s="241">
        <v>0.15</v>
      </c>
    </row>
    <row r="77" spans="1:22" x14ac:dyDescent="0.35">
      <c r="B77" s="85" t="s">
        <v>1070</v>
      </c>
      <c r="C77" s="104">
        <f t="shared" ref="C77:L77" si="54">C75/C100</f>
        <v>1.2303334059707998</v>
      </c>
      <c r="D77" s="104">
        <f t="shared" si="54"/>
        <v>1.1105833457028351</v>
      </c>
      <c r="E77" s="104">
        <f t="shared" si="54"/>
        <v>0.91451275616896699</v>
      </c>
      <c r="F77" s="104">
        <f t="shared" si="54"/>
        <v>1.142548596112311</v>
      </c>
      <c r="G77" s="104">
        <f t="shared" si="54"/>
        <v>1.2922721072297016</v>
      </c>
      <c r="H77" s="104">
        <f t="shared" si="54"/>
        <v>0.62907324364723471</v>
      </c>
      <c r="I77" s="104">
        <f>I75/I100</f>
        <v>7.2877406281661603</v>
      </c>
      <c r="J77" s="104">
        <f>J75/J100</f>
        <v>6.0676291793313073</v>
      </c>
      <c r="K77" s="104">
        <f>K75/K100</f>
        <v>7.4229957805907176</v>
      </c>
      <c r="L77" s="283">
        <f t="shared" si="54"/>
        <v>8.5173999361448036</v>
      </c>
      <c r="M77" s="105"/>
      <c r="N77" s="98"/>
      <c r="O77" s="98"/>
      <c r="P77" s="98"/>
      <c r="Q77" s="106"/>
    </row>
    <row r="78" spans="1:22" x14ac:dyDescent="0.35">
      <c r="B78" s="79"/>
      <c r="C78" s="107"/>
      <c r="D78" s="81"/>
      <c r="E78" s="81"/>
      <c r="F78" s="81"/>
      <c r="G78" s="81"/>
      <c r="H78" s="81"/>
      <c r="I78" s="81"/>
      <c r="J78" s="81"/>
      <c r="K78" s="81"/>
      <c r="L78" s="267"/>
    </row>
    <row r="79" spans="1:22" x14ac:dyDescent="0.35">
      <c r="A79" s="68" t="s">
        <v>1029</v>
      </c>
      <c r="B79" s="74" t="s">
        <v>1071</v>
      </c>
      <c r="C79" s="75">
        <v>2015</v>
      </c>
      <c r="D79" s="75">
        <f t="shared" ref="D79:H79" si="55">C79+1</f>
        <v>2016</v>
      </c>
      <c r="E79" s="75">
        <f t="shared" si="55"/>
        <v>2017</v>
      </c>
      <c r="F79" s="75">
        <f t="shared" si="55"/>
        <v>2018</v>
      </c>
      <c r="G79" s="75">
        <f t="shared" si="55"/>
        <v>2019</v>
      </c>
      <c r="H79" s="75">
        <f t="shared" si="55"/>
        <v>2020</v>
      </c>
      <c r="I79" s="75">
        <v>2022</v>
      </c>
      <c r="J79" s="75">
        <f t="shared" ref="J79" si="56">I79+1</f>
        <v>2023</v>
      </c>
      <c r="K79" s="75">
        <f t="shared" ref="K79" si="57">J79+1</f>
        <v>2024</v>
      </c>
      <c r="L79" s="265">
        <f>K79+1</f>
        <v>2025</v>
      </c>
      <c r="M79" s="76">
        <f>L79+1</f>
        <v>2026</v>
      </c>
      <c r="N79" s="76">
        <f t="shared" ref="N79" si="58">M79+1</f>
        <v>2027</v>
      </c>
      <c r="O79" s="76">
        <f t="shared" ref="O79" si="59">N79+1</f>
        <v>2028</v>
      </c>
      <c r="P79" s="76">
        <f t="shared" ref="P79" si="60">O79+1</f>
        <v>2029</v>
      </c>
      <c r="Q79" s="76">
        <f t="shared" ref="Q79" si="61">P79+1</f>
        <v>2030</v>
      </c>
    </row>
    <row r="80" spans="1:22" x14ac:dyDescent="0.35">
      <c r="L80" s="172"/>
    </row>
    <row r="81" spans="2:22" x14ac:dyDescent="0.35">
      <c r="B81" s="2" t="s">
        <v>907</v>
      </c>
      <c r="I81" s="87">
        <f>I83*I$100</f>
        <v>264.20094627678594</v>
      </c>
      <c r="J81" s="87">
        <f>J83*J$100</f>
        <v>368.08148657949067</v>
      </c>
      <c r="K81" s="87">
        <f>K83*K$100</f>
        <v>261.39532010927667</v>
      </c>
      <c r="L81" s="275">
        <f>L84*L$17</f>
        <v>340.01152494447223</v>
      </c>
      <c r="M81" s="88">
        <f t="shared" ref="M81:Q81" si="62">M84*M$17</f>
        <v>341.50531893112066</v>
      </c>
      <c r="N81" s="88">
        <f t="shared" si="62"/>
        <v>302.77818201485485</v>
      </c>
      <c r="O81" s="88">
        <f t="shared" si="62"/>
        <v>316.05719956416232</v>
      </c>
      <c r="P81" s="88">
        <f t="shared" si="62"/>
        <v>319.16726363481524</v>
      </c>
      <c r="Q81" s="88">
        <f t="shared" si="62"/>
        <v>327.69140023995715</v>
      </c>
    </row>
    <row r="82" spans="2:22" x14ac:dyDescent="0.35">
      <c r="B82" s="2" t="s">
        <v>1060</v>
      </c>
      <c r="I82" s="89">
        <f>I100*(I17/I29)</f>
        <v>284.01386876423101</v>
      </c>
      <c r="J82" s="89">
        <f>J100*(J17/J29)</f>
        <v>388.29341013044217</v>
      </c>
      <c r="K82" s="89">
        <f>K100*(K17/K29)</f>
        <v>279.8361181048295</v>
      </c>
      <c r="L82" s="277"/>
      <c r="M82" s="89"/>
      <c r="N82" s="89"/>
      <c r="P82" s="89"/>
      <c r="Q82" s="89"/>
      <c r="R82" s="89"/>
      <c r="S82" s="89"/>
      <c r="T82" s="89"/>
    </row>
    <row r="83" spans="2:22" x14ac:dyDescent="0.35">
      <c r="B83" s="79" t="s">
        <v>1072</v>
      </c>
      <c r="I83" s="81">
        <f>I82/I$98</f>
        <v>0.26768079663301514</v>
      </c>
      <c r="J83" s="81">
        <f t="shared" ref="J83:K83" si="63">J82/J$98</f>
        <v>0.27969717825189261</v>
      </c>
      <c r="K83" s="81">
        <f t="shared" si="63"/>
        <v>0.27573346003088256</v>
      </c>
      <c r="L83" s="284"/>
      <c r="M83" s="239"/>
      <c r="N83" s="238"/>
      <c r="O83" s="238"/>
      <c r="P83" s="238"/>
      <c r="Q83" s="238"/>
    </row>
    <row r="84" spans="2:22" x14ac:dyDescent="0.35">
      <c r="B84" s="79" t="s">
        <v>1073</v>
      </c>
      <c r="I84" s="81">
        <f>I81/I17</f>
        <v>2.715044150413996E-2</v>
      </c>
      <c r="J84" s="81">
        <f>J81/J17</f>
        <v>3.0190410644643263E-2</v>
      </c>
      <c r="K84" s="81">
        <f>K81/K17</f>
        <v>2.2520489369283764E-2</v>
      </c>
      <c r="L84" s="285">
        <f>AVERAGE(I84:K84)</f>
        <v>2.6620447172688994E-2</v>
      </c>
      <c r="M84" s="237">
        <f t="shared" ref="M84:Q84" si="64">AVERAGE(J84:L84)</f>
        <v>2.6443782395538674E-2</v>
      </c>
      <c r="N84" s="237">
        <f t="shared" si="64"/>
        <v>2.5194906312503807E-2</v>
      </c>
      <c r="O84" s="237">
        <f t="shared" si="64"/>
        <v>2.6086378626910489E-2</v>
      </c>
      <c r="P84" s="237">
        <f t="shared" si="64"/>
        <v>2.5908355778317654E-2</v>
      </c>
      <c r="Q84" s="237">
        <f t="shared" si="64"/>
        <v>2.5729880239243982E-2</v>
      </c>
    </row>
    <row r="85" spans="2:22" x14ac:dyDescent="0.35">
      <c r="L85" s="172"/>
      <c r="M85" s="79"/>
    </row>
    <row r="86" spans="2:22" x14ac:dyDescent="0.35">
      <c r="B86" s="2" t="s">
        <v>913</v>
      </c>
      <c r="I86" s="87">
        <f>I88*I$100</f>
        <v>525.30674222209996</v>
      </c>
      <c r="J86" s="87">
        <f>J88*J$100</f>
        <v>641.3650837348016</v>
      </c>
      <c r="K86" s="87">
        <f>K88*K$100</f>
        <v>454.3508730252999</v>
      </c>
      <c r="L86" s="275">
        <f>L89*L$21</f>
        <v>465.77423731793522</v>
      </c>
      <c r="M86" s="88">
        <f t="shared" ref="M86:Q86" si="65">M89*M$21</f>
        <v>417.02611707453963</v>
      </c>
      <c r="N86" s="88">
        <f t="shared" si="65"/>
        <v>379.07860794585525</v>
      </c>
      <c r="O86" s="88">
        <f t="shared" si="65"/>
        <v>360.33846900350682</v>
      </c>
      <c r="P86" s="88">
        <f t="shared" si="65"/>
        <v>325.7344623021736</v>
      </c>
      <c r="Q86" s="88">
        <f t="shared" si="65"/>
        <v>297.90591474676461</v>
      </c>
    </row>
    <row r="87" spans="2:22" x14ac:dyDescent="0.35">
      <c r="B87" s="2" t="s">
        <v>1063</v>
      </c>
      <c r="I87" s="89">
        <f>I100*(I21/I29)</f>
        <v>564.70047609190647</v>
      </c>
      <c r="J87" s="89">
        <f>J100*(J21/J29)</f>
        <v>676.58343215314255</v>
      </c>
      <c r="K87" s="89">
        <f>K100*(K21/K29)</f>
        <v>486.40421149004345</v>
      </c>
      <c r="L87" s="277"/>
      <c r="M87" s="89"/>
      <c r="N87" s="89"/>
      <c r="P87" s="89"/>
      <c r="Q87" s="89"/>
      <c r="R87" s="89"/>
      <c r="S87" s="89"/>
      <c r="T87" s="89"/>
      <c r="V87" s="89"/>
    </row>
    <row r="88" spans="2:22" x14ac:dyDescent="0.35">
      <c r="B88" s="79" t="s">
        <v>1072</v>
      </c>
      <c r="I88" s="81">
        <f>I87/I$98</f>
        <v>0.53222567601023296</v>
      </c>
      <c r="J88" s="81">
        <f t="shared" ref="J88:K88" si="66">J87/J$98</f>
        <v>0.48735948612066993</v>
      </c>
      <c r="K88" s="81">
        <f t="shared" si="66"/>
        <v>0.47927307281149778</v>
      </c>
      <c r="L88" s="172"/>
      <c r="M88" s="79"/>
    </row>
    <row r="89" spans="2:22" x14ac:dyDescent="0.35">
      <c r="B89" s="79" t="s">
        <v>1074</v>
      </c>
      <c r="I89" s="81">
        <f>I86/I21</f>
        <v>2.715044150413996E-2</v>
      </c>
      <c r="J89" s="81">
        <f t="shared" ref="J89:K89" si="67">J86/J21</f>
        <v>3.019041064464327E-2</v>
      </c>
      <c r="K89" s="81">
        <f t="shared" si="67"/>
        <v>2.2520489369283761E-2</v>
      </c>
      <c r="L89" s="285">
        <f>AVERAGE(I89:K89)</f>
        <v>2.6620447172688997E-2</v>
      </c>
      <c r="M89" s="237">
        <f t="shared" ref="M89:Q89" si="68">AVERAGE(J89:L89)</f>
        <v>2.6443782395538674E-2</v>
      </c>
      <c r="N89" s="237">
        <f t="shared" si="68"/>
        <v>2.5194906312503807E-2</v>
      </c>
      <c r="O89" s="237">
        <f t="shared" si="68"/>
        <v>2.6086378626910493E-2</v>
      </c>
      <c r="P89" s="237">
        <f t="shared" si="68"/>
        <v>2.5908355778317658E-2</v>
      </c>
      <c r="Q89" s="237">
        <f t="shared" si="68"/>
        <v>2.5729880239243986E-2</v>
      </c>
      <c r="R89" s="238"/>
    </row>
    <row r="90" spans="2:22" x14ac:dyDescent="0.35">
      <c r="L90" s="172"/>
      <c r="M90" s="79"/>
    </row>
    <row r="91" spans="2:22" x14ac:dyDescent="0.35">
      <c r="B91" s="2" t="s">
        <v>915</v>
      </c>
      <c r="I91" s="87">
        <f>I93*I$100</f>
        <v>197.49231150111405</v>
      </c>
      <c r="J91" s="87">
        <f>J93*J$100</f>
        <v>306.55342968570773</v>
      </c>
      <c r="K91" s="87">
        <f>K93*K$100</f>
        <v>232.25380686542346</v>
      </c>
      <c r="L91" s="275">
        <f>L94*L$25</f>
        <v>288.08860893861413</v>
      </c>
      <c r="M91" s="88">
        <f t="shared" ref="M91:Q91" si="69">M94*M$25</f>
        <v>311.49003928524058</v>
      </c>
      <c r="N91" s="88">
        <f t="shared" si="69"/>
        <v>256.91032679929879</v>
      </c>
      <c r="O91" s="88">
        <f t="shared" si="69"/>
        <v>273.92241868589724</v>
      </c>
      <c r="P91" s="88">
        <f t="shared" si="69"/>
        <v>278.58076559619104</v>
      </c>
      <c r="Q91" s="88">
        <f t="shared" si="69"/>
        <v>285.10360064323658</v>
      </c>
      <c r="R91" s="89"/>
      <c r="S91" s="89"/>
      <c r="T91" s="89"/>
      <c r="V91" s="89"/>
    </row>
    <row r="92" spans="2:22" x14ac:dyDescent="0.35">
      <c r="B92" s="2" t="s">
        <v>1065</v>
      </c>
      <c r="I92" s="89">
        <f>I100*(I25/I29)</f>
        <v>212.30262885530945</v>
      </c>
      <c r="J92" s="89">
        <f>J100*(J25/J29)</f>
        <v>323.38675249872949</v>
      </c>
      <c r="K92" s="89">
        <f>K100*(K25/K29)</f>
        <v>248.63874265659572</v>
      </c>
      <c r="L92" s="172"/>
      <c r="M92" s="79"/>
    </row>
    <row r="93" spans="2:22" x14ac:dyDescent="0.35">
      <c r="B93" s="79" t="s">
        <v>1072</v>
      </c>
      <c r="I93" s="81">
        <f>I92/I$98</f>
        <v>0.20009352735675182</v>
      </c>
      <c r="J93" s="81">
        <f t="shared" ref="J93:K93" si="70">J92/J$98</f>
        <v>0.23294333562743749</v>
      </c>
      <c r="K93" s="81">
        <f t="shared" si="70"/>
        <v>0.24499346715761969</v>
      </c>
      <c r="L93" s="172"/>
      <c r="M93" s="79"/>
    </row>
    <row r="94" spans="2:22" x14ac:dyDescent="0.35">
      <c r="B94" s="79" t="s">
        <v>1075</v>
      </c>
      <c r="I94" s="81">
        <f>I91/I25</f>
        <v>2.7150441504139956E-2</v>
      </c>
      <c r="J94" s="81">
        <f t="shared" ref="J94:K94" si="71">J91/J25</f>
        <v>3.0190410644643267E-2</v>
      </c>
      <c r="K94" s="81">
        <f t="shared" si="71"/>
        <v>2.2520489369283764E-2</v>
      </c>
      <c r="L94" s="285">
        <f>AVERAGE(I94:K94)</f>
        <v>2.6620447172688994E-2</v>
      </c>
      <c r="M94" s="237">
        <f t="shared" ref="M94:Q94" si="72">AVERAGE(J94:L94)</f>
        <v>2.6443782395538674E-2</v>
      </c>
      <c r="N94" s="237">
        <f t="shared" si="72"/>
        <v>2.5194906312503807E-2</v>
      </c>
      <c r="O94" s="237">
        <f t="shared" si="72"/>
        <v>2.6086378626910489E-2</v>
      </c>
      <c r="P94" s="237">
        <f t="shared" si="72"/>
        <v>2.5908355778317654E-2</v>
      </c>
      <c r="Q94" s="237">
        <f t="shared" si="72"/>
        <v>2.5729880239243982E-2</v>
      </c>
    </row>
    <row r="95" spans="2:22" x14ac:dyDescent="0.35">
      <c r="B95" s="79"/>
      <c r="L95" s="172"/>
      <c r="M95" s="79"/>
    </row>
    <row r="96" spans="2:22" x14ac:dyDescent="0.35">
      <c r="B96" s="84" t="s">
        <v>1076</v>
      </c>
      <c r="C96" s="90"/>
      <c r="D96" s="90"/>
      <c r="E96" s="90"/>
      <c r="F96" s="90"/>
      <c r="G96" s="90"/>
      <c r="H96" s="90"/>
      <c r="I96" s="91">
        <f>I81+I86+I91</f>
        <v>987</v>
      </c>
      <c r="J96" s="91">
        <f>J81+J86+J91</f>
        <v>1316</v>
      </c>
      <c r="K96" s="91">
        <f>K81+K86+K91</f>
        <v>948</v>
      </c>
      <c r="L96" s="278">
        <f t="shared" ref="L96:Q96" si="73">L81+L86+L91</f>
        <v>1093.8743712010214</v>
      </c>
      <c r="M96" s="91">
        <f t="shared" si="73"/>
        <v>1070.0214752909008</v>
      </c>
      <c r="N96" s="91">
        <f t="shared" si="73"/>
        <v>938.76711676000889</v>
      </c>
      <c r="O96" s="91">
        <f t="shared" si="73"/>
        <v>950.31808725356643</v>
      </c>
      <c r="P96" s="91">
        <f t="shared" si="73"/>
        <v>923.48249153317988</v>
      </c>
      <c r="Q96" s="92">
        <f t="shared" si="73"/>
        <v>910.70091562995844</v>
      </c>
    </row>
    <row r="97" spans="1:17" x14ac:dyDescent="0.35">
      <c r="B97" s="93" t="s">
        <v>1045</v>
      </c>
      <c r="C97" s="94"/>
      <c r="D97" s="94"/>
      <c r="E97" s="94"/>
      <c r="F97" s="94"/>
      <c r="G97" s="94"/>
      <c r="H97" s="94"/>
      <c r="I97" s="95">
        <f>I96/I$29</f>
        <v>2.9186503829434898E-2</v>
      </c>
      <c r="J97" s="95">
        <f>J96/J$29</f>
        <v>3.1848212773166185E-2</v>
      </c>
      <c r="K97" s="95">
        <f>K96/K$29</f>
        <v>2.4109254596780347E-2</v>
      </c>
      <c r="L97" s="279">
        <f t="shared" ref="L97:Q97" si="74">L96/L$29</f>
        <v>2.9436655784106616E-2</v>
      </c>
      <c r="M97" s="95">
        <f t="shared" si="74"/>
        <v>2.9048017181174567E-2</v>
      </c>
      <c r="N97" s="95">
        <f t="shared" si="74"/>
        <v>2.4564708241353948E-2</v>
      </c>
      <c r="O97" s="95">
        <f t="shared" si="74"/>
        <v>2.5084023279980151E-2</v>
      </c>
      <c r="P97" s="95">
        <f t="shared" si="74"/>
        <v>2.4344436302965657E-2</v>
      </c>
      <c r="Q97" s="96">
        <f t="shared" si="74"/>
        <v>2.3644729222614909E-2</v>
      </c>
    </row>
    <row r="98" spans="1:17" x14ac:dyDescent="0.35">
      <c r="B98" s="97" t="s">
        <v>1077</v>
      </c>
      <c r="C98" s="98"/>
      <c r="D98" s="98"/>
      <c r="E98" s="98"/>
      <c r="F98" s="98"/>
      <c r="G98" s="98"/>
      <c r="H98" s="98"/>
      <c r="I98" s="99">
        <f>I82+I87+I92</f>
        <v>1061.016973711447</v>
      </c>
      <c r="J98" s="99">
        <f t="shared" ref="J98:K98" si="75">J82+J87+J92</f>
        <v>1388.2635947823142</v>
      </c>
      <c r="K98" s="99">
        <f t="shared" si="75"/>
        <v>1014.8790722514686</v>
      </c>
      <c r="L98" s="286"/>
      <c r="M98" s="99"/>
      <c r="N98" s="99"/>
      <c r="O98" s="99"/>
      <c r="P98" s="99"/>
      <c r="Q98" s="108"/>
    </row>
    <row r="99" spans="1:17" x14ac:dyDescent="0.35">
      <c r="L99" s="172"/>
      <c r="M99" s="79"/>
    </row>
    <row r="100" spans="1:17" x14ac:dyDescent="0.35">
      <c r="B100" s="84" t="s">
        <v>1078</v>
      </c>
      <c r="C100" s="102">
        <f>-[2]CFS!C27</f>
        <v>4589</v>
      </c>
      <c r="D100" s="102">
        <f>-[2]CFS!D27</f>
        <v>6737</v>
      </c>
      <c r="E100" s="102">
        <f>-[2]CFS!E27</f>
        <v>11955</v>
      </c>
      <c r="F100" s="102">
        <f>-[2]CFS!F27</f>
        <v>13427</v>
      </c>
      <c r="G100" s="102">
        <f>-[2]CFS!G27</f>
        <v>16861</v>
      </c>
      <c r="H100" s="102">
        <f>-[2]CFS!H27</f>
        <v>40140</v>
      </c>
      <c r="I100" s="102">
        <f>-'WBD Cash Flow - Standardized'!H26</f>
        <v>987</v>
      </c>
      <c r="J100" s="102">
        <f>-'WBD Cash Flow - Standardized'!I26</f>
        <v>1316</v>
      </c>
      <c r="K100" s="102">
        <f>-'WBD Cash Flow - Standardized'!J26</f>
        <v>948</v>
      </c>
      <c r="L100" s="294">
        <f t="shared" ref="L100:Q100" si="76">K100*(1+L101)</f>
        <v>974.90549489900457</v>
      </c>
      <c r="M100" s="295">
        <f t="shared" si="76"/>
        <v>1017.3134341625197</v>
      </c>
      <c r="N100" s="295">
        <f t="shared" si="76"/>
        <v>1049.2621287043255</v>
      </c>
      <c r="O100" s="295">
        <f t="shared" si="76"/>
        <v>1082.6797207535192</v>
      </c>
      <c r="P100" s="295">
        <f t="shared" si="76"/>
        <v>1117.1617149945985</v>
      </c>
      <c r="Q100" s="296">
        <f t="shared" si="76"/>
        <v>1154.4711708803688</v>
      </c>
    </row>
    <row r="101" spans="1:17" x14ac:dyDescent="0.35">
      <c r="B101" s="85" t="s">
        <v>1056</v>
      </c>
      <c r="C101" s="104">
        <f t="shared" ref="C101:H101" si="77">C100/C$29</f>
        <v>4.2885445675943407E-2</v>
      </c>
      <c r="D101" s="104">
        <f t="shared" si="77"/>
        <v>4.9541500290468943E-2</v>
      </c>
      <c r="E101" s="104">
        <f t="shared" si="77"/>
        <v>6.7213520290555814E-2</v>
      </c>
      <c r="F101" s="104">
        <f t="shared" si="77"/>
        <v>5.7654570671613274E-2</v>
      </c>
      <c r="G101" s="104">
        <f t="shared" si="77"/>
        <v>6.0105802753438235E-2</v>
      </c>
      <c r="H101" s="104">
        <f t="shared" si="77"/>
        <v>0.10397239835882134</v>
      </c>
      <c r="I101" s="104">
        <f>I100/I$29</f>
        <v>2.9186503829434898E-2</v>
      </c>
      <c r="J101" s="104">
        <f>J100/J$29</f>
        <v>3.1848212773166185E-2</v>
      </c>
      <c r="K101" s="104">
        <f>K100/K$29</f>
        <v>2.4109254596780347E-2</v>
      </c>
      <c r="L101" s="297">
        <f>AVERAGE(I101:K101)</f>
        <v>2.8381323733127142E-2</v>
      </c>
      <c r="M101" s="298">
        <f>AVERAGE(H101:L101)</f>
        <v>4.3499538658265981E-2</v>
      </c>
      <c r="N101" s="298">
        <f t="shared" ref="N101:Q101" si="78">AVERAGE(I101:M101)</f>
        <v>3.140496671815491E-2</v>
      </c>
      <c r="O101" s="298">
        <f t="shared" si="78"/>
        <v>3.1848659295898911E-2</v>
      </c>
      <c r="P101" s="298">
        <f t="shared" si="78"/>
        <v>3.184874860044546E-2</v>
      </c>
      <c r="Q101" s="299">
        <f t="shared" si="78"/>
        <v>3.3396647401178481E-2</v>
      </c>
    </row>
    <row r="102" spans="1:17" x14ac:dyDescent="0.35">
      <c r="L102" s="172"/>
      <c r="M102" s="79"/>
    </row>
    <row r="103" spans="1:17" x14ac:dyDescent="0.35">
      <c r="A103" s="68" t="s">
        <v>1029</v>
      </c>
      <c r="B103" s="74" t="s">
        <v>1079</v>
      </c>
      <c r="C103" s="75">
        <v>2015</v>
      </c>
      <c r="D103" s="75">
        <f t="shared" ref="D103:H103" si="79">C103+1</f>
        <v>2016</v>
      </c>
      <c r="E103" s="75">
        <f t="shared" si="79"/>
        <v>2017</v>
      </c>
      <c r="F103" s="75">
        <f t="shared" si="79"/>
        <v>2018</v>
      </c>
      <c r="G103" s="75">
        <f t="shared" si="79"/>
        <v>2019</v>
      </c>
      <c r="H103" s="75">
        <f t="shared" si="79"/>
        <v>2020</v>
      </c>
      <c r="I103" s="75">
        <v>2022</v>
      </c>
      <c r="J103" s="75">
        <f t="shared" ref="J103" si="80">I103+1</f>
        <v>2023</v>
      </c>
      <c r="K103" s="75">
        <f t="shared" ref="K103" si="81">J103+1</f>
        <v>2024</v>
      </c>
      <c r="L103" s="265">
        <f>K103+1</f>
        <v>2025</v>
      </c>
      <c r="M103" s="76">
        <f>L103+1</f>
        <v>2026</v>
      </c>
      <c r="N103" s="76">
        <f t="shared" ref="N103" si="82">M103+1</f>
        <v>2027</v>
      </c>
      <c r="O103" s="76">
        <f t="shared" ref="O103" si="83">N103+1</f>
        <v>2028</v>
      </c>
      <c r="P103" s="76">
        <f t="shared" ref="P103" si="84">O103+1</f>
        <v>2029</v>
      </c>
      <c r="Q103" s="76">
        <f t="shared" ref="Q103" si="85">P103+1</f>
        <v>2030</v>
      </c>
    </row>
    <row r="104" spans="1:17" x14ac:dyDescent="0.35">
      <c r="L104" s="172"/>
    </row>
    <row r="105" spans="1:17" x14ac:dyDescent="0.35">
      <c r="B105" s="2" t="s">
        <v>907</v>
      </c>
      <c r="I105" s="87">
        <f>I121*(I17/I29)</f>
        <v>-1138.6452671733152</v>
      </c>
      <c r="J105" s="87">
        <f t="shared" ref="J105:K105" si="86">-J121*(J122)</f>
        <v>-177.47063236610924</v>
      </c>
      <c r="K105" s="87">
        <f t="shared" si="86"/>
        <v>-383.2538338292515</v>
      </c>
      <c r="L105" s="273">
        <f>L106*L17</f>
        <v>-700.73584604156622</v>
      </c>
      <c r="M105" s="87">
        <f t="shared" ref="M105:Q105" si="87">M106*M17</f>
        <v>-440.97507611919059</v>
      </c>
      <c r="N105" s="87">
        <f t="shared" si="87"/>
        <v>-488.82035557112164</v>
      </c>
      <c r="O105" s="87">
        <f t="shared" si="87"/>
        <v>-523.74360933963283</v>
      </c>
      <c r="P105" s="87">
        <f t="shared" si="87"/>
        <v>-484.7565280886663</v>
      </c>
      <c r="Q105" s="87">
        <f t="shared" si="87"/>
        <v>-523.24793745404997</v>
      </c>
    </row>
    <row r="106" spans="1:17" x14ac:dyDescent="0.35">
      <c r="B106" s="79" t="s">
        <v>1073</v>
      </c>
      <c r="I106" s="233">
        <f>I105/I17</f>
        <v>-0.1170121536505308</v>
      </c>
      <c r="J106" s="233">
        <f t="shared" ref="J106:K106" si="88">J105/J17</f>
        <v>-1.4556318271498461E-2</v>
      </c>
      <c r="K106" s="233">
        <f t="shared" si="88"/>
        <v>-3.3019198227729085E-2</v>
      </c>
      <c r="L106" s="285">
        <f>AVERAGE(I106:K106)</f>
        <v>-5.486255671658611E-2</v>
      </c>
      <c r="M106" s="237">
        <f t="shared" ref="M106:Q106" si="89">AVERAGE(J106:L106)</f>
        <v>-3.4146024405271223E-2</v>
      </c>
      <c r="N106" s="237">
        <f t="shared" si="89"/>
        <v>-4.0675926449862142E-2</v>
      </c>
      <c r="O106" s="237">
        <f t="shared" si="89"/>
        <v>-4.3228169190573158E-2</v>
      </c>
      <c r="P106" s="237">
        <f t="shared" si="89"/>
        <v>-3.935004001523551E-2</v>
      </c>
      <c r="Q106" s="237">
        <f t="shared" si="89"/>
        <v>-4.1084711885223606E-2</v>
      </c>
    </row>
    <row r="107" spans="1:17" x14ac:dyDescent="0.35">
      <c r="B107" s="79" t="s">
        <v>1080</v>
      </c>
      <c r="I107" s="393">
        <f>I19</f>
        <v>0.28775467959901824</v>
      </c>
      <c r="J107" s="393">
        <f t="shared" ref="J107:K107" si="90">J19</f>
        <v>0.29505578277389222</v>
      </c>
      <c r="K107" s="393">
        <f t="shared" si="90"/>
        <v>0.29518577859159228</v>
      </c>
      <c r="L107" s="172"/>
      <c r="M107" s="79"/>
    </row>
    <row r="108" spans="1:17" x14ac:dyDescent="0.35">
      <c r="L108" s="172"/>
      <c r="M108" s="79"/>
    </row>
    <row r="109" spans="1:17" x14ac:dyDescent="0.35">
      <c r="B109" s="2" t="s">
        <v>913</v>
      </c>
      <c r="I109" s="87">
        <f>I121*(I21/I29)</f>
        <v>-2263.9511488304702</v>
      </c>
      <c r="J109" s="87">
        <f>J111*J$121</f>
        <v>-1392.2400716342781</v>
      </c>
      <c r="K109" s="87">
        <f>K111*K$121</f>
        <v>-1991.7944609750514</v>
      </c>
      <c r="L109" s="273">
        <f>L110*L21</f>
        <v>-1640.4689047661755</v>
      </c>
      <c r="M109" s="87">
        <f t="shared" ref="M109:Q109" si="91">M110*M21</f>
        <v>-1356.3472304395982</v>
      </c>
      <c r="N109" s="87">
        <f t="shared" si="91"/>
        <v>-1396.7069266811184</v>
      </c>
      <c r="O109" s="87">
        <f t="shared" si="91"/>
        <v>-1255.1413350672442</v>
      </c>
      <c r="P109" s="87">
        <f t="shared" si="91"/>
        <v>-1130.2793696090241</v>
      </c>
      <c r="Q109" s="87">
        <f t="shared" si="91"/>
        <v>-1055.9147680856356</v>
      </c>
    </row>
    <row r="110" spans="1:17" x14ac:dyDescent="0.35">
      <c r="B110" s="79" t="s">
        <v>1074</v>
      </c>
      <c r="I110" s="233">
        <f>I109/I21</f>
        <v>-0.11701215365053082</v>
      </c>
      <c r="J110" s="233">
        <f t="shared" ref="J110:K110" si="92">J109/J21</f>
        <v>-6.5535684034752309E-2</v>
      </c>
      <c r="K110" s="233">
        <f t="shared" si="92"/>
        <v>-9.8725871671625845E-2</v>
      </c>
      <c r="L110" s="285">
        <f>AVERAGE(I110:K110)</f>
        <v>-9.3757903118969657E-2</v>
      </c>
      <c r="M110" s="237">
        <f t="shared" ref="M110:Q110" si="93">AVERAGE(J110:L110)</f>
        <v>-8.6006486275115937E-2</v>
      </c>
      <c r="N110" s="237">
        <f t="shared" si="93"/>
        <v>-9.2830087021903818E-2</v>
      </c>
      <c r="O110" s="237">
        <f t="shared" si="93"/>
        <v>-9.086482547199648E-2</v>
      </c>
      <c r="P110" s="237">
        <f t="shared" si="93"/>
        <v>-8.990046625633874E-2</v>
      </c>
      <c r="Q110" s="237">
        <f t="shared" si="93"/>
        <v>-9.1198459583413008E-2</v>
      </c>
    </row>
    <row r="111" spans="1:17" x14ac:dyDescent="0.35">
      <c r="B111" s="79" t="s">
        <v>1081</v>
      </c>
      <c r="I111" s="393">
        <f>I23</f>
        <v>0.57213827364934799</v>
      </c>
      <c r="J111" s="393">
        <f t="shared" ref="J111:K111" si="94">J23</f>
        <v>0.51412114905253992</v>
      </c>
      <c r="K111" s="393">
        <f t="shared" si="94"/>
        <v>0.51308461127641714</v>
      </c>
      <c r="L111" s="172"/>
      <c r="M111" s="79"/>
    </row>
    <row r="112" spans="1:17" x14ac:dyDescent="0.35">
      <c r="L112" s="172"/>
      <c r="M112" s="79"/>
    </row>
    <row r="113" spans="1:17" x14ac:dyDescent="0.35">
      <c r="B113" s="2" t="s">
        <v>915</v>
      </c>
      <c r="I113" s="87">
        <f>I121*(I25/I29)</f>
        <v>-851.14640565396098</v>
      </c>
      <c r="J113" s="87">
        <f>J115*J$121</f>
        <v>-665.44933568887495</v>
      </c>
      <c r="K113" s="87">
        <f>K115*K$121</f>
        <v>-1018.1599145494774</v>
      </c>
      <c r="L113" s="273">
        <f>L114*L25</f>
        <v>-1014.6555281857392</v>
      </c>
      <c r="M113" s="87">
        <f t="shared" ref="M113:Q113" si="95">M114*M25</f>
        <v>-1013.0987839750615</v>
      </c>
      <c r="N113" s="87">
        <f t="shared" si="95"/>
        <v>-946.58053885156914</v>
      </c>
      <c r="O113" s="87">
        <f t="shared" si="95"/>
        <v>-954.1344593183577</v>
      </c>
      <c r="P113" s="87">
        <f t="shared" si="95"/>
        <v>-966.65882356397219</v>
      </c>
      <c r="Q113" s="87">
        <f t="shared" si="95"/>
        <v>-1010.5375135283459</v>
      </c>
    </row>
    <row r="114" spans="1:17" x14ac:dyDescent="0.35">
      <c r="B114" s="79" t="s">
        <v>1075</v>
      </c>
      <c r="I114" s="233">
        <f>I113/I25</f>
        <v>-0.11701215365053079</v>
      </c>
      <c r="J114" s="233">
        <f t="shared" ref="J114:K114" si="96">J113/J25</f>
        <v>-6.5535684034752309E-2</v>
      </c>
      <c r="K114" s="233">
        <f t="shared" si="96"/>
        <v>-9.8725871671625859E-2</v>
      </c>
      <c r="L114" s="285">
        <f>AVERAGE(I114:K114)</f>
        <v>-9.3757903118969657E-2</v>
      </c>
      <c r="M114" s="237">
        <f t="shared" ref="M114:Q114" si="97">AVERAGE(J114:L114)</f>
        <v>-8.6006486275115937E-2</v>
      </c>
      <c r="N114" s="237">
        <f t="shared" si="97"/>
        <v>-9.2830087021903818E-2</v>
      </c>
      <c r="O114" s="237">
        <f t="shared" si="97"/>
        <v>-9.086482547199648E-2</v>
      </c>
      <c r="P114" s="237">
        <f t="shared" si="97"/>
        <v>-8.990046625633874E-2</v>
      </c>
      <c r="Q114" s="237">
        <f t="shared" si="97"/>
        <v>-9.1198459583413008E-2</v>
      </c>
    </row>
    <row r="115" spans="1:17" x14ac:dyDescent="0.35">
      <c r="B115" s="79" t="s">
        <v>1082</v>
      </c>
      <c r="I115" s="393">
        <f>I27</f>
        <v>0.21509891474702073</v>
      </c>
      <c r="J115" s="393">
        <f t="shared" ref="J115:K115" si="98">J27</f>
        <v>0.24573461436073668</v>
      </c>
      <c r="K115" s="393">
        <f t="shared" si="98"/>
        <v>0.26227715470105034</v>
      </c>
      <c r="L115" s="172"/>
      <c r="M115" s="79"/>
    </row>
    <row r="116" spans="1:17" x14ac:dyDescent="0.35">
      <c r="L116" s="172"/>
      <c r="M116" s="79"/>
    </row>
    <row r="117" spans="1:17" x14ac:dyDescent="0.35">
      <c r="B117" s="84" t="s">
        <v>1083</v>
      </c>
      <c r="C117" s="90"/>
      <c r="D117" s="90"/>
      <c r="E117" s="90"/>
      <c r="F117" s="90"/>
      <c r="G117" s="90"/>
      <c r="H117" s="90"/>
      <c r="I117" s="91">
        <f>I105+I109+I113</f>
        <v>-4253.7428216577464</v>
      </c>
      <c r="J117" s="91">
        <f t="shared" ref="J117:Q117" si="99">J105+J109+J113</f>
        <v>-2235.1600396892622</v>
      </c>
      <c r="K117" s="91">
        <f t="shared" si="99"/>
        <v>-3393.2082093537801</v>
      </c>
      <c r="L117" s="309">
        <f>L105+L109+L113</f>
        <v>-3355.8602789934807</v>
      </c>
      <c r="M117" s="310">
        <f t="shared" si="99"/>
        <v>-2810.4210905338505</v>
      </c>
      <c r="N117" s="310">
        <f t="shared" si="99"/>
        <v>-2832.1078211038093</v>
      </c>
      <c r="O117" s="310">
        <f t="shared" si="99"/>
        <v>-2733.0194037252345</v>
      </c>
      <c r="P117" s="310">
        <f t="shared" si="99"/>
        <v>-2581.6947212616624</v>
      </c>
      <c r="Q117" s="311">
        <f t="shared" si="99"/>
        <v>-2589.7002190680314</v>
      </c>
    </row>
    <row r="118" spans="1:17" x14ac:dyDescent="0.35">
      <c r="B118" s="306" t="s">
        <v>1084</v>
      </c>
      <c r="C118" s="94"/>
      <c r="D118" s="94"/>
      <c r="E118" s="94"/>
      <c r="F118" s="94"/>
      <c r="G118" s="94"/>
      <c r="H118" s="94"/>
      <c r="I118" s="307"/>
      <c r="J118" s="307">
        <f>J117-I117</f>
        <v>2018.5827819684841</v>
      </c>
      <c r="K118" s="307">
        <f>K117-J117</f>
        <v>-1158.0481696645179</v>
      </c>
      <c r="L118" s="308">
        <f>L117-K117</f>
        <v>37.347930360299415</v>
      </c>
      <c r="M118" s="307">
        <f t="shared" ref="M118:Q118" si="100">M117-L117</f>
        <v>545.43918845963026</v>
      </c>
      <c r="N118" s="307">
        <f t="shared" si="100"/>
        <v>-21.686730569958854</v>
      </c>
      <c r="O118" s="307">
        <f t="shared" si="100"/>
        <v>99.088417378574832</v>
      </c>
      <c r="P118" s="307">
        <f t="shared" si="100"/>
        <v>151.32468246357212</v>
      </c>
      <c r="Q118" s="312">
        <f t="shared" si="100"/>
        <v>-8.0054978063690214</v>
      </c>
    </row>
    <row r="119" spans="1:17" x14ac:dyDescent="0.35">
      <c r="B119" s="85" t="s">
        <v>1045</v>
      </c>
      <c r="C119" s="98"/>
      <c r="D119" s="98"/>
      <c r="E119" s="98"/>
      <c r="F119" s="98"/>
      <c r="G119" s="98"/>
      <c r="H119" s="98"/>
      <c r="I119" s="109">
        <f t="shared" ref="I119:Q119" si="101">I117/I$29</f>
        <v>-0.12578711363094736</v>
      </c>
      <c r="J119" s="109">
        <f t="shared" si="101"/>
        <v>-5.4092593104940884E-2</v>
      </c>
      <c r="K119" s="109">
        <f t="shared" si="101"/>
        <v>-8.6295063944298978E-2</v>
      </c>
      <c r="L119" s="313">
        <f t="shared" si="101"/>
        <v>-9.0307723165527307E-2</v>
      </c>
      <c r="M119" s="314">
        <f t="shared" si="101"/>
        <v>-7.6294880064877585E-2</v>
      </c>
      <c r="N119" s="314">
        <f t="shared" si="101"/>
        <v>-7.4107732462530329E-2</v>
      </c>
      <c r="O119" s="314">
        <f t="shared" si="101"/>
        <v>-7.2139132430707048E-2</v>
      </c>
      <c r="P119" s="314">
        <f t="shared" si="101"/>
        <v>-6.8057492450249751E-2</v>
      </c>
      <c r="Q119" s="315">
        <f t="shared" si="101"/>
        <v>-6.7236959353723313E-2</v>
      </c>
    </row>
    <row r="120" spans="1:17" x14ac:dyDescent="0.35">
      <c r="L120" s="172"/>
      <c r="M120" s="79"/>
    </row>
    <row r="121" spans="1:17" x14ac:dyDescent="0.35">
      <c r="B121" s="84" t="s">
        <v>1083</v>
      </c>
      <c r="C121" s="102">
        <f>[2]CFS!C19</f>
        <v>2557</v>
      </c>
      <c r="D121" s="102">
        <f>[2]CFS!D19</f>
        <v>3916</v>
      </c>
      <c r="E121" s="102">
        <f>[2]CFS!E19</f>
        <v>-173</v>
      </c>
      <c r="F121" s="102">
        <f>[2]CFS!F19</f>
        <v>-1043</v>
      </c>
      <c r="G121" s="102">
        <f>[2]CFS!G19</f>
        <v>-2438</v>
      </c>
      <c r="H121" s="102">
        <f>[2]CFS!H19</f>
        <v>13481</v>
      </c>
      <c r="I121" s="102">
        <f>('WBD Balance Sheet'!I22-'WBD Balance Sheet'!I8)-('WBD Balance Sheet'!I54-'WBD Balance Sheet'!I44)</f>
        <v>-3957</v>
      </c>
      <c r="J121" s="102">
        <f>('WBD Balance Sheet'!J22-'WBD Balance Sheet'!J8)-('WBD Balance Sheet'!J54-'WBD Balance Sheet'!J44)</f>
        <v>-2708</v>
      </c>
      <c r="K121" s="102">
        <f>('WBD Balance Sheet'!K22-'WBD Balance Sheet'!K8)-('WBD Balance Sheet'!K54-'WBD Balance Sheet'!K44)</f>
        <v>-3882</v>
      </c>
      <c r="L121" s="294">
        <f>K121*(1+L122)</f>
        <v>-3518.0318200921597</v>
      </c>
      <c r="M121" s="295">
        <f t="shared" ref="M121:Q121" si="102">L121*(1+M122)</f>
        <v>-3215.4582646419822</v>
      </c>
      <c r="N121" s="295">
        <f t="shared" si="102"/>
        <v>-2916.9669941199672</v>
      </c>
      <c r="O121" s="295">
        <f t="shared" si="102"/>
        <v>-2651.9172972916822</v>
      </c>
      <c r="P121" s="295">
        <f t="shared" si="102"/>
        <v>-2413.5086957919102</v>
      </c>
      <c r="Q121" s="296">
        <f t="shared" si="102"/>
        <v>-2193.4004205445158</v>
      </c>
    </row>
    <row r="122" spans="1:17" x14ac:dyDescent="0.35">
      <c r="B122" s="93" t="s">
        <v>1056</v>
      </c>
      <c r="C122" s="103">
        <f t="shared" ref="C122:H122" si="103">C121/C$29</f>
        <v>2.3895856307122966E-2</v>
      </c>
      <c r="D122" s="103">
        <f t="shared" si="103"/>
        <v>2.8796870289071748E-2</v>
      </c>
      <c r="E122" s="103">
        <f t="shared" si="103"/>
        <v>-9.7264232624560065E-4</v>
      </c>
      <c r="F122" s="103">
        <f t="shared" si="103"/>
        <v>-4.4785668586052466E-3</v>
      </c>
      <c r="G122" s="103">
        <f t="shared" si="103"/>
        <v>-8.6909404609977117E-3</v>
      </c>
      <c r="H122" s="103">
        <f t="shared" si="103"/>
        <v>3.4919080774172155E-2</v>
      </c>
      <c r="I122" s="103">
        <f>I121/I$29</f>
        <v>-0.1170121536505308</v>
      </c>
      <c r="J122" s="103">
        <f>J121/J$29</f>
        <v>-6.5535684034752309E-2</v>
      </c>
      <c r="K122" s="103">
        <f>K121/K$29</f>
        <v>-9.8725871671625845E-2</v>
      </c>
      <c r="L122" s="282">
        <f>AVERAGE(I122:K122)</f>
        <v>-9.3757903118969643E-2</v>
      </c>
      <c r="M122" s="103">
        <f t="shared" ref="M122:Q122" si="104">AVERAGE(J122:L122)</f>
        <v>-8.6006486275115937E-2</v>
      </c>
      <c r="N122" s="103">
        <f t="shared" si="104"/>
        <v>-9.2830087021903804E-2</v>
      </c>
      <c r="O122" s="103">
        <f t="shared" si="104"/>
        <v>-9.0864825471996466E-2</v>
      </c>
      <c r="P122" s="103">
        <f t="shared" si="104"/>
        <v>-8.990046625633874E-2</v>
      </c>
      <c r="Q122" s="303">
        <f t="shared" si="104"/>
        <v>-9.1198459583412994E-2</v>
      </c>
    </row>
    <row r="123" spans="1:17" x14ac:dyDescent="0.35">
      <c r="B123" s="85" t="s">
        <v>1085</v>
      </c>
      <c r="C123" s="110" t="s">
        <v>1086</v>
      </c>
      <c r="D123" s="104">
        <f>D121/(D29-C29)</f>
        <v>0.1351230116283082</v>
      </c>
      <c r="E123" s="104">
        <f>E121/(E29-D29)</f>
        <v>-4.1309486854986983E-3</v>
      </c>
      <c r="F123" s="104">
        <f>F121/(F29-E29)</f>
        <v>-1.895639846604024E-2</v>
      </c>
      <c r="G123" s="104">
        <f>G121/(G29-F29)</f>
        <v>-5.118085441377139E-2</v>
      </c>
      <c r="H123" s="104">
        <f>H121/(H29-G29)</f>
        <v>0.12773114020958481</v>
      </c>
      <c r="I123" s="104"/>
      <c r="J123" s="104">
        <f t="shared" ref="J123:Q123" si="105">J121/(J29-I29)</f>
        <v>-0.36087420042643925</v>
      </c>
      <c r="K123" s="104">
        <f t="shared" si="105"/>
        <v>1.9410000000000001</v>
      </c>
      <c r="L123" s="297">
        <f t="shared" si="105"/>
        <v>1.6281757099911871</v>
      </c>
      <c r="M123" s="304">
        <f t="shared" si="105"/>
        <v>9.9248665492994093</v>
      </c>
      <c r="N123" s="304">
        <f t="shared" si="105"/>
        <v>-2.1140649197872254</v>
      </c>
      <c r="O123" s="304">
        <f t="shared" si="105"/>
        <v>8.0191669977359936</v>
      </c>
      <c r="P123" s="304">
        <f t="shared" si="105"/>
        <v>-49.626774009592097</v>
      </c>
      <c r="Q123" s="305">
        <f t="shared" si="105"/>
        <v>-3.7687570127678072</v>
      </c>
    </row>
    <row r="124" spans="1:17" x14ac:dyDescent="0.35">
      <c r="L124" s="172"/>
    </row>
    <row r="125" spans="1:17" x14ac:dyDescent="0.35">
      <c r="A125" s="68" t="s">
        <v>1029</v>
      </c>
      <c r="B125" s="70" t="s">
        <v>1087</v>
      </c>
      <c r="C125" s="71"/>
      <c r="D125" s="71"/>
      <c r="E125" s="71"/>
      <c r="F125" s="71"/>
      <c r="G125" s="71"/>
      <c r="H125" s="71"/>
      <c r="I125" s="71"/>
      <c r="J125" s="71"/>
      <c r="K125" s="71"/>
      <c r="L125" s="264"/>
      <c r="M125" s="71"/>
      <c r="N125" s="71"/>
      <c r="O125" s="71"/>
      <c r="P125" s="71"/>
      <c r="Q125" s="71"/>
    </row>
    <row r="126" spans="1:17" x14ac:dyDescent="0.35">
      <c r="L126" s="172"/>
    </row>
    <row r="127" spans="1:17" x14ac:dyDescent="0.35">
      <c r="A127" s="68" t="s">
        <v>1029</v>
      </c>
      <c r="B127" s="74" t="s">
        <v>1088</v>
      </c>
      <c r="C127" s="75">
        <v>2015</v>
      </c>
      <c r="D127" s="75">
        <f t="shared" ref="D127:H127" si="106">C127+1</f>
        <v>2016</v>
      </c>
      <c r="E127" s="75">
        <f t="shared" si="106"/>
        <v>2017</v>
      </c>
      <c r="F127" s="75">
        <f t="shared" si="106"/>
        <v>2018</v>
      </c>
      <c r="G127" s="75">
        <f t="shared" si="106"/>
        <v>2019</v>
      </c>
      <c r="H127" s="75">
        <f t="shared" si="106"/>
        <v>2020</v>
      </c>
      <c r="I127" s="75">
        <v>2022</v>
      </c>
      <c r="J127" s="75">
        <f t="shared" ref="J127" si="107">I127+1</f>
        <v>2023</v>
      </c>
      <c r="K127" s="75">
        <f t="shared" ref="K127" si="108">J127+1</f>
        <v>2024</v>
      </c>
      <c r="L127" s="265">
        <f>K127+1</f>
        <v>2025</v>
      </c>
      <c r="M127" s="76">
        <f>L127+1</f>
        <v>2026</v>
      </c>
      <c r="N127" s="76">
        <f t="shared" ref="N127" si="109">M127+1</f>
        <v>2027</v>
      </c>
      <c r="O127" s="76">
        <f t="shared" ref="O127" si="110">N127+1</f>
        <v>2028</v>
      </c>
      <c r="P127" s="76">
        <f t="shared" ref="P127" si="111">O127+1</f>
        <v>2029</v>
      </c>
      <c r="Q127" s="76">
        <f t="shared" ref="Q127" si="112">P127+1</f>
        <v>2030</v>
      </c>
    </row>
    <row r="128" spans="1:17" x14ac:dyDescent="0.35">
      <c r="L128" s="172"/>
    </row>
    <row r="129" spans="2:18" x14ac:dyDescent="0.35">
      <c r="B129" s="2" t="s">
        <v>23</v>
      </c>
      <c r="I129" s="235">
        <f t="shared" ref="I129:Q129" si="113">I29</f>
        <v>33817</v>
      </c>
      <c r="J129" s="235">
        <f t="shared" si="113"/>
        <v>41321</v>
      </c>
      <c r="K129" s="235">
        <f t="shared" si="113"/>
        <v>39321</v>
      </c>
      <c r="L129" s="287">
        <f t="shared" si="113"/>
        <v>37160.28</v>
      </c>
      <c r="M129" s="111">
        <f t="shared" si="113"/>
        <v>36836.300000000003</v>
      </c>
      <c r="N129" s="111">
        <f t="shared" si="113"/>
        <v>38216.090642575706</v>
      </c>
      <c r="O129" s="111">
        <f t="shared" si="113"/>
        <v>37885.393289840642</v>
      </c>
      <c r="P129" s="111">
        <f t="shared" si="113"/>
        <v>37934.026487221665</v>
      </c>
      <c r="Q129" s="111">
        <f t="shared" si="113"/>
        <v>38516.022199100596</v>
      </c>
      <c r="R129" s="111"/>
    </row>
    <row r="130" spans="2:18" x14ac:dyDescent="0.35">
      <c r="B130" s="79" t="s">
        <v>1043</v>
      </c>
      <c r="L130" s="288">
        <f t="shared" ref="L130:Q130" si="114">L30</f>
        <v>-5.4950789654383159E-2</v>
      </c>
      <c r="M130" s="112">
        <f t="shared" si="114"/>
        <v>-8.7184488383832415E-3</v>
      </c>
      <c r="N130" s="112">
        <f t="shared" si="114"/>
        <v>3.745736250860434E-2</v>
      </c>
      <c r="O130" s="112">
        <f t="shared" si="114"/>
        <v>-8.6533537882768925E-3</v>
      </c>
      <c r="P130" s="112">
        <f t="shared" si="114"/>
        <v>1.2836925568902625E-3</v>
      </c>
      <c r="Q130" s="112">
        <f t="shared" si="114"/>
        <v>1.5342313109708617E-2</v>
      </c>
      <c r="R130" s="112"/>
    </row>
    <row r="131" spans="2:18" x14ac:dyDescent="0.35">
      <c r="L131" s="172"/>
    </row>
    <row r="132" spans="2:18" x14ac:dyDescent="0.35">
      <c r="B132" s="2" t="s">
        <v>122</v>
      </c>
      <c r="I132" s="235">
        <f t="shared" ref="I132:Q132" si="115">I46</f>
        <v>-7370</v>
      </c>
      <c r="J132" s="235">
        <f t="shared" si="115"/>
        <v>-1548</v>
      </c>
      <c r="K132" s="235">
        <f t="shared" si="115"/>
        <v>-10032</v>
      </c>
      <c r="L132" s="287">
        <f t="shared" si="115"/>
        <v>951.28</v>
      </c>
      <c r="M132" s="111">
        <f t="shared" si="115"/>
        <v>2623.19</v>
      </c>
      <c r="N132" s="111">
        <f t="shared" si="115"/>
        <v>1679.957055030809</v>
      </c>
      <c r="O132" s="111">
        <f t="shared" si="115"/>
        <v>593.09491472650609</v>
      </c>
      <c r="P132" s="111">
        <f t="shared" si="115"/>
        <v>926.0923122555389</v>
      </c>
      <c r="Q132" s="111">
        <f t="shared" si="115"/>
        <v>1322.5666309383832</v>
      </c>
    </row>
    <row r="133" spans="2:18" x14ac:dyDescent="0.35">
      <c r="B133" s="79" t="s">
        <v>1056</v>
      </c>
      <c r="I133" s="202">
        <f>I132/I129</f>
        <v>-0.21793772363012687</v>
      </c>
      <c r="J133" s="202">
        <f>J132/J129</f>
        <v>-3.7462791316763874E-2</v>
      </c>
      <c r="K133" s="202">
        <f>K132/K129</f>
        <v>-0.25513084611276415</v>
      </c>
      <c r="L133" s="288">
        <f t="shared" ref="L133:Q133" si="116">L47</f>
        <v>2.5599376538605199E-2</v>
      </c>
      <c r="M133" s="112">
        <f t="shared" si="116"/>
        <v>7.1212092419705553E-2</v>
      </c>
      <c r="N133" s="112">
        <f t="shared" si="116"/>
        <v>4.395941674785557E-2</v>
      </c>
      <c r="O133" s="112">
        <f t="shared" si="116"/>
        <v>1.5654975789456845E-2</v>
      </c>
      <c r="P133" s="112">
        <f t="shared" si="116"/>
        <v>2.4413235240595917E-2</v>
      </c>
      <c r="Q133" s="112">
        <f t="shared" si="116"/>
        <v>3.4338089850027842E-2</v>
      </c>
    </row>
    <row r="134" spans="2:18" x14ac:dyDescent="0.35">
      <c r="L134" s="172"/>
    </row>
    <row r="135" spans="2:18" x14ac:dyDescent="0.35">
      <c r="B135" s="2" t="s">
        <v>1057</v>
      </c>
      <c r="I135" s="87">
        <f>I51</f>
        <v>-1663</v>
      </c>
      <c r="J135" s="87">
        <f>J51</f>
        <v>-784</v>
      </c>
      <c r="K135" s="87">
        <f>K51</f>
        <v>94</v>
      </c>
      <c r="L135" s="289">
        <f>L132*L136</f>
        <v>199.7688</v>
      </c>
      <c r="M135" s="113">
        <f t="shared" ref="M135:Q135" si="117">M132*M136</f>
        <v>550.86990000000003</v>
      </c>
      <c r="N135" s="113">
        <f t="shared" si="117"/>
        <v>352.79098155646989</v>
      </c>
      <c r="O135" s="113">
        <f t="shared" si="117"/>
        <v>124.54993209256628</v>
      </c>
      <c r="P135" s="113">
        <f t="shared" si="117"/>
        <v>194.47938557366317</v>
      </c>
      <c r="Q135" s="113">
        <f t="shared" si="117"/>
        <v>277.73899249706045</v>
      </c>
    </row>
    <row r="136" spans="2:18" x14ac:dyDescent="0.35">
      <c r="B136" s="79" t="s">
        <v>1058</v>
      </c>
      <c r="I136" s="202">
        <v>0.21</v>
      </c>
      <c r="J136" s="202">
        <v>0.21</v>
      </c>
      <c r="K136" s="202">
        <v>0.21</v>
      </c>
      <c r="L136" s="288">
        <f t="shared" ref="L136:Q136" si="118">L52</f>
        <v>0.21</v>
      </c>
      <c r="M136" s="112">
        <f t="shared" si="118"/>
        <v>0.21</v>
      </c>
      <c r="N136" s="112">
        <f t="shared" si="118"/>
        <v>0.21</v>
      </c>
      <c r="O136" s="112">
        <f t="shared" si="118"/>
        <v>0.21</v>
      </c>
      <c r="P136" s="112">
        <f t="shared" si="118"/>
        <v>0.21</v>
      </c>
      <c r="Q136" s="112">
        <f t="shared" si="118"/>
        <v>0.21</v>
      </c>
    </row>
    <row r="137" spans="2:18" x14ac:dyDescent="0.35">
      <c r="L137" s="172"/>
    </row>
    <row r="138" spans="2:18" x14ac:dyDescent="0.35">
      <c r="B138" s="114" t="s">
        <v>1089</v>
      </c>
      <c r="C138" s="115"/>
      <c r="D138" s="115"/>
      <c r="E138" s="115"/>
      <c r="F138" s="115"/>
      <c r="G138" s="115"/>
      <c r="H138" s="115"/>
      <c r="I138" s="115">
        <f>I132* (1-I136)</f>
        <v>-5822.3</v>
      </c>
      <c r="J138" s="115">
        <f>J132* (1-J136)</f>
        <v>-1222.92</v>
      </c>
      <c r="K138" s="115">
        <f>K132* (1-K136)</f>
        <v>-7925.2800000000007</v>
      </c>
      <c r="L138" s="290">
        <f>L132-L135</f>
        <v>751.51119999999992</v>
      </c>
      <c r="M138" s="116">
        <f t="shared" ref="M138:Q138" si="119">M132-M135</f>
        <v>2072.3200999999999</v>
      </c>
      <c r="N138" s="116">
        <f t="shared" si="119"/>
        <v>1327.1660734743391</v>
      </c>
      <c r="O138" s="116">
        <f t="shared" si="119"/>
        <v>468.54498263393981</v>
      </c>
      <c r="P138" s="116">
        <f t="shared" si="119"/>
        <v>731.61292668187571</v>
      </c>
      <c r="Q138" s="117">
        <f t="shared" si="119"/>
        <v>1044.8276384413227</v>
      </c>
    </row>
    <row r="139" spans="2:18" x14ac:dyDescent="0.35">
      <c r="L139" s="172"/>
    </row>
    <row r="140" spans="2:18" x14ac:dyDescent="0.35">
      <c r="B140" s="2" t="s">
        <v>1059</v>
      </c>
      <c r="I140" s="87">
        <f>I71</f>
        <v>7122</v>
      </c>
      <c r="J140" s="87">
        <f>J71</f>
        <v>7726</v>
      </c>
      <c r="K140" s="87">
        <f>K71</f>
        <v>6499.8067306666671</v>
      </c>
      <c r="L140" s="287">
        <f t="shared" ref="L140:Q141" si="120">L75</f>
        <v>8303.66</v>
      </c>
      <c r="M140" s="111">
        <f t="shared" si="120"/>
        <v>6117.153588307775</v>
      </c>
      <c r="N140" s="111">
        <f t="shared" si="120"/>
        <v>6114.5745028121128</v>
      </c>
      <c r="O140" s="111">
        <f t="shared" si="120"/>
        <v>5682.8089934760965</v>
      </c>
      <c r="P140" s="111">
        <f t="shared" si="120"/>
        <v>5690.1039730832499</v>
      </c>
      <c r="Q140" s="111">
        <f t="shared" si="120"/>
        <v>5777.4033298650893</v>
      </c>
    </row>
    <row r="141" spans="2:18" x14ac:dyDescent="0.35">
      <c r="B141" s="79" t="s">
        <v>1056</v>
      </c>
      <c r="I141" s="202">
        <f>I140/I129</f>
        <v>0.21060413401543601</v>
      </c>
      <c r="J141" s="202">
        <f>J140/J129</f>
        <v>0.18697514580963676</v>
      </c>
      <c r="K141" s="202">
        <f>K140/K129</f>
        <v>0.1653011553792291</v>
      </c>
      <c r="L141" s="288">
        <f t="shared" si="120"/>
        <v>0.18</v>
      </c>
      <c r="M141" s="112">
        <f t="shared" si="120"/>
        <v>0.16606319278287382</v>
      </c>
      <c r="N141" s="112">
        <f t="shared" si="120"/>
        <v>0.16</v>
      </c>
      <c r="O141" s="112">
        <f t="shared" si="120"/>
        <v>0.15</v>
      </c>
      <c r="P141" s="112">
        <f t="shared" si="120"/>
        <v>0.15</v>
      </c>
      <c r="Q141" s="112">
        <f t="shared" si="120"/>
        <v>0.15</v>
      </c>
    </row>
    <row r="142" spans="2:18" x14ac:dyDescent="0.35">
      <c r="L142" s="172"/>
    </row>
    <row r="143" spans="2:18" x14ac:dyDescent="0.35">
      <c r="B143" s="2" t="s">
        <v>1071</v>
      </c>
      <c r="I143" s="87">
        <f>I96</f>
        <v>987</v>
      </c>
      <c r="J143" s="87">
        <f>J96</f>
        <v>1316</v>
      </c>
      <c r="K143" s="87">
        <f>K96</f>
        <v>948</v>
      </c>
      <c r="L143" s="287">
        <f t="shared" ref="L143:Q144" si="121">L100</f>
        <v>974.90549489900457</v>
      </c>
      <c r="M143" s="111">
        <f t="shared" si="121"/>
        <v>1017.3134341625197</v>
      </c>
      <c r="N143" s="111">
        <f t="shared" si="121"/>
        <v>1049.2621287043255</v>
      </c>
      <c r="O143" s="111">
        <f t="shared" si="121"/>
        <v>1082.6797207535192</v>
      </c>
      <c r="P143" s="111">
        <f t="shared" si="121"/>
        <v>1117.1617149945985</v>
      </c>
      <c r="Q143" s="111">
        <f t="shared" si="121"/>
        <v>1154.4711708803688</v>
      </c>
    </row>
    <row r="144" spans="2:18" x14ac:dyDescent="0.35">
      <c r="B144" s="79" t="s">
        <v>1056</v>
      </c>
      <c r="I144" s="202">
        <f>I143/I129</f>
        <v>2.9186503829434898E-2</v>
      </c>
      <c r="J144" s="202">
        <f>J143/J129</f>
        <v>3.1848212773166185E-2</v>
      </c>
      <c r="K144" s="202">
        <f>K143/K129</f>
        <v>2.4109254596780347E-2</v>
      </c>
      <c r="L144" s="288">
        <f t="shared" si="121"/>
        <v>2.8381323733127142E-2</v>
      </c>
      <c r="M144" s="112">
        <f t="shared" si="121"/>
        <v>4.3499538658265981E-2</v>
      </c>
      <c r="N144" s="112">
        <f t="shared" si="121"/>
        <v>3.140496671815491E-2</v>
      </c>
      <c r="O144" s="112">
        <f t="shared" si="121"/>
        <v>3.1848659295898911E-2</v>
      </c>
      <c r="P144" s="112">
        <f t="shared" si="121"/>
        <v>3.184874860044546E-2</v>
      </c>
      <c r="Q144" s="112">
        <f t="shared" si="121"/>
        <v>3.3396647401178481E-2</v>
      </c>
    </row>
    <row r="145" spans="2:17" x14ac:dyDescent="0.35">
      <c r="L145" s="172"/>
    </row>
    <row r="146" spans="2:17" x14ac:dyDescent="0.35">
      <c r="B146" s="2" t="s">
        <v>1084</v>
      </c>
      <c r="I146" s="87">
        <f>I118</f>
        <v>0</v>
      </c>
      <c r="J146" s="87">
        <f>J118</f>
        <v>2018.5827819684841</v>
      </c>
      <c r="K146" s="87">
        <f>K118</f>
        <v>-1158.0481696645179</v>
      </c>
      <c r="L146" s="287">
        <f t="shared" ref="L146:Q147" si="122">L121</f>
        <v>-3518.0318200921597</v>
      </c>
      <c r="M146" s="111">
        <f t="shared" si="122"/>
        <v>-3215.4582646419822</v>
      </c>
      <c r="N146" s="111">
        <f t="shared" si="122"/>
        <v>-2916.9669941199672</v>
      </c>
      <c r="O146" s="111">
        <f t="shared" si="122"/>
        <v>-2651.9172972916822</v>
      </c>
      <c r="P146" s="111">
        <f t="shared" si="122"/>
        <v>-2413.5086957919102</v>
      </c>
      <c r="Q146" s="111">
        <f t="shared" si="122"/>
        <v>-2193.4004205445158</v>
      </c>
    </row>
    <row r="147" spans="2:17" x14ac:dyDescent="0.35">
      <c r="B147" s="79" t="s">
        <v>1056</v>
      </c>
      <c r="I147" s="202">
        <f>I146/I129</f>
        <v>0</v>
      </c>
      <c r="J147" s="202">
        <f>J146/J129</f>
        <v>4.8851256793603352E-2</v>
      </c>
      <c r="K147" s="202">
        <f>K146/K129</f>
        <v>-2.9451137297233487E-2</v>
      </c>
      <c r="L147" s="288">
        <f t="shared" si="122"/>
        <v>-9.3757903118969643E-2</v>
      </c>
      <c r="M147" s="112">
        <f t="shared" si="122"/>
        <v>-8.6006486275115937E-2</v>
      </c>
      <c r="N147" s="112">
        <f t="shared" si="122"/>
        <v>-9.2830087021903804E-2</v>
      </c>
      <c r="O147" s="112">
        <f t="shared" si="122"/>
        <v>-9.0864825471996466E-2</v>
      </c>
      <c r="P147" s="112">
        <f t="shared" si="122"/>
        <v>-8.990046625633874E-2</v>
      </c>
      <c r="Q147" s="112">
        <f t="shared" si="122"/>
        <v>-9.1198459583412994E-2</v>
      </c>
    </row>
    <row r="148" spans="2:17" x14ac:dyDescent="0.35">
      <c r="L148" s="172"/>
    </row>
    <row r="149" spans="2:17" x14ac:dyDescent="0.35">
      <c r="B149" s="118" t="s">
        <v>1090</v>
      </c>
      <c r="C149" s="119"/>
      <c r="D149" s="119"/>
      <c r="E149" s="119"/>
      <c r="F149" s="119"/>
      <c r="G149" s="119"/>
      <c r="H149" s="119"/>
      <c r="I149" s="120">
        <f>I138+I140-I143-I146</f>
        <v>312.69999999999982</v>
      </c>
      <c r="J149" s="120">
        <f>J138+J140-J143-J146</f>
        <v>3168.4972180315158</v>
      </c>
      <c r="K149" s="120">
        <f>K138+K140-K143-K146</f>
        <v>-1215.4250996688156</v>
      </c>
      <c r="L149" s="291">
        <f>L138+L140-L143-L146</f>
        <v>11598.297525193157</v>
      </c>
      <c r="M149" s="120">
        <f t="shared" ref="M149:P149" si="123">M138+M140-M143-M146</f>
        <v>10387.618518787236</v>
      </c>
      <c r="N149" s="120">
        <f t="shared" si="123"/>
        <v>9309.4454417020934</v>
      </c>
      <c r="O149" s="120">
        <f t="shared" si="123"/>
        <v>7720.5915526481995</v>
      </c>
      <c r="P149" s="120">
        <f t="shared" si="123"/>
        <v>7718.0638805624376</v>
      </c>
      <c r="Q149" s="121">
        <f>Q138+Q140-Q143-Q146</f>
        <v>7861.1602179705587</v>
      </c>
    </row>
    <row r="150" spans="2:17" x14ac:dyDescent="0.35">
      <c r="B150" s="122" t="s">
        <v>1091</v>
      </c>
      <c r="C150" s="66"/>
      <c r="D150" s="66"/>
      <c r="E150" s="66"/>
      <c r="F150" s="66"/>
      <c r="G150" s="66"/>
      <c r="H150" s="66"/>
      <c r="I150" s="66"/>
      <c r="J150" s="66"/>
      <c r="K150" s="66"/>
      <c r="L150" s="292">
        <f ca="1">(L149*L152)/(1+wacc)^L153</f>
        <v>962.38930420496138</v>
      </c>
      <c r="M150" s="123">
        <f ca="1">M149/(1+wacc)^M153</f>
        <v>9782.3912902156244</v>
      </c>
      <c r="N150" s="123">
        <f ca="1">N149/(1+wacc)^N153</f>
        <v>7909.6956408179904</v>
      </c>
      <c r="O150" s="123">
        <f ca="1">O149/(1+wacc)^O153</f>
        <v>5918.2521114208366</v>
      </c>
      <c r="P150" s="123">
        <f ca="1">P149/(1+wacc)^P153</f>
        <v>5337.7493484571269</v>
      </c>
      <c r="Q150" s="124">
        <f ca="1">Q149/(1+wacc)^Q153</f>
        <v>4905.0493150418824</v>
      </c>
    </row>
    <row r="151" spans="2:17" x14ac:dyDescent="0.35">
      <c r="L151" s="172"/>
    </row>
    <row r="152" spans="2:17" x14ac:dyDescent="0.35">
      <c r="B152" s="2" t="s">
        <v>1092</v>
      </c>
      <c r="L152" s="293">
        <f>1/12</f>
        <v>8.3333333333333329E-2</v>
      </c>
    </row>
    <row r="153" spans="2:17" x14ac:dyDescent="0.35">
      <c r="B153" s="2" t="s">
        <v>1093</v>
      </c>
      <c r="L153" s="293">
        <f>L152/2</f>
        <v>4.1666666666666664E-2</v>
      </c>
      <c r="M153" s="125">
        <f>L152+0.5</f>
        <v>0.58333333333333337</v>
      </c>
      <c r="N153" s="125">
        <f>M153+1</f>
        <v>1.5833333333333335</v>
      </c>
      <c r="O153" s="125">
        <f t="shared" ref="O153:P153" si="124">N153+1</f>
        <v>2.5833333333333335</v>
      </c>
      <c r="P153" s="125">
        <f t="shared" si="124"/>
        <v>3.5833333333333335</v>
      </c>
      <c r="Q153" s="125">
        <f>P153+1</f>
        <v>4.5833333333333339</v>
      </c>
    </row>
    <row r="154" spans="2:17" x14ac:dyDescent="0.35">
      <c r="L154" s="172"/>
    </row>
    <row r="155" spans="2:17" x14ac:dyDescent="0.35">
      <c r="B155" s="2" t="s">
        <v>1094</v>
      </c>
      <c r="L155" s="172"/>
      <c r="Q155" s="113">
        <f ca="1">(Q149*(1+tgr))/(wacc-tgr)</f>
        <v>90714.704471944642</v>
      </c>
    </row>
    <row r="156" spans="2:17" x14ac:dyDescent="0.35">
      <c r="B156" s="2" t="s">
        <v>1095</v>
      </c>
      <c r="L156" s="172"/>
      <c r="Q156" s="113">
        <f ca="1">Q155/(1+wacc)^Q153</f>
        <v>56602.344526341425</v>
      </c>
    </row>
    <row r="157" spans="2:17" x14ac:dyDescent="0.35">
      <c r="L157" s="172"/>
    </row>
    <row r="158" spans="2:17" x14ac:dyDescent="0.35">
      <c r="B158" s="2" t="s">
        <v>826</v>
      </c>
      <c r="L158" s="172"/>
      <c r="Q158" s="87">
        <f ca="1">SUM(L150:Q150,Q156)</f>
        <v>91417.87153649985</v>
      </c>
    </row>
    <row r="159" spans="2:17" x14ac:dyDescent="0.35">
      <c r="B159" s="2" t="s">
        <v>1096</v>
      </c>
      <c r="L159" s="172"/>
      <c r="Q159" s="87">
        <f>'WBD Balance Sheet'!K7</f>
        <v>5312</v>
      </c>
    </row>
    <row r="160" spans="2:17" x14ac:dyDescent="0.35">
      <c r="B160" s="2" t="s">
        <v>1097</v>
      </c>
      <c r="L160" s="172"/>
      <c r="Q160" s="316">
        <f>SUMPRODUCT('WBD DDIS'!G2:G66,'WBD DDIS'!M2:M66)/10^8</f>
        <v>15472.296775093799</v>
      </c>
    </row>
    <row r="161" spans="1:17" x14ac:dyDescent="0.35">
      <c r="B161" s="2" t="s">
        <v>1098</v>
      </c>
      <c r="L161" s="172"/>
      <c r="Q161" s="87">
        <f ca="1">Q158+Q159-Q160</f>
        <v>81257.574761406053</v>
      </c>
    </row>
    <row r="162" spans="1:17" x14ac:dyDescent="0.35">
      <c r="L162" s="172"/>
    </row>
    <row r="163" spans="1:17" x14ac:dyDescent="0.35">
      <c r="B163" s="2" t="s">
        <v>1099</v>
      </c>
      <c r="L163" s="172"/>
      <c r="Q163" s="78" cm="1">
        <f t="array" aca="1" ref="Q163" ca="1">_FV(L4,"Shares outstanding",TRUE)/10^6</f>
        <v>2478.3989999999999</v>
      </c>
    </row>
    <row r="164" spans="1:17" x14ac:dyDescent="0.35">
      <c r="A164" s="68" t="s">
        <v>1029</v>
      </c>
      <c r="B164" s="374" t="s">
        <v>1100</v>
      </c>
      <c r="C164" s="375"/>
      <c r="D164" s="375"/>
      <c r="E164" s="375"/>
      <c r="F164" s="375"/>
      <c r="G164" s="375"/>
      <c r="H164" s="375"/>
      <c r="I164" s="375"/>
      <c r="J164" s="375"/>
      <c r="K164" s="375"/>
      <c r="L164" s="374"/>
      <c r="M164" s="375"/>
      <c r="N164" s="375"/>
      <c r="O164" s="375"/>
      <c r="P164" s="375"/>
      <c r="Q164" s="376">
        <f ca="1">Q161/Q163</f>
        <v>32.786316796208382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91EF0-9EF9-BB45-BFF3-9AA4B797EB27}">
  <sheetPr>
    <tabColor rgb="FF00B050"/>
  </sheetPr>
  <dimension ref="A2:XFD44"/>
  <sheetViews>
    <sheetView workbookViewId="0">
      <selection activeCell="B4" sqref="B4"/>
    </sheetView>
  </sheetViews>
  <sheetFormatPr defaultColWidth="8.88671875" defaultRowHeight="17.399999999999999" x14ac:dyDescent="0.35"/>
  <cols>
    <col min="1" max="1" width="2.109375" style="2" bestFit="1" customWidth="1"/>
    <col min="2" max="2" width="20.44140625" style="2" bestFit="1" customWidth="1"/>
    <col min="3" max="11" width="15.44140625" style="2" customWidth="1"/>
    <col min="12" max="16384" width="8.88671875" style="2"/>
  </cols>
  <sheetData>
    <row r="2" spans="1:12" s="67" customFormat="1" x14ac:dyDescent="0.35">
      <c r="B2" s="317" t="s">
        <v>1101</v>
      </c>
    </row>
    <row r="4" spans="1:12" x14ac:dyDescent="0.35">
      <c r="B4" s="318" t="s">
        <v>1033</v>
      </c>
      <c r="C4" s="319"/>
      <c r="D4" s="319"/>
    </row>
    <row r="5" spans="1:12" x14ac:dyDescent="0.35">
      <c r="B5" s="2" t="s">
        <v>1036</v>
      </c>
      <c r="D5" s="320">
        <f ca="1">wacc</f>
        <v>0.10839122024378989</v>
      </c>
    </row>
    <row r="6" spans="1:12" x14ac:dyDescent="0.35">
      <c r="B6" s="2" t="s">
        <v>1037</v>
      </c>
      <c r="D6" s="320">
        <f>tgr</f>
        <v>0.02</v>
      </c>
    </row>
    <row r="8" spans="1:12" x14ac:dyDescent="0.35">
      <c r="A8" s="68" t="s">
        <v>1029</v>
      </c>
      <c r="B8" s="318" t="s">
        <v>1102</v>
      </c>
      <c r="C8" s="319"/>
      <c r="D8" s="319"/>
      <c r="E8" s="319"/>
      <c r="F8" s="319"/>
      <c r="G8" s="319"/>
      <c r="H8" s="319"/>
      <c r="I8" s="319"/>
      <c r="J8" s="319"/>
      <c r="K8" s="319"/>
    </row>
    <row r="9" spans="1:12" ht="5.0999999999999996" customHeight="1" x14ac:dyDescent="0.35">
      <c r="A9" s="68"/>
      <c r="E9" s="351"/>
    </row>
    <row r="10" spans="1:12" x14ac:dyDescent="0.35">
      <c r="A10" s="68" t="s">
        <v>1029</v>
      </c>
      <c r="B10" s="321" t="s">
        <v>1088</v>
      </c>
      <c r="C10" s="75">
        <v>2022</v>
      </c>
      <c r="D10" s="75">
        <f t="shared" ref="D10:E10" si="0">C10+1</f>
        <v>2023</v>
      </c>
      <c r="E10" s="75">
        <f t="shared" si="0"/>
        <v>2024</v>
      </c>
      <c r="F10" s="265">
        <f>E10+1</f>
        <v>2025</v>
      </c>
      <c r="G10" s="76">
        <f>F10+1</f>
        <v>2026</v>
      </c>
      <c r="H10" s="76">
        <f t="shared" ref="H10:K10" si="1">G10+1</f>
        <v>2027</v>
      </c>
      <c r="I10" s="76">
        <f t="shared" si="1"/>
        <v>2028</v>
      </c>
      <c r="J10" s="76">
        <f t="shared" si="1"/>
        <v>2029</v>
      </c>
      <c r="K10" s="76">
        <f t="shared" si="1"/>
        <v>2030</v>
      </c>
    </row>
    <row r="11" spans="1:12" ht="5.0999999999999996" customHeight="1" x14ac:dyDescent="0.35">
      <c r="A11" s="68"/>
      <c r="F11" s="172"/>
    </row>
    <row r="12" spans="1:12" x14ac:dyDescent="0.35">
      <c r="A12" s="68"/>
      <c r="B12" s="2" t="s">
        <v>23</v>
      </c>
      <c r="C12" s="322">
        <v>9731</v>
      </c>
      <c r="D12" s="322">
        <v>12192</v>
      </c>
      <c r="E12" s="322">
        <v>11607</v>
      </c>
      <c r="F12" s="343">
        <v>12772.57</v>
      </c>
      <c r="G12" s="322">
        <v>12914.39</v>
      </c>
      <c r="H12" s="322">
        <v>12017.436312695918</v>
      </c>
      <c r="I12" s="322">
        <v>12115.794380064712</v>
      </c>
      <c r="J12" s="322">
        <v>12319.086026366904</v>
      </c>
      <c r="K12" s="322">
        <v>12735.83076147212</v>
      </c>
      <c r="L12" s="111"/>
    </row>
    <row r="13" spans="1:12" x14ac:dyDescent="0.35">
      <c r="A13" s="68"/>
      <c r="B13" s="323" t="s">
        <v>1043</v>
      </c>
      <c r="C13" s="324" t="str">
        <f>'WBD Segments'!O12</f>
        <v>---</v>
      </c>
      <c r="D13" s="324">
        <f>'WBD Segments'!P12</f>
        <v>0.25290309320727572</v>
      </c>
      <c r="E13" s="324">
        <f>'WBD Segments'!Q12</f>
        <v>-4.7982283464566899E-2</v>
      </c>
      <c r="F13" s="384">
        <f>'WBD Segments'!R12</f>
        <v>0.10041957439476179</v>
      </c>
      <c r="G13" s="324">
        <f>'WBD Segments'!S12</f>
        <v>0.11110348191475952</v>
      </c>
      <c r="H13" s="324">
        <f>'WBD Segments'!T12</f>
        <v>0.20411096651305755</v>
      </c>
      <c r="I13" s="324">
        <f>'WBD Segments'!U12</f>
        <v>0.191912934839503</v>
      </c>
      <c r="J13" s="324">
        <f>'WBD Segments'!V12</f>
        <v>0.15188673941552047</v>
      </c>
      <c r="K13" s="324">
        <f>'WBD Segments'!W12</f>
        <v>0.16475353067071014</v>
      </c>
      <c r="L13" s="325"/>
    </row>
    <row r="14" spans="1:12" x14ac:dyDescent="0.35">
      <c r="A14" s="68"/>
      <c r="F14" s="172"/>
    </row>
    <row r="15" spans="1:12" x14ac:dyDescent="0.35">
      <c r="A15" s="68"/>
      <c r="B15" s="2" t="s">
        <v>122</v>
      </c>
      <c r="C15" s="322">
        <f>'WBD SOTP'!I34</f>
        <v>541</v>
      </c>
      <c r="D15" s="322">
        <f>'WBD SOTP'!J34</f>
        <v>211</v>
      </c>
      <c r="E15" s="322">
        <f>'WBD SOTP'!K34</f>
        <v>529</v>
      </c>
      <c r="F15" s="343">
        <f>'WBD SOTP'!L34</f>
        <v>1690.07</v>
      </c>
      <c r="G15" s="322">
        <f>'WBD SOTP'!M34</f>
        <v>1847.18</v>
      </c>
      <c r="H15" s="322">
        <f>'WBD SOTP'!N34</f>
        <v>3040.886574127363</v>
      </c>
      <c r="I15" s="322">
        <f>'WBD SOTP'!O34</f>
        <v>3065.7750543935658</v>
      </c>
      <c r="J15" s="322">
        <f>'WBD SOTP'!P34</f>
        <v>3117.2158793571643</v>
      </c>
      <c r="K15" s="322">
        <f>'WBD SOTP'!Q34</f>
        <v>3222.6687760353766</v>
      </c>
    </row>
    <row r="16" spans="1:12" x14ac:dyDescent="0.35">
      <c r="A16" s="68"/>
      <c r="B16" s="323" t="s">
        <v>1056</v>
      </c>
      <c r="C16" s="347">
        <f t="shared" ref="C16:K16" si="2">C15/C12</f>
        <v>5.5595519473846472E-2</v>
      </c>
      <c r="D16" s="348">
        <f t="shared" si="2"/>
        <v>1.7306430446194225E-2</v>
      </c>
      <c r="E16" s="377">
        <f t="shared" si="2"/>
        <v>4.5575945550099077E-2</v>
      </c>
      <c r="F16" s="378">
        <f t="shared" si="2"/>
        <v>0.13232027696853491</v>
      </c>
      <c r="G16" s="348">
        <f t="shared" si="2"/>
        <v>0.14303269453686934</v>
      </c>
      <c r="H16" s="348">
        <f t="shared" si="2"/>
        <v>0.25303954146316499</v>
      </c>
      <c r="I16" s="348">
        <f t="shared" si="2"/>
        <v>0.25303954146316499</v>
      </c>
      <c r="J16" s="348">
        <f t="shared" si="2"/>
        <v>0.25303954146316499</v>
      </c>
      <c r="K16" s="348">
        <f t="shared" si="2"/>
        <v>0.25303954146316499</v>
      </c>
    </row>
    <row r="17" spans="1:11 16384:16384" x14ac:dyDescent="0.35">
      <c r="A17" s="68"/>
      <c r="F17" s="172"/>
    </row>
    <row r="18" spans="1:11 16384:16384" x14ac:dyDescent="0.35">
      <c r="A18" s="68"/>
      <c r="B18" s="2" t="s">
        <v>1057</v>
      </c>
      <c r="C18" s="125">
        <f>C15*C19</f>
        <v>113.61</v>
      </c>
      <c r="D18" s="125">
        <f>D15*D19</f>
        <v>44.309999999999995</v>
      </c>
      <c r="E18" s="125">
        <f>E15*E19</f>
        <v>111.08999999999999</v>
      </c>
      <c r="F18" s="293">
        <f>F15*F19</f>
        <v>354.91469999999998</v>
      </c>
      <c r="G18" s="125">
        <f>G15*G19</f>
        <v>387.90780000000001</v>
      </c>
      <c r="H18" s="125">
        <f>H15*H19</f>
        <v>638.58618056674618</v>
      </c>
      <c r="I18" s="125">
        <f>I15*I19</f>
        <v>643.8127614226488</v>
      </c>
      <c r="J18" s="125">
        <f>J15*J19</f>
        <v>654.61533466500453</v>
      </c>
      <c r="K18" s="125">
        <f>K15*K19</f>
        <v>676.76044296742907</v>
      </c>
    </row>
    <row r="19" spans="1:11 16384:16384" x14ac:dyDescent="0.35">
      <c r="A19" s="68"/>
      <c r="B19" s="323" t="s">
        <v>1058</v>
      </c>
      <c r="C19" s="341">
        <f>21%</f>
        <v>0.21</v>
      </c>
      <c r="D19" s="341">
        <f>21%</f>
        <v>0.21</v>
      </c>
      <c r="E19" s="341">
        <f>21%</f>
        <v>0.21</v>
      </c>
      <c r="F19" s="385">
        <f>21%</f>
        <v>0.21</v>
      </c>
      <c r="G19" s="341">
        <f>21%</f>
        <v>0.21</v>
      </c>
      <c r="H19" s="341">
        <f>21%</f>
        <v>0.21</v>
      </c>
      <c r="I19" s="341">
        <f>21%</f>
        <v>0.21</v>
      </c>
      <c r="J19" s="341">
        <f>21%</f>
        <v>0.21</v>
      </c>
      <c r="K19" s="341">
        <f>21%</f>
        <v>0.21</v>
      </c>
    </row>
    <row r="20" spans="1:11 16384:16384" x14ac:dyDescent="0.35">
      <c r="A20" s="68"/>
      <c r="F20" s="172"/>
    </row>
    <row r="21" spans="1:11 16384:16384" x14ac:dyDescent="0.35">
      <c r="A21" s="68"/>
      <c r="B21" s="326" t="s">
        <v>1089</v>
      </c>
      <c r="C21" s="349">
        <f>C15-C18</f>
        <v>427.39</v>
      </c>
      <c r="D21" s="349">
        <f>D15-D18</f>
        <v>166.69</v>
      </c>
      <c r="E21" s="349">
        <f>E15-E18</f>
        <v>417.91</v>
      </c>
      <c r="F21" s="390">
        <f>F15-F18</f>
        <v>1335.1552999999999</v>
      </c>
      <c r="G21" s="391">
        <f>G15-G18</f>
        <v>1459.2722000000001</v>
      </c>
      <c r="H21" s="391">
        <f>H15-H18</f>
        <v>2402.3003935606166</v>
      </c>
      <c r="I21" s="391">
        <f>I15-I18</f>
        <v>2421.9622929709171</v>
      </c>
      <c r="J21" s="391">
        <f>J15-J18</f>
        <v>2462.6005446921599</v>
      </c>
      <c r="K21" s="392">
        <f>K15-K18</f>
        <v>2545.9083330679478</v>
      </c>
    </row>
    <row r="22" spans="1:11 16384:16384" x14ac:dyDescent="0.35">
      <c r="A22" s="68"/>
      <c r="F22" s="172"/>
    </row>
    <row r="23" spans="1:11 16384:16384" x14ac:dyDescent="0.35">
      <c r="A23" s="68"/>
      <c r="B23" s="2" t="s">
        <v>1059</v>
      </c>
      <c r="C23" s="322">
        <v>667</v>
      </c>
      <c r="D23" s="322">
        <v>702</v>
      </c>
      <c r="E23" s="322">
        <v>496.80673066666674</v>
      </c>
      <c r="F23" s="343">
        <v>719.20173142057911</v>
      </c>
      <c r="G23" s="322">
        <v>674.51591985108257</v>
      </c>
      <c r="H23" s="322">
        <v>606.24133798992466</v>
      </c>
      <c r="I23" s="322">
        <v>642.07614529231216</v>
      </c>
      <c r="J23" s="322">
        <v>639.24383339993562</v>
      </c>
      <c r="K23" s="322">
        <v>659.42864571954499</v>
      </c>
    </row>
    <row r="24" spans="1:11 16384:16384" x14ac:dyDescent="0.35">
      <c r="A24" s="68"/>
      <c r="B24" s="323" t="s">
        <v>1056</v>
      </c>
      <c r="C24" s="347">
        <f>C23/C12</f>
        <v>6.8543829000102766E-2</v>
      </c>
      <c r="D24" s="348">
        <f>D23/D12</f>
        <v>5.7578740157480317E-2</v>
      </c>
      <c r="E24" s="377">
        <f>E23/E12</f>
        <v>4.2802337440050547E-2</v>
      </c>
      <c r="F24" s="378">
        <f>F23/F12</f>
        <v>5.6308302199211208E-2</v>
      </c>
      <c r="G24" s="348">
        <f>G23/G12</f>
        <v>5.2229793265580693E-2</v>
      </c>
      <c r="H24" s="348">
        <f>H23/H12</f>
        <v>5.0446810968280818E-2</v>
      </c>
      <c r="I24" s="348">
        <f>I23/I12</f>
        <v>5.2994968811024237E-2</v>
      </c>
      <c r="J24" s="348">
        <f>J23/J12</f>
        <v>5.1890524348295254E-2</v>
      </c>
      <c r="K24" s="348">
        <f>K23/K12</f>
        <v>5.1777434709200106E-2</v>
      </c>
    </row>
    <row r="25" spans="1:11 16384:16384" x14ac:dyDescent="0.35">
      <c r="A25" s="68"/>
      <c r="F25" s="172"/>
    </row>
    <row r="26" spans="1:11 16384:16384" x14ac:dyDescent="0.35">
      <c r="A26" s="68"/>
      <c r="B26" s="2" t="s">
        <v>1071</v>
      </c>
      <c r="C26" s="322">
        <v>264.20094627678594</v>
      </c>
      <c r="D26" s="322">
        <v>368.08148657949067</v>
      </c>
      <c r="E26" s="322">
        <v>261.39532010927667</v>
      </c>
      <c r="F26" s="343">
        <v>340.01152494447223</v>
      </c>
      <c r="G26" s="322">
        <v>341.50531893112066</v>
      </c>
      <c r="H26" s="322">
        <v>302.77818201485485</v>
      </c>
      <c r="I26" s="322">
        <v>316.05719956416232</v>
      </c>
      <c r="J26" s="322">
        <v>319.16726363481524</v>
      </c>
      <c r="K26" s="322">
        <v>327.69140023995715</v>
      </c>
    </row>
    <row r="27" spans="1:11 16384:16384" x14ac:dyDescent="0.35">
      <c r="A27" s="68"/>
      <c r="B27" s="323" t="s">
        <v>1056</v>
      </c>
      <c r="C27" s="347">
        <f>C26/C12</f>
        <v>2.715044150413996E-2</v>
      </c>
      <c r="D27" s="348">
        <f>D26/D12</f>
        <v>3.0190410644643263E-2</v>
      </c>
      <c r="E27" s="377">
        <f>E26/E12</f>
        <v>2.2520489369283764E-2</v>
      </c>
      <c r="F27" s="378">
        <f>F26/F12</f>
        <v>2.6620447172688994E-2</v>
      </c>
      <c r="G27" s="348">
        <f>G26/G12</f>
        <v>2.6443782395538674E-2</v>
      </c>
      <c r="H27" s="348">
        <f>H26/H12</f>
        <v>2.5194906312503807E-2</v>
      </c>
      <c r="I27" s="348">
        <f>I26/I12</f>
        <v>2.6086378626910489E-2</v>
      </c>
      <c r="J27" s="348">
        <f>J26/J12</f>
        <v>2.5908355778317654E-2</v>
      </c>
      <c r="K27" s="348">
        <f>K26/K12</f>
        <v>2.5729880239243982E-2</v>
      </c>
    </row>
    <row r="28" spans="1:11 16384:16384" x14ac:dyDescent="0.35">
      <c r="A28" s="68"/>
      <c r="F28" s="172"/>
    </row>
    <row r="29" spans="1:11 16384:16384" x14ac:dyDescent="0.35">
      <c r="A29" s="68"/>
      <c r="B29" s="2" t="s">
        <v>1103</v>
      </c>
      <c r="C29" s="125">
        <v>-1138.6452671733152</v>
      </c>
      <c r="D29" s="125">
        <v>-177.47063236610924</v>
      </c>
      <c r="E29" s="125">
        <v>-383.2538338292515</v>
      </c>
      <c r="F29" s="293">
        <v>-700.73584604156622</v>
      </c>
      <c r="G29" s="125">
        <v>-440.97507611919059</v>
      </c>
      <c r="H29" s="125">
        <v>-488.82035557112164</v>
      </c>
      <c r="I29" s="125">
        <v>-523.74360933963283</v>
      </c>
      <c r="J29" s="125">
        <v>-484.7565280886663</v>
      </c>
      <c r="K29" s="125">
        <v>-523.24793745404997</v>
      </c>
    </row>
    <row r="30" spans="1:11 16384:16384" x14ac:dyDescent="0.35">
      <c r="A30" s="68"/>
      <c r="B30" s="2" t="s">
        <v>1084</v>
      </c>
      <c r="C30" s="322"/>
      <c r="D30" s="359">
        <f>D29-C29</f>
        <v>961.17463480720596</v>
      </c>
      <c r="E30" s="359">
        <f>E29-D29</f>
        <v>-205.78320146314226</v>
      </c>
      <c r="F30" s="379">
        <f>F29-E29</f>
        <v>-317.48201221231471</v>
      </c>
      <c r="G30" s="359">
        <f>G29-F29</f>
        <v>259.76076992237563</v>
      </c>
      <c r="H30" s="359">
        <f>H29-G29</f>
        <v>-47.845279451931049</v>
      </c>
      <c r="I30" s="359">
        <f>I29-H29</f>
        <v>-34.923253768511188</v>
      </c>
      <c r="J30" s="359">
        <f>J29-I29</f>
        <v>38.987081250966526</v>
      </c>
      <c r="K30" s="359">
        <f>K29-J29</f>
        <v>-38.491409365383674</v>
      </c>
      <c r="XFD30" s="359"/>
    </row>
    <row r="31" spans="1:11 16384:16384" x14ac:dyDescent="0.35">
      <c r="A31" s="68"/>
      <c r="B31" s="323" t="s">
        <v>1056</v>
      </c>
      <c r="C31" s="347"/>
      <c r="D31" s="348">
        <f>D30/D12</f>
        <v>7.8836502198753766E-2</v>
      </c>
      <c r="E31" s="377">
        <f>E30/E12</f>
        <v>-1.7729232485839776E-2</v>
      </c>
      <c r="F31" s="378">
        <f>F30/F12</f>
        <v>-2.485654901185233E-2</v>
      </c>
      <c r="G31" s="348">
        <f>G30/G12</f>
        <v>2.0114056484462343E-2</v>
      </c>
      <c r="H31" s="348">
        <f>H30/H12</f>
        <v>-3.981321656881553E-3</v>
      </c>
      <c r="I31" s="348">
        <f>I30/I12</f>
        <v>-2.8824567892942947E-3</v>
      </c>
      <c r="J31" s="348">
        <f>J30/J12</f>
        <v>3.1647705980396047E-3</v>
      </c>
      <c r="K31" s="348">
        <f>K30/K12</f>
        <v>-3.0222927806033829E-3</v>
      </c>
    </row>
    <row r="32" spans="1:11 16384:16384" x14ac:dyDescent="0.35">
      <c r="A32" s="68"/>
      <c r="F32" s="172"/>
    </row>
    <row r="33" spans="1:11" x14ac:dyDescent="0.35">
      <c r="A33" s="68"/>
      <c r="B33" s="328" t="s">
        <v>1090</v>
      </c>
      <c r="C33" s="350">
        <f t="shared" ref="C33:K33" si="3">C21+C23-C26-C30</f>
        <v>830.18905372321387</v>
      </c>
      <c r="D33" s="350">
        <f t="shared" si="3"/>
        <v>-460.56612138669658</v>
      </c>
      <c r="E33" s="350">
        <f t="shared" si="3"/>
        <v>859.10461202053239</v>
      </c>
      <c r="F33" s="387">
        <f t="shared" si="3"/>
        <v>2031.8275186884214</v>
      </c>
      <c r="G33" s="388">
        <f t="shared" si="3"/>
        <v>1532.5220309975864</v>
      </c>
      <c r="H33" s="388">
        <f t="shared" si="3"/>
        <v>2753.6088289876175</v>
      </c>
      <c r="I33" s="388">
        <f t="shared" si="3"/>
        <v>2782.9044924675782</v>
      </c>
      <c r="J33" s="388">
        <f t="shared" si="3"/>
        <v>2743.6900332063137</v>
      </c>
      <c r="K33" s="389">
        <f t="shared" si="3"/>
        <v>2916.1369879129193</v>
      </c>
    </row>
    <row r="34" spans="1:11" x14ac:dyDescent="0.35">
      <c r="A34" s="68" t="s">
        <v>1029</v>
      </c>
      <c r="B34" s="330" t="s">
        <v>1091</v>
      </c>
      <c r="C34" s="317"/>
      <c r="D34" s="317"/>
      <c r="E34" s="317"/>
      <c r="F34" s="355">
        <f ca="1">(F33*F36)/(1+$D$5)^F37</f>
        <v>168.81150583982938</v>
      </c>
      <c r="G34" s="356">
        <f ca="1">(G33)/(1+$D$5)^G37</f>
        <v>1446.9485596971454</v>
      </c>
      <c r="H34" s="356">
        <f ca="1">(H33)/(1+$D$5)^H37</f>
        <v>2345.6085381213675</v>
      </c>
      <c r="I34" s="356">
        <f ca="1">(I33)/(1+$D$5)^I37</f>
        <v>2138.7425670407229</v>
      </c>
      <c r="J34" s="356">
        <f ca="1">(J33)/(1+$D$5)^J37</f>
        <v>1902.4015011525482</v>
      </c>
      <c r="K34" s="357">
        <f ca="1">(K33)/(1+$D$5)^K37</f>
        <v>1824.2400190968744</v>
      </c>
    </row>
    <row r="35" spans="1:11" x14ac:dyDescent="0.35">
      <c r="A35" s="68"/>
      <c r="F35" s="172"/>
    </row>
    <row r="36" spans="1:11" x14ac:dyDescent="0.35">
      <c r="A36" s="68"/>
      <c r="B36" s="2" t="s">
        <v>1092</v>
      </c>
      <c r="F36" s="346">
        <f>1/12</f>
        <v>8.3333333333333329E-2</v>
      </c>
      <c r="G36" s="333"/>
      <c r="H36" s="333"/>
      <c r="I36" s="333"/>
      <c r="J36" s="333"/>
      <c r="K36" s="333"/>
    </row>
    <row r="37" spans="1:11" x14ac:dyDescent="0.35">
      <c r="A37" s="68"/>
      <c r="B37" s="2" t="s">
        <v>1093</v>
      </c>
      <c r="F37" s="346">
        <v>2.9166666666666667E-2</v>
      </c>
      <c r="G37" s="332">
        <v>0.55833333333333335</v>
      </c>
      <c r="H37" s="332">
        <v>1.5583333333333333</v>
      </c>
      <c r="I37" s="332">
        <v>2.5583333333333336</v>
      </c>
      <c r="J37" s="332">
        <v>3.5583333333333336</v>
      </c>
      <c r="K37" s="332">
        <v>4.5583333333333336</v>
      </c>
    </row>
    <row r="38" spans="1:11" x14ac:dyDescent="0.35">
      <c r="A38" s="68"/>
      <c r="F38" s="172"/>
    </row>
    <row r="39" spans="1:11" x14ac:dyDescent="0.35">
      <c r="A39" s="68"/>
      <c r="B39" s="2" t="s">
        <v>1094</v>
      </c>
      <c r="F39" s="172"/>
      <c r="K39" s="113">
        <f ca="1">(K33*(1+D6))/(D5-D6)</f>
        <v>33651.076650683019</v>
      </c>
    </row>
    <row r="40" spans="1:11" x14ac:dyDescent="0.35">
      <c r="A40" s="68" t="s">
        <v>1029</v>
      </c>
      <c r="B40" s="2" t="s">
        <v>1095</v>
      </c>
      <c r="F40" s="172"/>
      <c r="K40" s="113">
        <f ca="1">K39/(1+D5)^K37</f>
        <v>21051.014052603728</v>
      </c>
    </row>
    <row r="41" spans="1:11" x14ac:dyDescent="0.35">
      <c r="F41" s="172"/>
    </row>
    <row r="42" spans="1:11" x14ac:dyDescent="0.35">
      <c r="B42" s="380" t="s">
        <v>826</v>
      </c>
      <c r="C42" s="375"/>
      <c r="D42" s="375"/>
      <c r="E42" s="375"/>
      <c r="F42" s="374"/>
      <c r="G42" s="375"/>
      <c r="H42" s="375"/>
      <c r="I42" s="375"/>
      <c r="J42" s="375"/>
      <c r="K42" s="383">
        <f ca="1">SUM(F34:K34,K40)</f>
        <v>30877.766743552216</v>
      </c>
    </row>
    <row r="43" spans="1:11" x14ac:dyDescent="0.35">
      <c r="B43" s="2" t="s">
        <v>1098</v>
      </c>
      <c r="K43" s="87">
        <f ca="1">K42-'WBD SOTP'!W16</f>
        <v>20717.469968458419</v>
      </c>
    </row>
    <row r="44" spans="1:11" x14ac:dyDescent="0.35">
      <c r="B44" s="2" t="s">
        <v>1104</v>
      </c>
      <c r="K44" s="434">
        <f ca="1">K43/'WBD SOTP'!W12</f>
        <v>8.359214948221986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6A40D-F54E-4541-825C-1F1518EF4D98}">
  <sheetPr>
    <tabColor rgb="FF00B050"/>
  </sheetPr>
  <dimension ref="A2:L44"/>
  <sheetViews>
    <sheetView workbookViewId="0">
      <selection activeCell="B4" sqref="B4"/>
    </sheetView>
  </sheetViews>
  <sheetFormatPr defaultColWidth="8.88671875" defaultRowHeight="17.399999999999999" x14ac:dyDescent="0.35"/>
  <cols>
    <col min="1" max="1" width="2.109375" style="2" bestFit="1" customWidth="1"/>
    <col min="2" max="2" width="20" style="2" customWidth="1"/>
    <col min="3" max="11" width="15.44140625" style="2" customWidth="1"/>
    <col min="12" max="16384" width="8.88671875" style="2"/>
  </cols>
  <sheetData>
    <row r="2" spans="1:12" s="67" customFormat="1" x14ac:dyDescent="0.35">
      <c r="B2" s="317" t="s">
        <v>1105</v>
      </c>
    </row>
    <row r="4" spans="1:12" x14ac:dyDescent="0.35">
      <c r="B4" s="318" t="s">
        <v>1033</v>
      </c>
      <c r="C4" s="319"/>
      <c r="D4" s="319"/>
    </row>
    <row r="5" spans="1:12" x14ac:dyDescent="0.35">
      <c r="B5" s="2" t="s">
        <v>1036</v>
      </c>
      <c r="D5" s="320">
        <f ca="1">wacc</f>
        <v>0.10839122024378989</v>
      </c>
    </row>
    <row r="6" spans="1:12" x14ac:dyDescent="0.35">
      <c r="B6" s="2" t="s">
        <v>1037</v>
      </c>
      <c r="D6" s="320">
        <v>0.02</v>
      </c>
    </row>
    <row r="8" spans="1:12" x14ac:dyDescent="0.35">
      <c r="A8" s="68" t="s">
        <v>1029</v>
      </c>
      <c r="B8" s="318" t="s">
        <v>1106</v>
      </c>
      <c r="C8" s="319"/>
      <c r="D8" s="319"/>
      <c r="E8" s="319"/>
      <c r="F8" s="319"/>
      <c r="G8" s="319"/>
      <c r="H8" s="319"/>
      <c r="I8" s="319"/>
      <c r="J8" s="319"/>
      <c r="K8" s="319"/>
    </row>
    <row r="9" spans="1:12" ht="5.0999999999999996" customHeight="1" x14ac:dyDescent="0.35">
      <c r="A9" s="68"/>
      <c r="F9" s="172"/>
    </row>
    <row r="10" spans="1:12" x14ac:dyDescent="0.35">
      <c r="A10" s="68" t="s">
        <v>1029</v>
      </c>
      <c r="B10" s="321" t="s">
        <v>1088</v>
      </c>
      <c r="C10" s="75">
        <v>2022</v>
      </c>
      <c r="D10" s="75">
        <f t="shared" ref="D10:E10" si="0">C10+1</f>
        <v>2023</v>
      </c>
      <c r="E10" s="75">
        <f t="shared" si="0"/>
        <v>2024</v>
      </c>
      <c r="F10" s="265">
        <f>E10+1</f>
        <v>2025</v>
      </c>
      <c r="G10" s="76">
        <f>F10+1</f>
        <v>2026</v>
      </c>
      <c r="H10" s="76">
        <f t="shared" ref="H10:K10" si="1">G10+1</f>
        <v>2027</v>
      </c>
      <c r="I10" s="76">
        <f t="shared" si="1"/>
        <v>2028</v>
      </c>
      <c r="J10" s="76">
        <f t="shared" si="1"/>
        <v>2029</v>
      </c>
      <c r="K10" s="76">
        <f t="shared" si="1"/>
        <v>2030</v>
      </c>
    </row>
    <row r="11" spans="1:12" ht="5.0999999999999996" customHeight="1" x14ac:dyDescent="0.35">
      <c r="A11" s="68"/>
      <c r="F11" s="172"/>
    </row>
    <row r="12" spans="1:12" x14ac:dyDescent="0.35">
      <c r="A12" s="68"/>
      <c r="B12" s="2" t="s">
        <v>23</v>
      </c>
      <c r="C12" s="322">
        <f>'WBD SOTP'!I21</f>
        <v>19348</v>
      </c>
      <c r="D12" s="322">
        <f>'WBD SOTP'!J21</f>
        <v>21244</v>
      </c>
      <c r="E12" s="322">
        <f>'WBD SOTP'!K21</f>
        <v>20175</v>
      </c>
      <c r="F12" s="343">
        <f>'WBD SOTP'!L21</f>
        <v>17496.86</v>
      </c>
      <c r="G12" s="322">
        <f>'WBD SOTP'!M21</f>
        <v>15770.29</v>
      </c>
      <c r="H12" s="322">
        <f>'WBD SOTP'!N21</f>
        <v>15045.843125748197</v>
      </c>
      <c r="I12" s="322">
        <f>'WBD SOTP'!O21</f>
        <v>13813.280645700075</v>
      </c>
      <c r="J12" s="322">
        <f>'WBD SOTP'!P21</f>
        <v>12572.564044175131</v>
      </c>
      <c r="K12" s="322">
        <f>'WBD SOTP'!Q21</f>
        <v>11578.208370064216</v>
      </c>
      <c r="L12" s="111"/>
    </row>
    <row r="13" spans="1:12" x14ac:dyDescent="0.35">
      <c r="A13" s="68"/>
      <c r="B13" s="323" t="s">
        <v>1043</v>
      </c>
      <c r="C13" s="340" t="str">
        <f>'WBD SOTP'!I18</f>
        <v>---</v>
      </c>
      <c r="D13" s="340">
        <f>'WBD SOTP'!J18</f>
        <v>0.25290309320727572</v>
      </c>
      <c r="E13" s="340">
        <f>'WBD SOTP'!K18</f>
        <v>-4.7982283464566899E-2</v>
      </c>
      <c r="F13" s="396">
        <f>'WBD SOTP'!L18</f>
        <v>0.10041957439476179</v>
      </c>
      <c r="G13" s="340">
        <f>'WBD SOTP'!M18</f>
        <v>0.11110348191475952</v>
      </c>
      <c r="H13" s="340">
        <f>'WBD SOTP'!N18</f>
        <v>0.20411096651305755</v>
      </c>
      <c r="I13" s="340">
        <f>'WBD SOTP'!O18</f>
        <v>0.191912934839503</v>
      </c>
      <c r="J13" s="340">
        <f>'WBD SOTP'!P18</f>
        <v>0.15188673941552047</v>
      </c>
      <c r="K13" s="340">
        <f>'WBD SOTP'!Q18</f>
        <v>0.16475353067071014</v>
      </c>
      <c r="L13" s="325"/>
    </row>
    <row r="14" spans="1:12" x14ac:dyDescent="0.35">
      <c r="A14" s="68"/>
      <c r="F14" s="172"/>
    </row>
    <row r="15" spans="1:12" x14ac:dyDescent="0.35">
      <c r="A15" s="68"/>
      <c r="B15" s="2" t="s">
        <v>122</v>
      </c>
      <c r="C15" s="322">
        <f>'WBD SOTP'!I38</f>
        <v>3812</v>
      </c>
      <c r="D15" s="322">
        <f>'WBD SOTP'!J38</f>
        <v>3322</v>
      </c>
      <c r="E15" s="322">
        <f>'WBD SOTP'!K38</f>
        <v>-5759</v>
      </c>
      <c r="F15" s="343">
        <f>'WBD SOTP'!L38</f>
        <v>2447.0700000000002</v>
      </c>
      <c r="G15" s="322">
        <f>'WBD SOTP'!M38</f>
        <v>2116.0700000000002</v>
      </c>
      <c r="H15" s="322">
        <f>'WBD SOTP'!N38</f>
        <v>1072.589772497174</v>
      </c>
      <c r="I15" s="322">
        <f>'WBD SOTP'!O38</f>
        <v>445.91109659529764</v>
      </c>
      <c r="J15" s="322">
        <f>'WBD SOTP'!P38</f>
        <v>424.9822413255697</v>
      </c>
      <c r="K15" s="322">
        <f>'WBD SOTP'!Q38</f>
        <v>248.65843614634196</v>
      </c>
    </row>
    <row r="16" spans="1:12" x14ac:dyDescent="0.35">
      <c r="A16" s="68"/>
      <c r="B16" s="323" t="s">
        <v>1056</v>
      </c>
      <c r="C16" s="347">
        <f>C15/C12</f>
        <v>0.1970229481083316</v>
      </c>
      <c r="D16" s="347">
        <f t="shared" ref="D16:J16" si="2">D15/D12</f>
        <v>0.15637356430050839</v>
      </c>
      <c r="E16" s="347">
        <f t="shared" si="2"/>
        <v>-0.28545229244114001</v>
      </c>
      <c r="F16" s="395">
        <f t="shared" si="2"/>
        <v>0.13985766588976536</v>
      </c>
      <c r="G16" s="347">
        <f t="shared" si="2"/>
        <v>0.13418079185607876</v>
      </c>
      <c r="H16" s="347">
        <f>(H15/H12)-0.01</f>
        <v>6.1288113503033502E-2</v>
      </c>
      <c r="I16" s="347">
        <f t="shared" si="2"/>
        <v>3.2281331859720444E-2</v>
      </c>
      <c r="J16" s="347">
        <f t="shared" si="2"/>
        <v>3.3802352474192721E-2</v>
      </c>
      <c r="K16" s="347">
        <f>K15/K12</f>
        <v>2.1476417438578439E-2</v>
      </c>
    </row>
    <row r="17" spans="1:11" x14ac:dyDescent="0.35">
      <c r="A17" s="68"/>
      <c r="F17" s="172"/>
    </row>
    <row r="18" spans="1:11" x14ac:dyDescent="0.35">
      <c r="A18" s="68"/>
      <c r="B18" s="2" t="s">
        <v>1057</v>
      </c>
      <c r="C18" s="125">
        <f t="shared" ref="C18:K18" si="3">C19*C15</f>
        <v>800.52</v>
      </c>
      <c r="D18" s="125">
        <f t="shared" si="3"/>
        <v>697.62</v>
      </c>
      <c r="E18" s="125">
        <f t="shared" si="3"/>
        <v>-1209.3899999999999</v>
      </c>
      <c r="F18" s="293">
        <f t="shared" si="3"/>
        <v>513.88470000000007</v>
      </c>
      <c r="G18" s="125">
        <f t="shared" si="3"/>
        <v>444.37470000000002</v>
      </c>
      <c r="H18" s="125">
        <f t="shared" si="3"/>
        <v>225.24385222440651</v>
      </c>
      <c r="I18" s="125">
        <f t="shared" si="3"/>
        <v>93.641330285012501</v>
      </c>
      <c r="J18" s="125">
        <f t="shared" si="3"/>
        <v>89.24627067836964</v>
      </c>
      <c r="K18" s="125">
        <f t="shared" si="3"/>
        <v>52.21827159073181</v>
      </c>
    </row>
    <row r="19" spans="1:11" x14ac:dyDescent="0.35">
      <c r="A19" s="68"/>
      <c r="B19" s="323" t="s">
        <v>1058</v>
      </c>
      <c r="C19" s="341">
        <v>0.21</v>
      </c>
      <c r="D19" s="341">
        <v>0.21</v>
      </c>
      <c r="E19" s="341">
        <v>0.21</v>
      </c>
      <c r="F19" s="385">
        <v>0.21</v>
      </c>
      <c r="G19" s="341">
        <v>0.21</v>
      </c>
      <c r="H19" s="341">
        <v>0.21</v>
      </c>
      <c r="I19" s="341">
        <v>0.21</v>
      </c>
      <c r="J19" s="341">
        <v>0.21</v>
      </c>
      <c r="K19" s="341">
        <v>0.21</v>
      </c>
    </row>
    <row r="20" spans="1:11" x14ac:dyDescent="0.35">
      <c r="A20" s="68"/>
      <c r="F20" s="172"/>
    </row>
    <row r="21" spans="1:11" x14ac:dyDescent="0.35">
      <c r="A21" s="68"/>
      <c r="B21" s="326" t="s">
        <v>1089</v>
      </c>
      <c r="C21" s="349">
        <f t="shared" ref="C21:K21" si="4">C15-C18</f>
        <v>3011.48</v>
      </c>
      <c r="D21" s="349">
        <f t="shared" si="4"/>
        <v>2624.38</v>
      </c>
      <c r="E21" s="349">
        <f t="shared" si="4"/>
        <v>-4549.6100000000006</v>
      </c>
      <c r="F21" s="386">
        <f t="shared" si="4"/>
        <v>1933.1853000000001</v>
      </c>
      <c r="G21" s="349">
        <f t="shared" si="4"/>
        <v>1671.6953000000001</v>
      </c>
      <c r="H21" s="349">
        <f t="shared" si="4"/>
        <v>847.34592027276744</v>
      </c>
      <c r="I21" s="349">
        <f t="shared" si="4"/>
        <v>352.26976631028515</v>
      </c>
      <c r="J21" s="349">
        <f t="shared" si="4"/>
        <v>335.73597064720008</v>
      </c>
      <c r="K21" s="349">
        <f t="shared" si="4"/>
        <v>196.44016455561015</v>
      </c>
    </row>
    <row r="22" spans="1:11" x14ac:dyDescent="0.35">
      <c r="A22" s="68"/>
      <c r="F22" s="172"/>
    </row>
    <row r="23" spans="1:11" x14ac:dyDescent="0.35">
      <c r="A23" s="68"/>
      <c r="B23" s="2" t="s">
        <v>1059</v>
      </c>
      <c r="C23" s="322">
        <f>'WBD SOTP'!I61</f>
        <v>4691</v>
      </c>
      <c r="D23" s="322">
        <f>'WBD SOTP'!J61</f>
        <v>4961</v>
      </c>
      <c r="E23" s="322">
        <f>'WBD SOTP'!K61</f>
        <v>4172</v>
      </c>
      <c r="F23" s="343">
        <f>'WBD SOTP'!L61</f>
        <v>3499.3720000000003</v>
      </c>
      <c r="G23" s="322">
        <f>'WBD SOTP'!M61</f>
        <v>3154.0580000000004</v>
      </c>
      <c r="H23" s="322">
        <f>'WBD SOTP'!N61</f>
        <v>3009.1686251496394</v>
      </c>
      <c r="I23" s="322">
        <f>'WBD SOTP'!O61</f>
        <v>2762.6561291400153</v>
      </c>
      <c r="J23" s="322">
        <f>'WBD SOTP'!P61</f>
        <v>2514.5128088350266</v>
      </c>
      <c r="K23" s="322">
        <f>'WBD SOTP'!Q61</f>
        <v>2315.6416740128434</v>
      </c>
    </row>
    <row r="24" spans="1:11" x14ac:dyDescent="0.35">
      <c r="A24" s="68"/>
      <c r="B24" s="323" t="s">
        <v>1056</v>
      </c>
      <c r="C24" s="347">
        <f t="shared" ref="C24:K24" si="5">C23/C12</f>
        <v>0.24245400041347942</v>
      </c>
      <c r="D24" s="348">
        <f t="shared" si="5"/>
        <v>0.23352475993221616</v>
      </c>
      <c r="E24" s="348">
        <f t="shared" si="5"/>
        <v>0.20679058240396531</v>
      </c>
      <c r="F24" s="378">
        <f t="shared" si="5"/>
        <v>0.2</v>
      </c>
      <c r="G24" s="348">
        <f t="shared" si="5"/>
        <v>0.2</v>
      </c>
      <c r="H24" s="348">
        <f t="shared" si="5"/>
        <v>0.2</v>
      </c>
      <c r="I24" s="348">
        <f t="shared" si="5"/>
        <v>0.2</v>
      </c>
      <c r="J24" s="348">
        <f t="shared" si="5"/>
        <v>0.20000000000000004</v>
      </c>
      <c r="K24" s="348">
        <f t="shared" si="5"/>
        <v>0.2</v>
      </c>
    </row>
    <row r="25" spans="1:11" x14ac:dyDescent="0.35">
      <c r="A25" s="68"/>
      <c r="F25" s="172"/>
    </row>
    <row r="26" spans="1:11" x14ac:dyDescent="0.35">
      <c r="A26" s="68"/>
      <c r="B26" s="2" t="s">
        <v>1071</v>
      </c>
      <c r="C26" s="322">
        <f>'WBD SOTP'!I86</f>
        <v>525.30674222209996</v>
      </c>
      <c r="D26" s="322">
        <f>'WBD SOTP'!J86</f>
        <v>641.3650837348016</v>
      </c>
      <c r="E26" s="322">
        <f>'WBD SOTP'!K86</f>
        <v>454.3508730252999</v>
      </c>
      <c r="F26" s="343">
        <f>'WBD SOTP'!L86</f>
        <v>465.77423731793522</v>
      </c>
      <c r="G26" s="322">
        <f>'WBD SOTP'!M86</f>
        <v>417.02611707453963</v>
      </c>
      <c r="H26" s="322">
        <f>'WBD SOTP'!N86</f>
        <v>379.07860794585525</v>
      </c>
      <c r="I26" s="322">
        <f>'WBD SOTP'!O86</f>
        <v>360.33846900350682</v>
      </c>
      <c r="J26" s="322">
        <f>'WBD SOTP'!P86</f>
        <v>325.7344623021736</v>
      </c>
      <c r="K26" s="322">
        <f>'WBD SOTP'!Q86</f>
        <v>297.90591474676461</v>
      </c>
    </row>
    <row r="27" spans="1:11" x14ac:dyDescent="0.35">
      <c r="A27" s="68"/>
      <c r="B27" s="323" t="s">
        <v>1056</v>
      </c>
      <c r="C27" s="347">
        <f t="shared" ref="C27:K27" si="6">C26/C12</f>
        <v>2.715044150413996E-2</v>
      </c>
      <c r="D27" s="348">
        <f t="shared" si="6"/>
        <v>3.019041064464327E-2</v>
      </c>
      <c r="E27" s="348">
        <f t="shared" si="6"/>
        <v>2.2520489369283761E-2</v>
      </c>
      <c r="F27" s="378">
        <f t="shared" si="6"/>
        <v>2.6620447172688997E-2</v>
      </c>
      <c r="G27" s="348">
        <f t="shared" si="6"/>
        <v>2.6443782395538674E-2</v>
      </c>
      <c r="H27" s="348">
        <f t="shared" si="6"/>
        <v>2.5194906312503807E-2</v>
      </c>
      <c r="I27" s="348">
        <f t="shared" si="6"/>
        <v>2.6086378626910493E-2</v>
      </c>
      <c r="J27" s="348">
        <f t="shared" si="6"/>
        <v>2.5908355778317658E-2</v>
      </c>
      <c r="K27" s="348">
        <f t="shared" si="6"/>
        <v>2.5729880239243986E-2</v>
      </c>
    </row>
    <row r="28" spans="1:11" x14ac:dyDescent="0.35">
      <c r="A28" s="68"/>
      <c r="F28" s="172"/>
    </row>
    <row r="29" spans="1:11" x14ac:dyDescent="0.35">
      <c r="A29" s="68"/>
      <c r="B29" s="2" t="s">
        <v>1103</v>
      </c>
      <c r="C29" s="417">
        <f>'WBD SOTP'!I109</f>
        <v>-2263.9511488304702</v>
      </c>
      <c r="D29" s="417">
        <f>'WBD SOTP'!J109</f>
        <v>-1392.2400716342781</v>
      </c>
      <c r="E29" s="417">
        <f>'WBD SOTP'!K109</f>
        <v>-1991.7944609750514</v>
      </c>
      <c r="F29" s="418">
        <f>'WBD SOTP'!L109</f>
        <v>-1640.4689047661755</v>
      </c>
      <c r="G29" s="417">
        <f>'WBD SOTP'!M109</f>
        <v>-1356.3472304395982</v>
      </c>
      <c r="H29" s="417">
        <f>'WBD SOTP'!N109</f>
        <v>-1396.7069266811184</v>
      </c>
      <c r="I29" s="417">
        <f>'WBD SOTP'!O109</f>
        <v>-1255.1413350672442</v>
      </c>
      <c r="J29" s="417">
        <f>'WBD SOTP'!P109</f>
        <v>-1130.2793696090241</v>
      </c>
      <c r="K29" s="417">
        <f>'WBD SOTP'!Q109</f>
        <v>-1055.9147680856356</v>
      </c>
    </row>
    <row r="30" spans="1:11" x14ac:dyDescent="0.35">
      <c r="A30" s="68"/>
      <c r="B30" s="2" t="s">
        <v>1084</v>
      </c>
      <c r="C30" s="322"/>
      <c r="D30" s="322">
        <f t="shared" ref="D30:K30" si="7">D29-C29</f>
        <v>871.71107719619204</v>
      </c>
      <c r="E30" s="322">
        <f t="shared" si="7"/>
        <v>-599.55438934077324</v>
      </c>
      <c r="F30" s="343">
        <f t="shared" si="7"/>
        <v>351.32555620887592</v>
      </c>
      <c r="G30" s="322">
        <f t="shared" si="7"/>
        <v>284.12167432657725</v>
      </c>
      <c r="H30" s="322">
        <f t="shared" si="7"/>
        <v>-40.359696241520169</v>
      </c>
      <c r="I30" s="322">
        <f t="shared" si="7"/>
        <v>141.56559161387418</v>
      </c>
      <c r="J30" s="322">
        <f t="shared" si="7"/>
        <v>124.86196545822008</v>
      </c>
      <c r="K30" s="322">
        <f t="shared" si="7"/>
        <v>74.364601523388501</v>
      </c>
    </row>
    <row r="31" spans="1:11" x14ac:dyDescent="0.35">
      <c r="A31" s="68"/>
      <c r="B31" s="323" t="s">
        <v>1056</v>
      </c>
      <c r="C31" s="324"/>
      <c r="D31" s="347">
        <f t="shared" ref="D31:K31" si="8">D30/D12</f>
        <v>4.1033283618724915E-2</v>
      </c>
      <c r="E31" s="348">
        <f t="shared" si="8"/>
        <v>-2.9717689682318377E-2</v>
      </c>
      <c r="F31" s="378">
        <f t="shared" si="8"/>
        <v>2.0079348877963012E-2</v>
      </c>
      <c r="G31" s="348">
        <f t="shared" si="8"/>
        <v>1.8016261864973772E-2</v>
      </c>
      <c r="H31" s="348">
        <f t="shared" si="8"/>
        <v>-2.6824482951342196E-3</v>
      </c>
      <c r="I31" s="348">
        <f t="shared" si="8"/>
        <v>1.0248513386857307E-2</v>
      </c>
      <c r="J31" s="348">
        <f t="shared" si="8"/>
        <v>9.9313047855237313E-3</v>
      </c>
      <c r="K31" s="348">
        <f t="shared" si="8"/>
        <v>6.4228073244613796E-3</v>
      </c>
    </row>
    <row r="32" spans="1:11" x14ac:dyDescent="0.35">
      <c r="A32" s="68"/>
      <c r="F32" s="172"/>
    </row>
    <row r="33" spans="1:11" x14ac:dyDescent="0.35">
      <c r="A33" s="68"/>
      <c r="B33" s="328" t="s">
        <v>1090</v>
      </c>
      <c r="C33" s="350">
        <f t="shared" ref="C33:K33" si="9">C21+C23-C26-C30</f>
        <v>7177.1732577778994</v>
      </c>
      <c r="D33" s="350">
        <f t="shared" si="9"/>
        <v>6072.3038390690072</v>
      </c>
      <c r="E33" s="350">
        <f t="shared" si="9"/>
        <v>-232.4064836845273</v>
      </c>
      <c r="F33" s="394">
        <f t="shared" si="9"/>
        <v>4615.4575064731889</v>
      </c>
      <c r="G33" s="350">
        <f t="shared" si="9"/>
        <v>4124.6055085988828</v>
      </c>
      <c r="H33" s="350">
        <f t="shared" si="9"/>
        <v>3517.7956337180713</v>
      </c>
      <c r="I33" s="350">
        <f t="shared" si="9"/>
        <v>2613.021834832919</v>
      </c>
      <c r="J33" s="350">
        <f t="shared" si="9"/>
        <v>2399.6523517218329</v>
      </c>
      <c r="K33" s="350">
        <f t="shared" si="9"/>
        <v>2139.8113222983002</v>
      </c>
    </row>
    <row r="34" spans="1:11" x14ac:dyDescent="0.35">
      <c r="A34" s="68" t="s">
        <v>1029</v>
      </c>
      <c r="B34" s="330" t="s">
        <v>1091</v>
      </c>
      <c r="C34" s="317"/>
      <c r="D34" s="317"/>
      <c r="E34" s="317"/>
      <c r="F34" s="345">
        <f ca="1">(F33*F36)/(1+$D$5)^F37</f>
        <v>382.97577110726212</v>
      </c>
      <c r="G34" s="331">
        <f ca="1">(G33)/(1+$D$5)^G37</f>
        <v>3884.2882928284339</v>
      </c>
      <c r="H34" s="331">
        <f ca="1">(H33)/(1+$D$5)^H37</f>
        <v>2988.8668410543969</v>
      </c>
      <c r="I34" s="331">
        <f ca="1">(I33)/(1+$D$5)^I37</f>
        <v>2003.0229401119229</v>
      </c>
      <c r="J34" s="331">
        <f ca="1">(J33)/(1+$D$5)^J37</f>
        <v>1659.5797825909438</v>
      </c>
      <c r="K34" s="331">
        <f ca="1">(K33)/(1+$D$5)^K37</f>
        <v>1335.1566142570955</v>
      </c>
    </row>
    <row r="35" spans="1:11" x14ac:dyDescent="0.35">
      <c r="A35" s="68"/>
      <c r="F35" s="172"/>
    </row>
    <row r="36" spans="1:11" x14ac:dyDescent="0.35">
      <c r="A36" s="68"/>
      <c r="B36" s="2" t="s">
        <v>1092</v>
      </c>
      <c r="F36" s="346">
        <f>1/12</f>
        <v>8.3333333333333329E-2</v>
      </c>
      <c r="G36" s="333"/>
      <c r="H36" s="333"/>
      <c r="I36" s="333"/>
      <c r="J36" s="333"/>
      <c r="K36" s="333"/>
    </row>
    <row r="37" spans="1:11" x14ac:dyDescent="0.35">
      <c r="A37" s="68"/>
      <c r="B37" s="2" t="s">
        <v>1093</v>
      </c>
      <c r="F37" s="293">
        <f>F36/2</f>
        <v>4.1666666666666664E-2</v>
      </c>
      <c r="G37" s="125">
        <f>F36+0.5</f>
        <v>0.58333333333333337</v>
      </c>
      <c r="H37" s="125">
        <f>G37+1</f>
        <v>1.5833333333333335</v>
      </c>
      <c r="I37" s="125">
        <f>H37+1</f>
        <v>2.5833333333333335</v>
      </c>
      <c r="J37" s="125">
        <f>I37+1</f>
        <v>3.5833333333333335</v>
      </c>
      <c r="K37" s="125">
        <f>J37+1</f>
        <v>4.5833333333333339</v>
      </c>
    </row>
    <row r="38" spans="1:11" x14ac:dyDescent="0.35">
      <c r="A38" s="68"/>
      <c r="F38" s="172"/>
    </row>
    <row r="39" spans="1:11" x14ac:dyDescent="0.35">
      <c r="A39" s="68"/>
      <c r="B39" s="2" t="s">
        <v>1094</v>
      </c>
      <c r="F39" s="172"/>
      <c r="K39" s="113">
        <f ca="1">(K33*(1+D6))/(D5-D6)</f>
        <v>24692.583072441634</v>
      </c>
    </row>
    <row r="40" spans="1:11" x14ac:dyDescent="0.35">
      <c r="A40" s="68" t="s">
        <v>1029</v>
      </c>
      <c r="B40" s="2" t="s">
        <v>1095</v>
      </c>
      <c r="F40" s="172"/>
      <c r="K40" s="113">
        <f ca="1">K39/(1+D6)^K37</f>
        <v>22550.13102377157</v>
      </c>
    </row>
    <row r="41" spans="1:11" x14ac:dyDescent="0.35">
      <c r="F41" s="172"/>
    </row>
    <row r="42" spans="1:11" x14ac:dyDescent="0.35">
      <c r="B42" s="380" t="s">
        <v>826</v>
      </c>
      <c r="C42" s="375"/>
      <c r="D42" s="375"/>
      <c r="E42" s="375"/>
      <c r="F42" s="374"/>
      <c r="G42" s="375"/>
      <c r="H42" s="375"/>
      <c r="I42" s="375"/>
      <c r="J42" s="375"/>
      <c r="K42" s="383">
        <f ca="1">SUM(F34:K34,K40)</f>
        <v>34804.021265721625</v>
      </c>
    </row>
    <row r="43" spans="1:11" x14ac:dyDescent="0.35">
      <c r="B43" s="2" t="s">
        <v>1098</v>
      </c>
      <c r="K43" s="87">
        <f ca="1">K42-'WBD SOTP'!W16</f>
        <v>24643.724490627828</v>
      </c>
    </row>
    <row r="44" spans="1:11" x14ac:dyDescent="0.35">
      <c r="B44" s="2" t="s">
        <v>1104</v>
      </c>
      <c r="K44" s="434">
        <f ca="1">K43/'WBD SOTP'!W12</f>
        <v>9.9434047910073513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56CF5-A986-A440-88DE-69F53990B0CD}">
  <sheetPr>
    <tabColor rgb="FF00B050"/>
  </sheetPr>
  <dimension ref="A1:L43"/>
  <sheetViews>
    <sheetView workbookViewId="0">
      <selection activeCell="B4" sqref="B4"/>
    </sheetView>
  </sheetViews>
  <sheetFormatPr defaultColWidth="11.44140625" defaultRowHeight="17.399999999999999" x14ac:dyDescent="0.35"/>
  <cols>
    <col min="1" max="1" width="2.109375" style="2" bestFit="1" customWidth="1"/>
    <col min="2" max="2" width="20" style="2" bestFit="1" customWidth="1"/>
    <col min="3" max="16384" width="11.44140625" style="2"/>
  </cols>
  <sheetData>
    <row r="1" spans="1:12" x14ac:dyDescent="0.35">
      <c r="A1" s="36"/>
      <c r="B1" s="36"/>
      <c r="C1" s="36"/>
      <c r="D1" s="36"/>
      <c r="E1" s="36"/>
      <c r="F1" s="36"/>
      <c r="G1" s="36"/>
      <c r="H1" s="36"/>
      <c r="I1" s="36"/>
      <c r="J1" s="36"/>
      <c r="K1" s="36"/>
      <c r="L1" s="36"/>
    </row>
    <row r="2" spans="1:12" x14ac:dyDescent="0.35">
      <c r="A2" s="334"/>
      <c r="B2" s="317" t="s">
        <v>1107</v>
      </c>
      <c r="C2" s="334"/>
      <c r="D2" s="334"/>
      <c r="E2" s="334"/>
      <c r="F2" s="334"/>
      <c r="G2" s="334"/>
      <c r="H2" s="334"/>
      <c r="I2" s="334"/>
      <c r="J2" s="334"/>
      <c r="K2" s="334"/>
      <c r="L2" s="334"/>
    </row>
    <row r="3" spans="1:12" x14ac:dyDescent="0.35">
      <c r="A3" s="36"/>
      <c r="B3" s="36"/>
      <c r="C3" s="36"/>
      <c r="D3" s="36"/>
      <c r="E3" s="36"/>
      <c r="F3" s="36"/>
      <c r="G3" s="36"/>
      <c r="H3" s="36"/>
      <c r="I3" s="36"/>
      <c r="J3" s="36"/>
      <c r="K3" s="36"/>
      <c r="L3" s="36"/>
    </row>
    <row r="4" spans="1:12" x14ac:dyDescent="0.35">
      <c r="A4" s="36"/>
      <c r="B4" s="318" t="s">
        <v>1033</v>
      </c>
      <c r="C4" s="335"/>
      <c r="D4" s="335"/>
      <c r="E4" s="36"/>
      <c r="F4" s="36"/>
      <c r="G4" s="36"/>
      <c r="H4" s="36"/>
      <c r="I4" s="36"/>
      <c r="J4" s="36"/>
      <c r="K4" s="36"/>
      <c r="L4" s="36"/>
    </row>
    <row r="5" spans="1:12" x14ac:dyDescent="0.35">
      <c r="A5" s="36"/>
      <c r="B5" s="36" t="s">
        <v>1036</v>
      </c>
      <c r="C5" s="36"/>
      <c r="D5" s="320">
        <f ca="1">wacc</f>
        <v>0.10839122024378989</v>
      </c>
      <c r="E5" s="36"/>
      <c r="F5" s="36"/>
      <c r="G5" s="36"/>
      <c r="H5" s="36"/>
      <c r="I5" s="36"/>
      <c r="J5" s="36"/>
      <c r="K5" s="36"/>
      <c r="L5" s="36"/>
    </row>
    <row r="6" spans="1:12" x14ac:dyDescent="0.35">
      <c r="A6" s="36"/>
      <c r="B6" s="36" t="s">
        <v>1037</v>
      </c>
      <c r="C6" s="36"/>
      <c r="D6" s="336">
        <f>tgr</f>
        <v>0.02</v>
      </c>
      <c r="E6" s="36"/>
      <c r="F6" s="36"/>
      <c r="G6" s="36"/>
      <c r="H6" s="36"/>
      <c r="I6" s="36"/>
      <c r="J6" s="36"/>
      <c r="K6" s="36"/>
      <c r="L6" s="36"/>
    </row>
    <row r="7" spans="1:12" x14ac:dyDescent="0.35">
      <c r="A7" s="36"/>
      <c r="B7" s="36"/>
      <c r="C7" s="36"/>
      <c r="D7" s="36"/>
      <c r="E7" s="36"/>
      <c r="F7" s="36"/>
      <c r="G7" s="36"/>
      <c r="H7" s="36"/>
      <c r="I7" s="36"/>
      <c r="J7" s="36"/>
      <c r="K7" s="36"/>
      <c r="L7" s="36"/>
    </row>
    <row r="8" spans="1:12" x14ac:dyDescent="0.35">
      <c r="A8" s="337" t="s">
        <v>1029</v>
      </c>
      <c r="B8" s="318" t="s">
        <v>1106</v>
      </c>
      <c r="C8" s="335"/>
      <c r="D8" s="335"/>
      <c r="E8" s="335"/>
      <c r="F8" s="335"/>
      <c r="G8" s="335"/>
      <c r="H8" s="335"/>
      <c r="I8" s="335"/>
      <c r="J8" s="335"/>
      <c r="K8" s="335"/>
      <c r="L8" s="36"/>
    </row>
    <row r="9" spans="1:12" x14ac:dyDescent="0.35">
      <c r="A9" s="337"/>
      <c r="B9" s="36"/>
      <c r="C9" s="36"/>
      <c r="D9" s="36"/>
      <c r="E9" s="36"/>
      <c r="F9" s="36"/>
      <c r="G9" s="36"/>
      <c r="H9" s="36"/>
      <c r="I9" s="36"/>
      <c r="J9" s="36"/>
      <c r="K9" s="36"/>
      <c r="L9" s="36"/>
    </row>
    <row r="10" spans="1:12" x14ac:dyDescent="0.35">
      <c r="A10" s="337" t="s">
        <v>1029</v>
      </c>
      <c r="B10" s="321" t="s">
        <v>1088</v>
      </c>
      <c r="C10" s="75">
        <v>2022</v>
      </c>
      <c r="D10" s="75">
        <f t="shared" ref="D10:E10" si="0">C10+1</f>
        <v>2023</v>
      </c>
      <c r="E10" s="75">
        <f t="shared" si="0"/>
        <v>2024</v>
      </c>
      <c r="F10" s="265">
        <f>E10+1</f>
        <v>2025</v>
      </c>
      <c r="G10" s="76">
        <f>F10+1</f>
        <v>2026</v>
      </c>
      <c r="H10" s="76">
        <f t="shared" ref="H10:K10" si="1">G10+1</f>
        <v>2027</v>
      </c>
      <c r="I10" s="76">
        <f t="shared" si="1"/>
        <v>2028</v>
      </c>
      <c r="J10" s="76">
        <f t="shared" si="1"/>
        <v>2029</v>
      </c>
      <c r="K10" s="76">
        <f t="shared" si="1"/>
        <v>2030</v>
      </c>
      <c r="L10" s="36"/>
    </row>
    <row r="11" spans="1:12" x14ac:dyDescent="0.35">
      <c r="A11" s="337"/>
      <c r="B11" s="36"/>
      <c r="C11" s="36"/>
      <c r="D11" s="36"/>
      <c r="E11" s="36"/>
      <c r="F11" s="342"/>
      <c r="G11" s="36"/>
      <c r="H11" s="36"/>
      <c r="I11" s="36"/>
      <c r="J11" s="36"/>
      <c r="K11" s="36"/>
      <c r="L11" s="36"/>
    </row>
    <row r="12" spans="1:12" x14ac:dyDescent="0.35">
      <c r="A12" s="337"/>
      <c r="B12" s="36" t="s">
        <v>23</v>
      </c>
      <c r="C12" s="322">
        <f>'WBD SOTP'!I25</f>
        <v>7274</v>
      </c>
      <c r="D12" s="322">
        <f>'WBD SOTP'!J25</f>
        <v>10154</v>
      </c>
      <c r="E12" s="322">
        <f>'WBD SOTP'!K25</f>
        <v>10313</v>
      </c>
      <c r="F12" s="343">
        <f>'WBD SOTP'!L25</f>
        <v>10822.08</v>
      </c>
      <c r="G12" s="322">
        <f>'WBD SOTP'!M25</f>
        <v>11779.33</v>
      </c>
      <c r="H12" s="322">
        <f>'WBD SOTP'!N25</f>
        <v>10196.915345217954</v>
      </c>
      <c r="I12" s="322">
        <f>'WBD SOTP'!O25</f>
        <v>10500.591998742255</v>
      </c>
      <c r="J12" s="322">
        <f>'WBD SOTP'!P25</f>
        <v>10752.545162643299</v>
      </c>
      <c r="K12" s="322">
        <f>'WBD SOTP'!Q25</f>
        <v>11080.642350149305</v>
      </c>
      <c r="L12" s="111"/>
    </row>
    <row r="13" spans="1:12" x14ac:dyDescent="0.35">
      <c r="A13" s="337"/>
      <c r="B13" s="323" t="s">
        <v>1043</v>
      </c>
      <c r="C13" s="338" t="str">
        <f>'WBD SOTP'!I18</f>
        <v>---</v>
      </c>
      <c r="D13" s="338">
        <f>'WBD SOTP'!J18</f>
        <v>0.25290309320727572</v>
      </c>
      <c r="E13" s="338">
        <f>'WBD SOTP'!K18</f>
        <v>-4.7982283464566899E-2</v>
      </c>
      <c r="F13" s="344">
        <f>'WBD SOTP'!L18</f>
        <v>0.10041957439476179</v>
      </c>
      <c r="G13" s="338">
        <f>'WBD SOTP'!M18</f>
        <v>0.11110348191475952</v>
      </c>
      <c r="H13" s="338">
        <f>'WBD SOTP'!N18</f>
        <v>0.20411096651305755</v>
      </c>
      <c r="I13" s="338">
        <f>'WBD SOTP'!O18</f>
        <v>0.191912934839503</v>
      </c>
      <c r="J13" s="338">
        <f>'WBD SOTP'!P18</f>
        <v>0.15188673941552047</v>
      </c>
      <c r="K13" s="338">
        <f>'WBD SOTP'!Q18</f>
        <v>0.16475353067071014</v>
      </c>
      <c r="L13" s="339"/>
    </row>
    <row r="14" spans="1:12" x14ac:dyDescent="0.35">
      <c r="A14" s="337"/>
      <c r="B14" s="36"/>
      <c r="C14" s="36"/>
      <c r="D14" s="36"/>
      <c r="E14" s="36"/>
      <c r="F14" s="342"/>
      <c r="G14" s="36"/>
      <c r="H14" s="36"/>
      <c r="I14" s="36"/>
      <c r="J14" s="36"/>
      <c r="K14" s="36"/>
      <c r="L14" s="36"/>
    </row>
    <row r="15" spans="1:12" x14ac:dyDescent="0.35">
      <c r="A15" s="337"/>
      <c r="B15" s="36" t="s">
        <v>122</v>
      </c>
      <c r="C15" s="322">
        <f>'WBD SOTP'!I42</f>
        <v>-5736</v>
      </c>
      <c r="D15" s="322">
        <f>'WBD SOTP'!J42</f>
        <v>-2565</v>
      </c>
      <c r="E15" s="322">
        <f>'WBD SOTP'!K42</f>
        <v>-1485</v>
      </c>
      <c r="F15" s="322">
        <f>'WBD SOTP'!L42</f>
        <v>-348.59</v>
      </c>
      <c r="G15" s="322">
        <f>'WBD SOTP'!M42</f>
        <v>75.88</v>
      </c>
      <c r="H15" s="322">
        <f>'WBD SOTP'!N42</f>
        <v>131.97074423515232</v>
      </c>
      <c r="I15" s="322">
        <f>'WBD SOTP'!O42</f>
        <v>235.67309406004438</v>
      </c>
      <c r="J15" s="322">
        <f>'WBD SOTP'!P42</f>
        <v>442.35471398329349</v>
      </c>
      <c r="K15" s="322">
        <f>'WBD SOTP'!Q42</f>
        <v>842.64841650123719</v>
      </c>
      <c r="L15" s="36"/>
    </row>
    <row r="16" spans="1:12" x14ac:dyDescent="0.35">
      <c r="A16" s="337"/>
      <c r="B16" s="323" t="s">
        <v>1056</v>
      </c>
      <c r="C16" s="338">
        <f>'WBD SOTP'!I44</f>
        <v>-0.77829036635006787</v>
      </c>
      <c r="D16" s="338">
        <f>'WBD SOTP'!J44</f>
        <v>1.6569767441860466</v>
      </c>
      <c r="E16" s="338">
        <f>'WBD SOTP'!K44</f>
        <v>0.14802631578947367</v>
      </c>
      <c r="F16" s="338">
        <f>'WBD SOTP'!L44</f>
        <v>-0.36644310823311749</v>
      </c>
      <c r="G16" s="338">
        <f>'WBD SOTP'!M44</f>
        <v>2.8926612254545035E-2</v>
      </c>
      <c r="H16" s="338">
        <f>'WBD SOTP'!N44</f>
        <v>7.8556022512570767E-2</v>
      </c>
      <c r="I16" s="338">
        <f>'WBD SOTP'!O44</f>
        <v>0.39736151534652819</v>
      </c>
      <c r="J16" s="338">
        <f>'WBD SOTP'!P44</f>
        <v>0.47765725741305309</v>
      </c>
      <c r="K16" s="338">
        <f>'WBD SOTP'!Q44</f>
        <v>0.63713116359465682</v>
      </c>
      <c r="L16" s="36"/>
    </row>
    <row r="17" spans="1:12" x14ac:dyDescent="0.35">
      <c r="A17" s="337"/>
      <c r="B17" s="36"/>
      <c r="C17" s="36"/>
      <c r="D17" s="36"/>
      <c r="E17" s="36"/>
      <c r="F17" s="342"/>
      <c r="G17" s="36"/>
      <c r="H17" s="36"/>
      <c r="I17" s="36"/>
      <c r="J17" s="36"/>
      <c r="K17" s="36"/>
      <c r="L17" s="36"/>
    </row>
    <row r="18" spans="1:12" x14ac:dyDescent="0.35">
      <c r="A18" s="337"/>
      <c r="B18" s="36" t="s">
        <v>1057</v>
      </c>
      <c r="C18" s="36"/>
      <c r="D18" s="36"/>
      <c r="E18" s="36"/>
      <c r="F18" s="289">
        <f>'Streaming DCF'!F15*'Streaming DCF'!F19</f>
        <v>-73.20389999999999</v>
      </c>
      <c r="G18" s="113">
        <f>'Streaming DCF'!G15*'Streaming DCF'!G19</f>
        <v>15.934799999999999</v>
      </c>
      <c r="H18" s="113">
        <f>'Streaming DCF'!H15*'Streaming DCF'!H19</f>
        <v>27.713856289381987</v>
      </c>
      <c r="I18" s="113">
        <f>'Streaming DCF'!I15*'Streaming DCF'!I19</f>
        <v>49.491349752609317</v>
      </c>
      <c r="J18" s="113">
        <f>'Streaming DCF'!J15*'Streaming DCF'!J19</f>
        <v>92.894489936491624</v>
      </c>
      <c r="K18" s="113">
        <f>'Streaming DCF'!K15*'Streaming DCF'!K19</f>
        <v>176.9561674652598</v>
      </c>
      <c r="L18" s="36"/>
    </row>
    <row r="19" spans="1:12" x14ac:dyDescent="0.35">
      <c r="A19" s="337"/>
      <c r="B19" s="323" t="s">
        <v>1058</v>
      </c>
      <c r="C19" s="36"/>
      <c r="D19" s="36"/>
      <c r="E19" s="36"/>
      <c r="F19" s="344">
        <v>0.21</v>
      </c>
      <c r="G19" s="338">
        <v>0.21</v>
      </c>
      <c r="H19" s="338">
        <v>0.21</v>
      </c>
      <c r="I19" s="338">
        <v>0.21</v>
      </c>
      <c r="J19" s="338">
        <v>0.21</v>
      </c>
      <c r="K19" s="338">
        <v>0.21</v>
      </c>
      <c r="L19" s="36"/>
    </row>
    <row r="20" spans="1:12" x14ac:dyDescent="0.35">
      <c r="A20" s="337"/>
      <c r="B20" s="36"/>
      <c r="C20" s="36"/>
      <c r="D20" s="36"/>
      <c r="E20" s="36"/>
      <c r="F20" s="342"/>
      <c r="G20" s="36"/>
      <c r="H20" s="36"/>
      <c r="I20" s="36"/>
      <c r="J20" s="36"/>
      <c r="K20" s="36"/>
      <c r="L20" s="36"/>
    </row>
    <row r="21" spans="1:12" x14ac:dyDescent="0.35">
      <c r="A21" s="337"/>
      <c r="B21" s="326" t="s">
        <v>1089</v>
      </c>
      <c r="C21" s="327"/>
      <c r="D21" s="327"/>
      <c r="E21" s="327"/>
      <c r="F21" s="360">
        <f>F15-F18</f>
        <v>-275.3861</v>
      </c>
      <c r="G21" s="361">
        <f t="shared" ref="G21:K21" si="2">G15-G18</f>
        <v>59.9452</v>
      </c>
      <c r="H21" s="361">
        <f t="shared" si="2"/>
        <v>104.25688794577033</v>
      </c>
      <c r="I21" s="361">
        <f t="shared" si="2"/>
        <v>186.18174430743505</v>
      </c>
      <c r="J21" s="361">
        <f t="shared" si="2"/>
        <v>349.46022404680184</v>
      </c>
      <c r="K21" s="362">
        <f t="shared" si="2"/>
        <v>665.6922490359774</v>
      </c>
      <c r="L21" s="36"/>
    </row>
    <row r="22" spans="1:12" x14ac:dyDescent="0.35">
      <c r="A22" s="337"/>
      <c r="B22" s="36"/>
      <c r="C22" s="36"/>
      <c r="D22" s="36"/>
      <c r="E22" s="36"/>
      <c r="F22" s="342"/>
      <c r="G22" s="36"/>
      <c r="H22" s="36"/>
      <c r="I22" s="36"/>
      <c r="J22" s="36"/>
      <c r="K22" s="36"/>
      <c r="L22" s="36"/>
    </row>
    <row r="23" spans="1:12" x14ac:dyDescent="0.35">
      <c r="A23" s="337"/>
      <c r="B23" s="36" t="s">
        <v>1059</v>
      </c>
      <c r="C23" s="322">
        <f>'WBD SOTP'!I66</f>
        <v>1764</v>
      </c>
      <c r="D23" s="322">
        <f>'WBD SOTP'!J66</f>
        <v>2063</v>
      </c>
      <c r="E23" s="322">
        <f>'WBD SOTP'!K66</f>
        <v>1831</v>
      </c>
      <c r="F23" s="343">
        <f>'WBD SOTP'!L66</f>
        <v>2248.1847873517236</v>
      </c>
      <c r="G23" s="322">
        <f>'WBD SOTP'!M66</f>
        <v>2310.5337007063022</v>
      </c>
      <c r="H23" s="322">
        <f>'WBD SOTP'!N66</f>
        <v>1976.2811221845457</v>
      </c>
      <c r="I23" s="322">
        <f>'WBD SOTP'!O66</f>
        <v>2092.0810563607674</v>
      </c>
      <c r="J23" s="322">
        <f>'WBD SOTP'!P66</f>
        <v>2111.7919253631276</v>
      </c>
      <c r="K23" s="322">
        <f>'WBD SOTP'!Q66</f>
        <v>2177.1449463191348</v>
      </c>
      <c r="L23" s="36"/>
    </row>
    <row r="24" spans="1:12" x14ac:dyDescent="0.35">
      <c r="A24" s="337"/>
      <c r="B24" s="323" t="s">
        <v>1056</v>
      </c>
      <c r="C24" s="338">
        <v>0.05</v>
      </c>
      <c r="D24" s="338">
        <v>0.06</v>
      </c>
      <c r="E24" s="338">
        <v>0.06</v>
      </c>
      <c r="F24" s="344">
        <v>0.06</v>
      </c>
      <c r="G24" s="338">
        <v>0.06</v>
      </c>
      <c r="H24" s="338">
        <v>0.06</v>
      </c>
      <c r="I24" s="338">
        <v>0.06</v>
      </c>
      <c r="J24" s="338">
        <v>0.06</v>
      </c>
      <c r="K24" s="338">
        <v>0.06</v>
      </c>
      <c r="L24" s="36"/>
    </row>
    <row r="25" spans="1:12" x14ac:dyDescent="0.35">
      <c r="A25" s="337"/>
      <c r="B25" s="36"/>
      <c r="C25" s="36"/>
      <c r="D25" s="36"/>
      <c r="E25" s="36"/>
      <c r="F25" s="342"/>
      <c r="G25" s="36"/>
      <c r="H25" s="36"/>
      <c r="I25" s="36"/>
      <c r="J25" s="36"/>
      <c r="K25" s="36"/>
      <c r="L25" s="36"/>
    </row>
    <row r="26" spans="1:12" x14ac:dyDescent="0.35">
      <c r="A26" s="337"/>
      <c r="B26" s="36" t="s">
        <v>1071</v>
      </c>
      <c r="C26" s="322">
        <f>'WBD SOTP'!I91</f>
        <v>197.49231150111405</v>
      </c>
      <c r="D26" s="322">
        <f>'WBD SOTP'!J91</f>
        <v>306.55342968570773</v>
      </c>
      <c r="E26" s="322">
        <f>'WBD SOTP'!K91</f>
        <v>232.25380686542346</v>
      </c>
      <c r="F26" s="343">
        <f>'WBD SOTP'!L91</f>
        <v>288.08860893861413</v>
      </c>
      <c r="G26" s="322">
        <f>'WBD SOTP'!M91</f>
        <v>311.49003928524058</v>
      </c>
      <c r="H26" s="322">
        <f>'WBD SOTP'!N91</f>
        <v>256.91032679929879</v>
      </c>
      <c r="I26" s="322">
        <f>'WBD SOTP'!O91</f>
        <v>273.92241868589724</v>
      </c>
      <c r="J26" s="322">
        <f>'WBD SOTP'!P91</f>
        <v>278.58076559619104</v>
      </c>
      <c r="K26" s="322">
        <f>'WBD SOTP'!Q91</f>
        <v>285.10360064323658</v>
      </c>
      <c r="L26" s="36"/>
    </row>
    <row r="27" spans="1:12" x14ac:dyDescent="0.35">
      <c r="A27" s="337"/>
      <c r="B27" s="323" t="s">
        <v>1056</v>
      </c>
      <c r="C27" s="338">
        <v>0.12</v>
      </c>
      <c r="D27" s="338">
        <v>0.08</v>
      </c>
      <c r="E27" s="338">
        <v>0.06</v>
      </c>
      <c r="F27" s="344">
        <v>0.09</v>
      </c>
      <c r="G27" s="338">
        <v>7.0000000000000007E-2</v>
      </c>
      <c r="H27" s="338">
        <v>7.0000000000000007E-2</v>
      </c>
      <c r="I27" s="338">
        <v>0.08</v>
      </c>
      <c r="J27" s="338">
        <v>7.0000000000000007E-2</v>
      </c>
      <c r="K27" s="338">
        <v>7.0000000000000007E-2</v>
      </c>
      <c r="L27" s="36"/>
    </row>
    <row r="28" spans="1:12" x14ac:dyDescent="0.35">
      <c r="A28" s="337"/>
      <c r="B28" s="36"/>
      <c r="C28" s="36"/>
      <c r="D28" s="36"/>
      <c r="E28" s="36"/>
      <c r="F28" s="342"/>
      <c r="G28" s="36"/>
      <c r="H28" s="36"/>
      <c r="I28" s="36"/>
      <c r="J28" s="36"/>
      <c r="K28" s="36"/>
      <c r="L28" s="36"/>
    </row>
    <row r="29" spans="1:12" x14ac:dyDescent="0.35">
      <c r="A29" s="337"/>
      <c r="B29" s="36" t="s">
        <v>1084</v>
      </c>
      <c r="C29" s="322"/>
      <c r="D29" s="322">
        <f>'WBD SOTP'!J113-'WBD SOTP'!I113</f>
        <v>185.69706996508603</v>
      </c>
      <c r="E29" s="322">
        <f>'WBD SOTP'!K113-'WBD SOTP'!J113</f>
        <v>-352.71057886060248</v>
      </c>
      <c r="F29" s="343">
        <f>'WBD SOTP'!L113-'WBD SOTP'!K113</f>
        <v>3.5043863637382628</v>
      </c>
      <c r="G29" s="322">
        <f>'WBD SOTP'!M113-'WBD SOTP'!L113</f>
        <v>1.5567442106777207</v>
      </c>
      <c r="H29" s="322">
        <f>'WBD SOTP'!N113-'WBD SOTP'!M113</f>
        <v>66.518245123492306</v>
      </c>
      <c r="I29" s="322">
        <f>'WBD SOTP'!O113-'WBD SOTP'!N113</f>
        <v>-7.5539204667885542</v>
      </c>
      <c r="J29" s="322">
        <f>'WBD SOTP'!P113-'WBD SOTP'!O113</f>
        <v>-12.524364245614493</v>
      </c>
      <c r="K29" s="322">
        <f>'WBD SOTP'!Q113-'WBD SOTP'!P113</f>
        <v>-43.878689964373734</v>
      </c>
      <c r="L29" s="36"/>
    </row>
    <row r="30" spans="1:12" x14ac:dyDescent="0.35">
      <c r="A30" s="337"/>
      <c r="B30" s="323" t="s">
        <v>1056</v>
      </c>
      <c r="C30" s="338">
        <v>-0.04</v>
      </c>
      <c r="D30" s="338">
        <v>-0.04</v>
      </c>
      <c r="E30" s="338">
        <v>-0.02</v>
      </c>
      <c r="F30" s="344">
        <v>-0.03</v>
      </c>
      <c r="G30" s="338">
        <v>-0.03</v>
      </c>
      <c r="H30" s="338">
        <v>-0.03</v>
      </c>
      <c r="I30" s="338">
        <v>-0.03</v>
      </c>
      <c r="J30" s="338">
        <v>-0.03</v>
      </c>
      <c r="K30" s="338">
        <v>-0.03</v>
      </c>
      <c r="L30" s="36"/>
    </row>
    <row r="31" spans="1:12" x14ac:dyDescent="0.35">
      <c r="A31" s="337"/>
      <c r="B31" s="36"/>
      <c r="C31" s="36"/>
      <c r="D31" s="36"/>
      <c r="E31" s="36"/>
      <c r="F31" s="342"/>
      <c r="G31" s="36"/>
      <c r="H31" s="36"/>
      <c r="I31" s="36"/>
      <c r="J31" s="36"/>
      <c r="K31" s="36"/>
      <c r="L31" s="36"/>
    </row>
    <row r="32" spans="1:12" x14ac:dyDescent="0.35">
      <c r="A32" s="337"/>
      <c r="B32" s="328" t="s">
        <v>1090</v>
      </c>
      <c r="C32" s="329"/>
      <c r="D32" s="329"/>
      <c r="E32" s="329"/>
      <c r="F32" s="352">
        <f>F21+F23-F26-F29</f>
        <v>1681.205692049371</v>
      </c>
      <c r="G32" s="353">
        <f t="shared" ref="G32:J32" si="3">G21+G23-G26-G29</f>
        <v>2057.4321172103841</v>
      </c>
      <c r="H32" s="353">
        <f t="shared" si="3"/>
        <v>1757.1094382075248</v>
      </c>
      <c r="I32" s="353">
        <f t="shared" si="3"/>
        <v>2011.8943024490936</v>
      </c>
      <c r="J32" s="353">
        <f t="shared" si="3"/>
        <v>2195.1957480593524</v>
      </c>
      <c r="K32" s="354">
        <f>K21+K23-K26-K29</f>
        <v>2601.6122846762496</v>
      </c>
      <c r="L32" s="36"/>
    </row>
    <row r="33" spans="1:12" x14ac:dyDescent="0.35">
      <c r="A33" s="337" t="s">
        <v>1029</v>
      </c>
      <c r="B33" s="330" t="s">
        <v>1091</v>
      </c>
      <c r="C33" s="317"/>
      <c r="D33" s="317"/>
      <c r="E33" s="317"/>
      <c r="F33" s="355">
        <f ca="1">(F32*F35)/(1+D5)^F36</f>
        <v>137.954427776351</v>
      </c>
      <c r="G33" s="356">
        <f>(G32)/(1+E5)^G36</f>
        <v>2057.4321172103841</v>
      </c>
      <c r="H33" s="356">
        <f t="shared" ref="H33:K33" si="4">(H32)/(1+F5)^H36</f>
        <v>1757.1094382075248</v>
      </c>
      <c r="I33" s="356">
        <f t="shared" si="4"/>
        <v>2011.8943024490936</v>
      </c>
      <c r="J33" s="356">
        <f t="shared" si="4"/>
        <v>2195.1957480593524</v>
      </c>
      <c r="K33" s="357">
        <f t="shared" si="4"/>
        <v>2601.6122846762496</v>
      </c>
      <c r="L33" s="36"/>
    </row>
    <row r="34" spans="1:12" x14ac:dyDescent="0.35">
      <c r="A34" s="337"/>
      <c r="B34" s="36"/>
      <c r="C34" s="36"/>
      <c r="D34" s="36"/>
      <c r="E34" s="36"/>
      <c r="F34" s="342"/>
      <c r="G34" s="36"/>
      <c r="H34" s="36"/>
      <c r="I34" s="36"/>
      <c r="J34" s="36"/>
      <c r="K34" s="36"/>
      <c r="L34" s="36"/>
    </row>
    <row r="35" spans="1:12" x14ac:dyDescent="0.35">
      <c r="A35" s="337"/>
      <c r="B35" s="36" t="s">
        <v>1092</v>
      </c>
      <c r="C35" s="36"/>
      <c r="D35" s="36"/>
      <c r="E35" s="36"/>
      <c r="F35" s="346">
        <f>1/12</f>
        <v>8.3333333333333329E-2</v>
      </c>
      <c r="G35" s="333"/>
      <c r="H35" s="333"/>
      <c r="I35" s="333"/>
      <c r="J35" s="333"/>
      <c r="K35" s="333"/>
      <c r="L35" s="36"/>
    </row>
    <row r="36" spans="1:12" x14ac:dyDescent="0.35">
      <c r="A36" s="337"/>
      <c r="B36" s="36" t="s">
        <v>1093</v>
      </c>
      <c r="C36" s="36"/>
      <c r="D36" s="36"/>
      <c r="E36" s="36"/>
      <c r="F36" s="346">
        <v>0.15</v>
      </c>
      <c r="G36" s="332">
        <v>0.8</v>
      </c>
      <c r="H36" s="332">
        <v>1.8</v>
      </c>
      <c r="I36" s="332">
        <v>2.8</v>
      </c>
      <c r="J36" s="332">
        <v>3.8</v>
      </c>
      <c r="K36" s="332">
        <v>4.8</v>
      </c>
      <c r="L36" s="36"/>
    </row>
    <row r="37" spans="1:12" x14ac:dyDescent="0.35">
      <c r="A37" s="337"/>
      <c r="B37" s="36"/>
      <c r="C37" s="36"/>
      <c r="D37" s="36"/>
      <c r="E37" s="36"/>
      <c r="F37" s="342"/>
      <c r="G37" s="36"/>
      <c r="H37" s="36"/>
      <c r="I37" s="36"/>
      <c r="J37" s="36"/>
      <c r="K37" s="36"/>
      <c r="L37" s="36"/>
    </row>
    <row r="38" spans="1:12" x14ac:dyDescent="0.35">
      <c r="A38" s="337"/>
      <c r="B38" s="36" t="s">
        <v>1094</v>
      </c>
      <c r="C38" s="36"/>
      <c r="D38" s="36"/>
      <c r="E38" s="36"/>
      <c r="F38" s="342"/>
      <c r="G38" s="36"/>
      <c r="H38" s="36"/>
      <c r="I38" s="36"/>
      <c r="J38" s="36"/>
      <c r="K38" s="113">
        <f ca="1">(K32*(1+D6))/(D5-D6)</f>
        <v>30021.584983789293</v>
      </c>
      <c r="L38" s="36"/>
    </row>
    <row r="39" spans="1:12" x14ac:dyDescent="0.35">
      <c r="A39" s="337" t="s">
        <v>1029</v>
      </c>
      <c r="B39" s="36" t="s">
        <v>1095</v>
      </c>
      <c r="C39" s="36"/>
      <c r="D39" s="36"/>
      <c r="E39" s="36"/>
      <c r="F39" s="342"/>
      <c r="G39" s="36"/>
      <c r="H39" s="36"/>
      <c r="I39" s="36"/>
      <c r="J39" s="36"/>
      <c r="K39" s="113">
        <f ca="1">K38/(1+D5)^K36</f>
        <v>18319.214480843395</v>
      </c>
      <c r="L39" s="36"/>
    </row>
    <row r="40" spans="1:12" x14ac:dyDescent="0.35">
      <c r="A40" s="36"/>
      <c r="B40" s="36"/>
      <c r="C40" s="36"/>
      <c r="D40" s="36"/>
      <c r="E40" s="36"/>
      <c r="F40" s="342"/>
      <c r="G40" s="36"/>
      <c r="H40" s="36"/>
      <c r="I40" s="36"/>
      <c r="J40" s="36"/>
      <c r="K40" s="36"/>
      <c r="L40" s="36"/>
    </row>
    <row r="41" spans="1:12" x14ac:dyDescent="0.35">
      <c r="A41" s="36"/>
      <c r="B41" s="380" t="s">
        <v>826</v>
      </c>
      <c r="C41" s="381"/>
      <c r="D41" s="381"/>
      <c r="E41" s="381"/>
      <c r="F41" s="382"/>
      <c r="G41" s="381"/>
      <c r="H41" s="381"/>
      <c r="I41" s="381"/>
      <c r="J41" s="381"/>
      <c r="K41" s="383">
        <f ca="1">SUM(F33:K33,K39)</f>
        <v>29080.412799222351</v>
      </c>
      <c r="L41" s="36"/>
    </row>
    <row r="42" spans="1:12" x14ac:dyDescent="0.35">
      <c r="B42" s="2" t="s">
        <v>1098</v>
      </c>
      <c r="K42" s="87">
        <f ca="1">K41-'WBD SOTP'!W16</f>
        <v>18920.116024128554</v>
      </c>
    </row>
    <row r="43" spans="1:12" x14ac:dyDescent="0.35">
      <c r="B43" s="2" t="s">
        <v>1104</v>
      </c>
      <c r="K43" s="435">
        <f ca="1">K42/'WBD SOTP'!W12</f>
        <v>7.6340072862071668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BBD4C-C85B-AF4B-AED9-2FE50F7214AB}">
  <sheetPr>
    <tabColor rgb="FF00B050"/>
  </sheetPr>
  <dimension ref="A1:S56"/>
  <sheetViews>
    <sheetView workbookViewId="0">
      <selection activeCell="R38" sqref="R38"/>
    </sheetView>
  </sheetViews>
  <sheetFormatPr defaultColWidth="11.44140625" defaultRowHeight="17.399999999999999" x14ac:dyDescent="0.35"/>
  <cols>
    <col min="1" max="1" width="33.33203125" style="2" customWidth="1"/>
    <col min="2" max="2" width="12.44140625" style="2" bestFit="1" customWidth="1"/>
    <col min="3" max="3" width="11.44140625" style="2"/>
    <col min="4" max="4" width="26.109375" style="2" bestFit="1" customWidth="1"/>
    <col min="5" max="5" width="14" style="2" bestFit="1" customWidth="1"/>
    <col min="6" max="6" width="31" style="2" bestFit="1" customWidth="1"/>
    <col min="7" max="7" width="13" style="2" customWidth="1"/>
    <col min="8" max="8" width="38.109375" style="2" bestFit="1" customWidth="1"/>
    <col min="9" max="9" width="13.109375" style="2" customWidth="1"/>
    <col min="10" max="10" width="28.6640625" style="2" bestFit="1" customWidth="1"/>
    <col min="11" max="11" width="16.6640625" style="2" bestFit="1" customWidth="1"/>
    <col min="12" max="12" width="11.44140625" style="2"/>
    <col min="13" max="13" width="12.44140625" style="2" bestFit="1" customWidth="1"/>
    <col min="14" max="14" width="13.33203125" style="2" bestFit="1" customWidth="1"/>
    <col min="15" max="15" width="14" style="2" customWidth="1"/>
    <col min="16" max="16" width="12.109375" style="2" customWidth="1"/>
    <col min="17" max="17" width="17.44140625" style="2" bestFit="1" customWidth="1"/>
    <col min="18" max="18" width="12.44140625" style="2" bestFit="1" customWidth="1"/>
    <col min="19" max="16384" width="11.44140625" style="2"/>
  </cols>
  <sheetData>
    <row r="1" spans="1:13" ht="18" thickBot="1" x14ac:dyDescent="0.4">
      <c r="A1" s="2" t="s">
        <v>1108</v>
      </c>
    </row>
    <row r="2" spans="1:13" ht="18" thickBot="1" x14ac:dyDescent="0.4">
      <c r="A2" s="408" t="s">
        <v>12</v>
      </c>
      <c r="B2" s="409">
        <v>43100</v>
      </c>
      <c r="C2" s="409">
        <v>43465</v>
      </c>
      <c r="D2" s="409">
        <v>43830</v>
      </c>
      <c r="E2" s="409">
        <v>44196</v>
      </c>
      <c r="F2" s="409">
        <v>44561</v>
      </c>
      <c r="G2" s="409">
        <v>44926</v>
      </c>
      <c r="H2" s="409">
        <v>45291</v>
      </c>
      <c r="I2" s="409">
        <v>45657</v>
      </c>
      <c r="J2" s="409">
        <v>46022</v>
      </c>
      <c r="K2" s="410">
        <v>46387</v>
      </c>
    </row>
    <row r="3" spans="1:13" x14ac:dyDescent="0.35">
      <c r="A3" s="369" t="s">
        <v>1027</v>
      </c>
      <c r="B3" s="370">
        <v>7073</v>
      </c>
      <c r="C3" s="370">
        <v>13006</v>
      </c>
      <c r="D3" s="370">
        <v>13050</v>
      </c>
      <c r="E3" s="370">
        <v>13070</v>
      </c>
      <c r="F3" s="370">
        <v>12912</v>
      </c>
      <c r="G3" s="370">
        <v>34438</v>
      </c>
      <c r="H3" s="370">
        <v>34969</v>
      </c>
      <c r="I3" s="370">
        <v>25667</v>
      </c>
      <c r="J3" s="370">
        <v>25892.959999999999</v>
      </c>
      <c r="K3" s="371">
        <v>25820.26</v>
      </c>
    </row>
    <row r="4" spans="1:13" x14ac:dyDescent="0.35">
      <c r="A4" s="372" t="s">
        <v>882</v>
      </c>
      <c r="B4" s="63"/>
      <c r="C4" s="63"/>
      <c r="D4" s="63"/>
      <c r="E4" s="63"/>
      <c r="F4" s="63"/>
      <c r="G4" s="64">
        <v>8963</v>
      </c>
      <c r="H4" s="64">
        <v>9272</v>
      </c>
      <c r="I4" s="411">
        <v>9197</v>
      </c>
      <c r="J4" s="413">
        <f>J3*J5</f>
        <v>8070.8356320000003</v>
      </c>
      <c r="K4" s="373"/>
    </row>
    <row r="5" spans="1:13" x14ac:dyDescent="0.35">
      <c r="A5" s="363" t="s">
        <v>884</v>
      </c>
      <c r="B5" s="42"/>
      <c r="C5" s="42"/>
      <c r="D5" s="42"/>
      <c r="E5" s="42"/>
      <c r="F5" s="42"/>
      <c r="G5" s="42">
        <v>26.03</v>
      </c>
      <c r="H5" s="42">
        <v>26.51</v>
      </c>
      <c r="I5" s="42">
        <v>35.83</v>
      </c>
      <c r="J5" s="232">
        <f>AVERAGE(H5:I5)/100</f>
        <v>0.31170000000000003</v>
      </c>
      <c r="K5" s="364"/>
      <c r="L5" s="202"/>
    </row>
    <row r="6" spans="1:13" x14ac:dyDescent="0.35">
      <c r="A6" s="372" t="s">
        <v>914</v>
      </c>
      <c r="B6" s="63"/>
      <c r="C6" s="63"/>
      <c r="D6" s="63"/>
      <c r="E6" s="63"/>
      <c r="F6" s="63"/>
      <c r="G6" s="64">
        <v>17557</v>
      </c>
      <c r="H6" s="64">
        <v>17630</v>
      </c>
      <c r="I6" s="411">
        <v>8419</v>
      </c>
      <c r="J6" s="413">
        <f>J3*J7</f>
        <v>10774.060656</v>
      </c>
      <c r="K6" s="373"/>
    </row>
    <row r="7" spans="1:13" x14ac:dyDescent="0.35">
      <c r="A7" s="363" t="s">
        <v>884</v>
      </c>
      <c r="B7" s="42"/>
      <c r="C7" s="42"/>
      <c r="D7" s="42"/>
      <c r="E7" s="42"/>
      <c r="F7" s="42"/>
      <c r="G7" s="42">
        <v>50.98</v>
      </c>
      <c r="H7" s="42">
        <v>50.42</v>
      </c>
      <c r="I7" s="42">
        <v>32.799999999999997</v>
      </c>
      <c r="J7" s="232">
        <f>AVERAGE(H7:I7)/100</f>
        <v>0.41609999999999997</v>
      </c>
      <c r="K7" s="364"/>
      <c r="M7" s="202"/>
    </row>
    <row r="8" spans="1:13" x14ac:dyDescent="0.35">
      <c r="A8" s="372" t="s">
        <v>919</v>
      </c>
      <c r="B8" s="63"/>
      <c r="C8" s="63"/>
      <c r="D8" s="63"/>
      <c r="E8" s="63"/>
      <c r="F8" s="63"/>
      <c r="G8" s="64">
        <v>7918</v>
      </c>
      <c r="H8" s="64">
        <v>8067</v>
      </c>
      <c r="I8" s="411">
        <v>8051</v>
      </c>
      <c r="J8" s="413">
        <f>J3*J9</f>
        <v>7048.0637120000001</v>
      </c>
      <c r="K8" s="373"/>
    </row>
    <row r="9" spans="1:13" x14ac:dyDescent="0.35">
      <c r="A9" s="363" t="s">
        <v>884</v>
      </c>
      <c r="B9" s="42"/>
      <c r="C9" s="42"/>
      <c r="D9" s="42"/>
      <c r="E9" s="42"/>
      <c r="F9" s="42"/>
      <c r="G9" s="42">
        <v>22.99</v>
      </c>
      <c r="H9" s="42">
        <v>23.07</v>
      </c>
      <c r="I9" s="42">
        <v>31.37</v>
      </c>
      <c r="J9" s="232">
        <f>AVERAGE(H9:I9)/100</f>
        <v>0.2722</v>
      </c>
      <c r="K9" s="364"/>
    </row>
    <row r="10" spans="1:13" x14ac:dyDescent="0.35">
      <c r="A10" s="363" t="s">
        <v>921</v>
      </c>
      <c r="B10" s="42">
        <v>40</v>
      </c>
      <c r="C10" s="42">
        <v>0</v>
      </c>
      <c r="D10" s="42">
        <v>0</v>
      </c>
      <c r="E10" s="42"/>
      <c r="F10" s="42"/>
      <c r="G10" s="42"/>
      <c r="H10" s="42"/>
      <c r="I10" s="42"/>
      <c r="J10" s="42"/>
      <c r="K10" s="364"/>
    </row>
    <row r="11" spans="1:13" x14ac:dyDescent="0.35">
      <c r="A11" s="363" t="s">
        <v>884</v>
      </c>
      <c r="B11" s="42">
        <v>0.56999999999999995</v>
      </c>
      <c r="C11" s="42">
        <v>0</v>
      </c>
      <c r="D11" s="42">
        <v>0</v>
      </c>
      <c r="E11" s="42"/>
      <c r="F11" s="42"/>
      <c r="G11" s="42"/>
      <c r="H11" s="42"/>
      <c r="I11" s="42"/>
      <c r="J11" s="42"/>
      <c r="K11" s="364"/>
    </row>
    <row r="12" spans="1:13" x14ac:dyDescent="0.35">
      <c r="A12" s="363" t="s">
        <v>924</v>
      </c>
      <c r="B12" s="42"/>
      <c r="C12" s="42"/>
      <c r="D12" s="42"/>
      <c r="E12" s="42"/>
      <c r="F12" s="42"/>
      <c r="G12" s="42"/>
      <c r="H12" s="42"/>
      <c r="I12" s="42"/>
      <c r="J12" s="42"/>
      <c r="K12" s="364"/>
    </row>
    <row r="13" spans="1:13" x14ac:dyDescent="0.35">
      <c r="A13" s="363" t="s">
        <v>925</v>
      </c>
      <c r="B13" s="42"/>
      <c r="C13" s="42"/>
      <c r="D13" s="42"/>
      <c r="E13" s="42"/>
      <c r="F13" s="42"/>
      <c r="G13" s="42"/>
      <c r="H13" s="42"/>
      <c r="I13" s="42"/>
      <c r="J13" s="42"/>
      <c r="K13" s="364"/>
    </row>
    <row r="14" spans="1:13" x14ac:dyDescent="0.35">
      <c r="A14" s="363" t="s">
        <v>926</v>
      </c>
      <c r="B14" s="41">
        <v>1555</v>
      </c>
      <c r="C14" s="41">
        <v>2221</v>
      </c>
      <c r="D14" s="41">
        <v>2237</v>
      </c>
      <c r="E14" s="41">
        <v>2257</v>
      </c>
      <c r="F14" s="41">
        <v>2099</v>
      </c>
      <c r="G14" s="42"/>
      <c r="H14" s="42"/>
      <c r="I14" s="42"/>
      <c r="J14" s="42"/>
      <c r="K14" s="364"/>
    </row>
    <row r="15" spans="1:13" ht="18" thickBot="1" x14ac:dyDescent="0.4">
      <c r="A15" s="365" t="s">
        <v>928</v>
      </c>
      <c r="B15" s="366">
        <v>5478</v>
      </c>
      <c r="C15" s="366">
        <v>10785</v>
      </c>
      <c r="D15" s="366">
        <v>10813</v>
      </c>
      <c r="E15" s="366">
        <v>10813</v>
      </c>
      <c r="F15" s="366">
        <v>10813</v>
      </c>
      <c r="G15" s="367"/>
      <c r="H15" s="367"/>
      <c r="I15" s="367"/>
      <c r="J15" s="367"/>
      <c r="K15" s="368"/>
    </row>
    <row r="16" spans="1:13" ht="18" thickBot="1" x14ac:dyDescent="0.4"/>
    <row r="17" spans="1:19" x14ac:dyDescent="0.35">
      <c r="A17" s="532" t="s">
        <v>1109</v>
      </c>
      <c r="B17" s="533"/>
    </row>
    <row r="18" spans="1:19" x14ac:dyDescent="0.35">
      <c r="A18" s="401" t="s">
        <v>1110</v>
      </c>
      <c r="B18" s="429">
        <f>'NFLX DDIS'!D18</f>
        <v>3.688375074786121E-2</v>
      </c>
    </row>
    <row r="19" spans="1:19" ht="18" thickBot="1" x14ac:dyDescent="0.4">
      <c r="A19" s="403" t="s">
        <v>1111</v>
      </c>
      <c r="B19" s="404">
        <f>SUMPRODUCT('NFLX DDIS'!G2:G13,'NFLX DDIS'!L2:L13)/10^8</f>
        <v>15895.476860799999</v>
      </c>
    </row>
    <row r="20" spans="1:19" ht="18" thickBot="1" x14ac:dyDescent="0.4"/>
    <row r="21" spans="1:19" x14ac:dyDescent="0.35">
      <c r="A21" s="534" t="s">
        <v>1112</v>
      </c>
      <c r="B21" s="535"/>
    </row>
    <row r="22" spans="1:19" x14ac:dyDescent="0.35">
      <c r="A22" s="401" t="s">
        <v>1113</v>
      </c>
      <c r="B22" s="430">
        <f>'PSKY DDIS'!B33</f>
        <v>6.4802865250805072E-2</v>
      </c>
      <c r="D22" s="414"/>
      <c r="E22" s="87"/>
      <c r="F22" s="416"/>
    </row>
    <row r="23" spans="1:19" ht="18" thickBot="1" x14ac:dyDescent="0.4">
      <c r="A23" s="403" t="s">
        <v>1114</v>
      </c>
      <c r="B23" s="433">
        <f>(SUMPRODUCT('PSKY DDIS'!L2:L27,'PSKY DDIS'!G2:G27))/10^8</f>
        <v>13483.496783160001</v>
      </c>
    </row>
    <row r="24" spans="1:19" ht="18" thickBot="1" x14ac:dyDescent="0.4"/>
    <row r="25" spans="1:19" x14ac:dyDescent="0.35">
      <c r="A25" s="643" t="s">
        <v>1115</v>
      </c>
      <c r="B25" s="644"/>
      <c r="C25" s="644"/>
      <c r="D25" s="644"/>
      <c r="E25" s="644"/>
      <c r="F25" s="645"/>
      <c r="H25" s="423" t="s">
        <v>1116</v>
      </c>
      <c r="J25" s="423" t="s">
        <v>1117</v>
      </c>
      <c r="K25" s="431" t="s">
        <v>1118</v>
      </c>
      <c r="L25" s="432" t="s">
        <v>1119</v>
      </c>
    </row>
    <row r="26" spans="1:19" x14ac:dyDescent="0.35">
      <c r="A26" s="401" t="s">
        <v>1120</v>
      </c>
      <c r="C26" s="2" t="s">
        <v>1121</v>
      </c>
      <c r="D26" s="2" t="s">
        <v>1122</v>
      </c>
      <c r="E26" s="2" t="s">
        <v>1123</v>
      </c>
      <c r="F26" s="402" t="s">
        <v>1124</v>
      </c>
      <c r="H26" s="425">
        <f ca="1">SUM(F27:F29)</f>
        <v>113714.64097019541</v>
      </c>
      <c r="J26" s="425">
        <f ca="1">F27+F29</f>
        <v>71949.815451329487</v>
      </c>
      <c r="K26" s="401" t="s">
        <v>1125</v>
      </c>
      <c r="L26" s="402"/>
    </row>
    <row r="27" spans="1:19" ht="18" thickBot="1" x14ac:dyDescent="0.4">
      <c r="A27" s="401" t="s">
        <v>1126</v>
      </c>
      <c r="B27" s="405">
        <f ca="1">'Studios DCF'!K42</f>
        <v>30877.766743552216</v>
      </c>
      <c r="C27" s="405">
        <f>J4</f>
        <v>8070.8356320000003</v>
      </c>
      <c r="D27" s="414">
        <f ca="1">B27+C27</f>
        <v>38948.602375552218</v>
      </c>
      <c r="E27" s="341">
        <v>0.2</v>
      </c>
      <c r="F27" s="420">
        <f ca="1">B27*(1+E27)</f>
        <v>37053.320092262657</v>
      </c>
      <c r="H27" s="424">
        <f ca="1">H26/'WBD SOTP'!W12</f>
        <v>45.8822977939369</v>
      </c>
      <c r="J27" s="424">
        <f ca="1">J26/'WBD SOTP'!W12</f>
        <v>29.030763590257052</v>
      </c>
      <c r="K27" s="403" t="s">
        <v>1127</v>
      </c>
      <c r="L27" s="422">
        <f ca="1">J27-27.75</f>
        <v>1.2807635902570524</v>
      </c>
    </row>
    <row r="28" spans="1:19" ht="18" thickBot="1" x14ac:dyDescent="0.4">
      <c r="A28" s="401" t="s">
        <v>1128</v>
      </c>
      <c r="B28" s="405">
        <f ca="1">'Networks DCF'!K42</f>
        <v>34804.021265721625</v>
      </c>
      <c r="C28" s="405">
        <f>J6</f>
        <v>10774.060656</v>
      </c>
      <c r="D28" s="414">
        <f ca="1">B28+C28</f>
        <v>45578.081921721627</v>
      </c>
      <c r="E28" s="341">
        <v>0.2</v>
      </c>
      <c r="F28" s="420">
        <f t="shared" ref="F28:F29" ca="1" si="0">B28*(1+E28)</f>
        <v>41764.825518865946</v>
      </c>
    </row>
    <row r="29" spans="1:19" ht="18" thickBot="1" x14ac:dyDescent="0.4">
      <c r="A29" s="403" t="s">
        <v>1129</v>
      </c>
      <c r="B29" s="407">
        <f ca="1">'Streaming DCF'!K41</f>
        <v>29080.412799222351</v>
      </c>
      <c r="C29" s="407">
        <f>J8</f>
        <v>7048.0637120000001</v>
      </c>
      <c r="D29" s="415">
        <f ca="1">B29+C29</f>
        <v>36128.476511222354</v>
      </c>
      <c r="E29" s="421">
        <v>0.2</v>
      </c>
      <c r="F29" s="422">
        <f t="shared" ca="1" si="0"/>
        <v>34896.495359066823</v>
      </c>
      <c r="N29" s="640" t="s">
        <v>1130</v>
      </c>
      <c r="O29" s="641"/>
      <c r="P29" s="641"/>
      <c r="Q29" s="642"/>
    </row>
    <row r="30" spans="1:19" x14ac:dyDescent="0.35">
      <c r="A30" s="436" t="s">
        <v>1120</v>
      </c>
      <c r="B30" s="406"/>
      <c r="C30" s="406" t="s">
        <v>1121</v>
      </c>
      <c r="D30" s="406" t="s">
        <v>1131</v>
      </c>
      <c r="E30" s="406" t="s">
        <v>1123</v>
      </c>
      <c r="F30" s="400" t="s">
        <v>1132</v>
      </c>
      <c r="H30" s="423" t="s">
        <v>1133</v>
      </c>
      <c r="J30" s="423" t="s">
        <v>1117</v>
      </c>
      <c r="K30" s="431" t="s">
        <v>1118</v>
      </c>
      <c r="L30" s="432" t="s">
        <v>1119</v>
      </c>
      <c r="N30" s="436"/>
      <c r="O30" s="448" t="s">
        <v>907</v>
      </c>
      <c r="P30" s="461" t="s">
        <v>913</v>
      </c>
      <c r="Q30" s="449" t="s">
        <v>1134</v>
      </c>
    </row>
    <row r="31" spans="1:19" x14ac:dyDescent="0.35">
      <c r="A31" s="401" t="s">
        <v>1126</v>
      </c>
      <c r="B31" s="87">
        <f ca="1">'Studios DCF'!K43</f>
        <v>20717.469968458419</v>
      </c>
      <c r="C31" s="405">
        <v>8070.8356320000003</v>
      </c>
      <c r="D31" s="416">
        <f ca="1">B31+C31</f>
        <v>28788.305600458421</v>
      </c>
      <c r="E31" s="341">
        <v>0.2</v>
      </c>
      <c r="F31" s="437">
        <f ca="1">B31*(1+E31)</f>
        <v>24860.963962150101</v>
      </c>
      <c r="H31" s="425">
        <f ca="1">SUM(F31:F33)</f>
        <v>77137.572579857748</v>
      </c>
      <c r="J31" s="425">
        <f ca="1">F31+F33</f>
        <v>47565.103191104368</v>
      </c>
      <c r="K31" s="401" t="s">
        <v>1125</v>
      </c>
      <c r="L31" s="402"/>
      <c r="N31" s="401" t="s">
        <v>1098</v>
      </c>
      <c r="O31" s="412">
        <f ca="1">'Studios DCF'!K43</f>
        <v>20717.469968458419</v>
      </c>
      <c r="P31" s="462">
        <f ca="1">'Networks DCF'!K43</f>
        <v>24643.724490627828</v>
      </c>
      <c r="Q31" s="437">
        <f ca="1">'Streaming DCF'!K42</f>
        <v>18920.116024128554</v>
      </c>
      <c r="R31" s="416"/>
      <c r="S31" s="416"/>
    </row>
    <row r="32" spans="1:19" ht="18" thickBot="1" x14ac:dyDescent="0.4">
      <c r="A32" s="401" t="s">
        <v>1128</v>
      </c>
      <c r="B32" s="87">
        <f ca="1">'Networks DCF'!K43</f>
        <v>24643.724490627828</v>
      </c>
      <c r="C32" s="405">
        <v>10774.060656</v>
      </c>
      <c r="D32" s="416">
        <f t="shared" ref="D32:D33" ca="1" si="1">B32+C32</f>
        <v>35417.78514662783</v>
      </c>
      <c r="E32" s="341">
        <v>0.2</v>
      </c>
      <c r="F32" s="437">
        <f t="shared" ref="F32:F33" ca="1" si="2">B32*(1+E32)</f>
        <v>29572.469388753394</v>
      </c>
      <c r="H32" s="424">
        <f ca="1">H31/'WBD SOTP'!W12</f>
        <v>31.123952430523797</v>
      </c>
      <c r="J32" s="424">
        <f ca="1">J31/'WBD SOTP'!W12</f>
        <v>19.191866681314981</v>
      </c>
      <c r="K32" s="403" t="s">
        <v>1127</v>
      </c>
      <c r="L32" s="422">
        <f ca="1">J32-27.75</f>
        <v>-8.5581333186850195</v>
      </c>
      <c r="N32" s="403" t="s">
        <v>1135</v>
      </c>
      <c r="O32" s="450">
        <f ca="1">'Studios DCF'!K44</f>
        <v>8.359214948221986</v>
      </c>
      <c r="P32" s="463">
        <f ca="1">'Networks DCF'!K44</f>
        <v>9.9434047910073513</v>
      </c>
      <c r="Q32" s="428">
        <f ca="1">'Streaming DCF'!K43</f>
        <v>7.6340072862071668</v>
      </c>
    </row>
    <row r="33" spans="1:19" ht="18" thickBot="1" x14ac:dyDescent="0.4">
      <c r="A33" s="403" t="s">
        <v>1129</v>
      </c>
      <c r="B33" s="438">
        <f ca="1">'Streaming DCF'!K42</f>
        <v>18920.116024128554</v>
      </c>
      <c r="C33" s="407">
        <v>7048.0637120000001</v>
      </c>
      <c r="D33" s="439">
        <f t="shared" ca="1" si="1"/>
        <v>25968.179736128553</v>
      </c>
      <c r="E33" s="421">
        <v>0.2</v>
      </c>
      <c r="F33" s="428">
        <f t="shared" ca="1" si="2"/>
        <v>22704.139228954264</v>
      </c>
    </row>
    <row r="34" spans="1:19" ht="18" thickBot="1" x14ac:dyDescent="0.4">
      <c r="D34" s="414"/>
      <c r="N34" s="640" t="s">
        <v>1136</v>
      </c>
      <c r="O34" s="641"/>
      <c r="P34" s="641"/>
      <c r="Q34" s="642"/>
    </row>
    <row r="35" spans="1:19" x14ac:dyDescent="0.35">
      <c r="N35" s="401" t="s">
        <v>1137</v>
      </c>
      <c r="O35" s="416">
        <f ca="1">O31*(1+E31)</f>
        <v>24860.963962150101</v>
      </c>
      <c r="P35" s="416">
        <f ca="1">P31*(1+E32)</f>
        <v>29572.469388753394</v>
      </c>
      <c r="Q35" s="420">
        <f ca="1">Q31*(1+E33)</f>
        <v>22704.139228954264</v>
      </c>
      <c r="R35" s="416"/>
      <c r="S35" s="416"/>
    </row>
    <row r="36" spans="1:19" ht="18" thickBot="1" x14ac:dyDescent="0.4">
      <c r="A36" s="2" t="s">
        <v>1138</v>
      </c>
      <c r="N36" s="403" t="s">
        <v>1139</v>
      </c>
      <c r="O36" s="459">
        <f ca="1">O35</f>
        <v>24860.963962150101</v>
      </c>
      <c r="P36" s="458">
        <f ca="1">P35</f>
        <v>29572.469388753394</v>
      </c>
      <c r="Q36" s="460">
        <f ca="1">Q35+L40</f>
        <v>48404.639228954264</v>
      </c>
      <c r="R36" s="416">
        <f ca="1">SUM(O36:Q36)</f>
        <v>102838.07257985775</v>
      </c>
      <c r="S36" s="416"/>
    </row>
    <row r="37" spans="1:19" x14ac:dyDescent="0.35">
      <c r="A37" s="436"/>
      <c r="B37" s="440">
        <v>42369</v>
      </c>
      <c r="C37" s="440">
        <v>42735</v>
      </c>
      <c r="D37" s="440">
        <v>43100</v>
      </c>
      <c r="E37" s="440">
        <v>43465</v>
      </c>
      <c r="F37" s="440">
        <v>43830</v>
      </c>
      <c r="G37" s="440">
        <v>44196</v>
      </c>
      <c r="H37" s="440">
        <v>44561</v>
      </c>
      <c r="I37" s="440">
        <v>44926</v>
      </c>
      <c r="J37" s="440">
        <v>45291</v>
      </c>
      <c r="K37" s="441">
        <v>45657</v>
      </c>
      <c r="R37" s="416">
        <f ca="1">O36+Q36</f>
        <v>73265.603191104368</v>
      </c>
    </row>
    <row r="38" spans="1:19" x14ac:dyDescent="0.35">
      <c r="A38" s="363" t="s">
        <v>193</v>
      </c>
      <c r="B38" s="41">
        <v>11924</v>
      </c>
      <c r="C38" s="41">
        <v>11641</v>
      </c>
      <c r="D38" s="41">
        <v>11056</v>
      </c>
      <c r="E38" s="41">
        <v>25749</v>
      </c>
      <c r="F38" s="41">
        <v>24846</v>
      </c>
      <c r="G38" s="41">
        <v>24149</v>
      </c>
      <c r="H38" s="41">
        <v>23061</v>
      </c>
      <c r="I38" s="41">
        <v>106072</v>
      </c>
      <c r="J38" s="41">
        <v>94483</v>
      </c>
      <c r="K38" s="446">
        <v>77068</v>
      </c>
      <c r="R38" s="416">
        <f ca="1">R37/'WBD SOTP'!W12</f>
        <v>29.561665894436032</v>
      </c>
    </row>
    <row r="39" spans="1:19" x14ac:dyDescent="0.35">
      <c r="A39" s="442" t="s">
        <v>195</v>
      </c>
      <c r="B39" s="58">
        <v>8164</v>
      </c>
      <c r="C39" s="58">
        <v>8040</v>
      </c>
      <c r="D39" s="58">
        <v>7073</v>
      </c>
      <c r="E39" s="58">
        <v>13006</v>
      </c>
      <c r="F39" s="58">
        <v>13050</v>
      </c>
      <c r="G39" s="58">
        <v>13070</v>
      </c>
      <c r="H39" s="58">
        <v>12912</v>
      </c>
      <c r="I39" s="58">
        <v>34438</v>
      </c>
      <c r="J39" s="58">
        <v>34969</v>
      </c>
      <c r="K39" s="447">
        <v>25667</v>
      </c>
      <c r="L39" s="159">
        <f>K39/K38</f>
        <v>0.33304354595941249</v>
      </c>
      <c r="M39" s="416"/>
      <c r="N39" s="416"/>
    </row>
    <row r="40" spans="1:19" ht="18" thickBot="1" x14ac:dyDescent="0.4">
      <c r="A40" s="443" t="s">
        <v>197</v>
      </c>
      <c r="B40" s="444">
        <v>3760</v>
      </c>
      <c r="C40" s="444">
        <v>3601</v>
      </c>
      <c r="D40" s="444">
        <v>3983</v>
      </c>
      <c r="E40" s="444">
        <v>12743</v>
      </c>
      <c r="F40" s="444">
        <v>11796</v>
      </c>
      <c r="G40" s="444">
        <v>11079</v>
      </c>
      <c r="H40" s="444">
        <v>10149</v>
      </c>
      <c r="I40" s="444">
        <v>71634</v>
      </c>
      <c r="J40" s="444">
        <v>59514</v>
      </c>
      <c r="K40" s="445">
        <v>51401</v>
      </c>
      <c r="L40" s="235">
        <f>K40/2</f>
        <v>25700.5</v>
      </c>
      <c r="M40" s="341">
        <v>0.5</v>
      </c>
    </row>
    <row r="42" spans="1:19" ht="18" thickBot="1" x14ac:dyDescent="0.4"/>
    <row r="43" spans="1:19" x14ac:dyDescent="0.35">
      <c r="A43" s="436" t="s">
        <v>1140</v>
      </c>
      <c r="B43" s="400"/>
    </row>
    <row r="44" spans="1:19" x14ac:dyDescent="0.35">
      <c r="A44" s="401" t="s">
        <v>1141</v>
      </c>
      <c r="B44" s="402">
        <v>10</v>
      </c>
    </row>
    <row r="45" spans="1:19" x14ac:dyDescent="0.35">
      <c r="A45" s="401" t="s">
        <v>1142</v>
      </c>
      <c r="B45" s="419">
        <v>0.12</v>
      </c>
    </row>
    <row r="46" spans="1:19" x14ac:dyDescent="0.35">
      <c r="A46" s="401" t="s">
        <v>1143</v>
      </c>
      <c r="B46" s="437">
        <f>'NFLX Income Statement - GAAP'!I6</f>
        <v>39000.966</v>
      </c>
    </row>
    <row r="47" spans="1:19" x14ac:dyDescent="0.35">
      <c r="A47" s="401" t="s">
        <v>1144</v>
      </c>
      <c r="B47" s="430">
        <v>0.16500000000000001</v>
      </c>
    </row>
    <row r="48" spans="1:19" x14ac:dyDescent="0.35">
      <c r="A48" s="401" t="s">
        <v>1145</v>
      </c>
      <c r="B48" s="419">
        <v>7.0000000000000007E-2</v>
      </c>
    </row>
    <row r="49" spans="1:11" x14ac:dyDescent="0.35">
      <c r="A49" s="401" t="s">
        <v>1146</v>
      </c>
      <c r="B49" s="419">
        <v>0.03</v>
      </c>
    </row>
    <row r="50" spans="1:11" ht="18" thickBot="1" x14ac:dyDescent="0.4">
      <c r="A50" s="403" t="s">
        <v>1147</v>
      </c>
      <c r="B50" s="452">
        <v>7.0000000000000007E-2</v>
      </c>
    </row>
    <row r="51" spans="1:11" ht="18" thickBot="1" x14ac:dyDescent="0.4"/>
    <row r="52" spans="1:11" x14ac:dyDescent="0.35">
      <c r="A52" s="453" t="s">
        <v>889</v>
      </c>
      <c r="B52" s="454">
        <v>2026</v>
      </c>
      <c r="C52" s="454">
        <f>B52+1</f>
        <v>2027</v>
      </c>
      <c r="D52" s="454">
        <f t="shared" ref="D52:K52" si="3">C52+1</f>
        <v>2028</v>
      </c>
      <c r="E52" s="454">
        <f t="shared" si="3"/>
        <v>2029</v>
      </c>
      <c r="F52" s="454">
        <f t="shared" si="3"/>
        <v>2030</v>
      </c>
      <c r="G52" s="454">
        <f t="shared" si="3"/>
        <v>2031</v>
      </c>
      <c r="H52" s="454">
        <f t="shared" si="3"/>
        <v>2032</v>
      </c>
      <c r="I52" s="454">
        <f t="shared" si="3"/>
        <v>2033</v>
      </c>
      <c r="J52" s="454">
        <f t="shared" si="3"/>
        <v>2034</v>
      </c>
      <c r="K52" s="455">
        <f t="shared" si="3"/>
        <v>2035</v>
      </c>
    </row>
    <row r="53" spans="1:11" x14ac:dyDescent="0.35">
      <c r="A53" s="401" t="s">
        <v>1148</v>
      </c>
      <c r="B53" s="2">
        <v>1</v>
      </c>
      <c r="C53" s="2">
        <f>B53+1</f>
        <v>2</v>
      </c>
      <c r="D53" s="2">
        <f t="shared" ref="D53:K53" si="4">C53+1</f>
        <v>3</v>
      </c>
      <c r="E53" s="2">
        <f t="shared" si="4"/>
        <v>4</v>
      </c>
      <c r="F53" s="2">
        <f t="shared" si="4"/>
        <v>5</v>
      </c>
      <c r="G53" s="2">
        <f t="shared" si="4"/>
        <v>6</v>
      </c>
      <c r="H53" s="2">
        <f t="shared" si="4"/>
        <v>7</v>
      </c>
      <c r="I53" s="2">
        <f t="shared" si="4"/>
        <v>8</v>
      </c>
      <c r="J53" s="2">
        <f>I53+1</f>
        <v>9</v>
      </c>
      <c r="K53" s="402">
        <f t="shared" si="4"/>
        <v>10</v>
      </c>
    </row>
    <row r="54" spans="1:11" x14ac:dyDescent="0.35">
      <c r="A54" s="401" t="s">
        <v>1149</v>
      </c>
      <c r="B54" s="416">
        <f>B46*B48*B45</f>
        <v>327.60811440000003</v>
      </c>
      <c r="C54" s="416">
        <f>B54*(1+$B$49)</f>
        <v>337.43635783200006</v>
      </c>
      <c r="D54" s="416">
        <f t="shared" ref="D54:K54" si="5">C54*(1+$B$49)</f>
        <v>347.55944856696004</v>
      </c>
      <c r="E54" s="416">
        <f t="shared" si="5"/>
        <v>357.98623202396885</v>
      </c>
      <c r="F54" s="416">
        <f t="shared" si="5"/>
        <v>368.72581898468792</v>
      </c>
      <c r="G54" s="416">
        <f t="shared" si="5"/>
        <v>379.78759355422858</v>
      </c>
      <c r="H54" s="416">
        <f t="shared" si="5"/>
        <v>391.18122136085543</v>
      </c>
      <c r="I54" s="416">
        <f t="shared" si="5"/>
        <v>402.91665800168113</v>
      </c>
      <c r="J54" s="416">
        <f t="shared" si="5"/>
        <v>415.00415774173155</v>
      </c>
      <c r="K54" s="420">
        <f t="shared" si="5"/>
        <v>427.45428247398348</v>
      </c>
    </row>
    <row r="55" spans="1:11" ht="18" thickBot="1" x14ac:dyDescent="0.4">
      <c r="A55" s="403" t="s">
        <v>1150</v>
      </c>
      <c r="B55" s="439">
        <f>B54/(1+$B$50)^B53</f>
        <v>306.17580785046732</v>
      </c>
      <c r="C55" s="439">
        <f t="shared" ref="C55:J55" si="6">C54/(1+$B$50)^C53</f>
        <v>294.72998325792651</v>
      </c>
      <c r="D55" s="439">
        <f t="shared" si="6"/>
        <v>283.71203995856473</v>
      </c>
      <c r="E55" s="439">
        <f t="shared" si="6"/>
        <v>273.1059823900203</v>
      </c>
      <c r="F55" s="439">
        <f t="shared" si="6"/>
        <v>262.89641295487928</v>
      </c>
      <c r="G55" s="439">
        <f t="shared" si="6"/>
        <v>253.06850966684647</v>
      </c>
      <c r="H55" s="439">
        <f t="shared" si="6"/>
        <v>243.60800463257181</v>
      </c>
      <c r="I55" s="439">
        <f t="shared" si="6"/>
        <v>234.50116333789626</v>
      </c>
      <c r="J55" s="439">
        <f t="shared" si="6"/>
        <v>225.73476470844216</v>
      </c>
      <c r="K55" s="422">
        <f>K54/(1+$B$50)^K53</f>
        <v>217.29608191560322</v>
      </c>
    </row>
    <row r="56" spans="1:11" ht="18" thickBot="1" x14ac:dyDescent="0.4">
      <c r="A56" s="456" t="s">
        <v>1151</v>
      </c>
      <c r="B56" s="457">
        <f>SUM(B55:K55)</f>
        <v>2594.8287506732181</v>
      </c>
    </row>
  </sheetData>
  <mergeCells count="3">
    <mergeCell ref="N29:Q29"/>
    <mergeCell ref="N34:Q34"/>
    <mergeCell ref="A25:F25"/>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7A3D2-977B-9A4F-9D92-00BA15B3DA9C}">
  <sheetPr>
    <tabColor rgb="FF00B050"/>
  </sheetPr>
  <dimension ref="B2:U232"/>
  <sheetViews>
    <sheetView tabSelected="1" zoomScale="66" workbookViewId="0">
      <selection activeCell="A3" sqref="A3"/>
    </sheetView>
  </sheetViews>
  <sheetFormatPr defaultColWidth="10.88671875" defaultRowHeight="17.399999999999999" x14ac:dyDescent="0.35"/>
  <cols>
    <col min="1" max="1" width="10.88671875" style="2"/>
    <col min="2" max="2" width="15.6640625" style="2" bestFit="1" customWidth="1"/>
    <col min="3" max="3" width="18.77734375" style="2" bestFit="1" customWidth="1"/>
    <col min="4" max="4" width="18.33203125" style="2" bestFit="1" customWidth="1"/>
    <col min="5" max="6" width="18.77734375" style="2" bestFit="1" customWidth="1"/>
    <col min="7" max="7" width="19.21875" style="2" bestFit="1" customWidth="1"/>
    <col min="8" max="8" width="18.77734375" style="2" bestFit="1" customWidth="1"/>
    <col min="9" max="10" width="19.21875" style="2" bestFit="1" customWidth="1"/>
    <col min="11" max="11" width="18.77734375" style="2" bestFit="1" customWidth="1"/>
    <col min="12" max="13" width="19.21875" style="2" bestFit="1" customWidth="1"/>
    <col min="14" max="15" width="18.33203125" style="2" bestFit="1" customWidth="1"/>
    <col min="16" max="16384" width="10.88671875" style="2"/>
  </cols>
  <sheetData>
    <row r="2" spans="2:15" x14ac:dyDescent="0.35">
      <c r="F2" s="140"/>
      <c r="G2" s="140"/>
      <c r="H2" s="140"/>
      <c r="I2" s="140"/>
      <c r="J2" s="140"/>
      <c r="K2" s="140"/>
      <c r="L2" s="140"/>
      <c r="M2" s="140"/>
      <c r="N2" s="140"/>
      <c r="O2" s="140"/>
    </row>
    <row r="3" spans="2:15" x14ac:dyDescent="0.35">
      <c r="B3" s="471" t="s">
        <v>1136</v>
      </c>
      <c r="C3" s="610" t="s">
        <v>907</v>
      </c>
      <c r="D3" s="611" t="s">
        <v>913</v>
      </c>
      <c r="E3" s="612" t="s">
        <v>1134</v>
      </c>
      <c r="F3" s="470" t="s">
        <v>1152</v>
      </c>
      <c r="G3" s="140"/>
      <c r="H3" s="140"/>
      <c r="I3" s="140"/>
      <c r="J3" s="140"/>
      <c r="K3" s="140"/>
      <c r="L3" s="140"/>
      <c r="M3" s="140"/>
      <c r="N3" s="140"/>
      <c r="O3" s="140"/>
    </row>
    <row r="4" spans="2:15" x14ac:dyDescent="0.35">
      <c r="B4" s="471" t="s">
        <v>1137</v>
      </c>
      <c r="C4" s="613">
        <v>26029.703405219869</v>
      </c>
      <c r="D4" s="614">
        <v>30502.65719480149</v>
      </c>
      <c r="E4" s="615">
        <v>23670.465551273988</v>
      </c>
      <c r="F4" s="616">
        <f>SUM(C4:E4)</f>
        <v>80202.826151295347</v>
      </c>
      <c r="G4" s="469"/>
      <c r="H4" s="469"/>
      <c r="I4" s="469"/>
      <c r="J4" s="469"/>
      <c r="K4" s="469"/>
      <c r="L4" s="469"/>
      <c r="M4" s="469"/>
      <c r="N4" s="469"/>
      <c r="O4" s="469"/>
    </row>
    <row r="5" spans="2:15" x14ac:dyDescent="0.35">
      <c r="B5" s="472" t="s">
        <v>1153</v>
      </c>
      <c r="C5" s="617">
        <v>26029.703405219869</v>
      </c>
      <c r="D5" s="618">
        <v>30502.65719480149</v>
      </c>
      <c r="E5" s="619">
        <v>49370.965551273985</v>
      </c>
      <c r="F5" s="620">
        <v>105903.32615129535</v>
      </c>
      <c r="G5" s="465"/>
      <c r="H5" s="465"/>
      <c r="I5" s="465"/>
      <c r="J5" s="465"/>
      <c r="K5" s="465"/>
      <c r="L5" s="465"/>
      <c r="M5" s="465"/>
      <c r="N5" s="465"/>
      <c r="O5" s="465"/>
    </row>
    <row r="6" spans="2:15" x14ac:dyDescent="0.35">
      <c r="B6" s="621"/>
      <c r="C6" s="650" t="s">
        <v>1154</v>
      </c>
      <c r="D6" s="650"/>
      <c r="E6" s="650"/>
      <c r="F6" s="650"/>
      <c r="G6" s="466"/>
      <c r="H6" s="466"/>
      <c r="I6" s="466"/>
      <c r="J6" s="466"/>
      <c r="K6" s="466"/>
      <c r="L6" s="466"/>
      <c r="M6" s="466"/>
      <c r="N6" s="466"/>
      <c r="O6" s="466"/>
    </row>
    <row r="7" spans="2:15" x14ac:dyDescent="0.35">
      <c r="B7" s="467"/>
      <c r="C7" s="464"/>
      <c r="D7" s="464"/>
      <c r="E7" s="464"/>
      <c r="F7" s="464"/>
      <c r="G7" s="464"/>
      <c r="H7" s="464"/>
      <c r="I7" s="464"/>
      <c r="J7" s="464"/>
      <c r="K7" s="464"/>
      <c r="L7" s="464"/>
      <c r="M7" s="464"/>
      <c r="N7" s="464"/>
      <c r="O7" s="464"/>
    </row>
    <row r="8" spans="2:15" x14ac:dyDescent="0.35">
      <c r="B8" s="60" t="e" vm="1">
        <v>#VALUE!</v>
      </c>
      <c r="C8" s="177"/>
      <c r="D8" s="177"/>
      <c r="E8" s="177"/>
      <c r="F8" s="177"/>
      <c r="G8" s="177"/>
      <c r="H8" s="177"/>
      <c r="I8" s="177"/>
      <c r="J8" s="177"/>
      <c r="K8" s="177"/>
      <c r="L8" s="177"/>
      <c r="M8" s="177"/>
      <c r="N8" s="177"/>
      <c r="O8" s="177"/>
    </row>
    <row r="9" spans="2:15" ht="18" thickBot="1" x14ac:dyDescent="0.4">
      <c r="B9" s="61" t="s">
        <v>883</v>
      </c>
      <c r="C9" s="468"/>
      <c r="D9" s="468"/>
      <c r="E9" s="468"/>
      <c r="F9" s="468"/>
      <c r="G9" s="468"/>
      <c r="H9" s="468"/>
      <c r="I9" s="468"/>
      <c r="J9" s="468"/>
      <c r="K9" s="468"/>
      <c r="L9" s="468"/>
      <c r="M9" s="468"/>
      <c r="N9" s="468"/>
      <c r="O9" s="468"/>
    </row>
    <row r="10" spans="2:15" x14ac:dyDescent="0.35">
      <c r="B10" s="539"/>
      <c r="C10" s="632" t="s">
        <v>885</v>
      </c>
      <c r="D10" s="633"/>
      <c r="E10" s="634"/>
      <c r="F10" s="632" t="s">
        <v>886</v>
      </c>
      <c r="G10" s="634"/>
      <c r="H10" s="632" t="s">
        <v>887</v>
      </c>
      <c r="I10" s="633"/>
      <c r="J10" s="633"/>
      <c r="K10" s="633"/>
      <c r="L10" s="633"/>
      <c r="M10" s="633"/>
      <c r="N10" s="633"/>
      <c r="O10" s="635"/>
    </row>
    <row r="11" spans="2:15" x14ac:dyDescent="0.35">
      <c r="B11" s="540" t="s">
        <v>889</v>
      </c>
      <c r="C11" s="475" t="s">
        <v>890</v>
      </c>
      <c r="D11" s="473" t="s">
        <v>891</v>
      </c>
      <c r="E11" s="474" t="s">
        <v>892</v>
      </c>
      <c r="F11" s="475" t="s">
        <v>893</v>
      </c>
      <c r="G11" s="474" t="s">
        <v>894</v>
      </c>
      <c r="H11" s="475" t="s">
        <v>895</v>
      </c>
      <c r="I11" s="473" t="s">
        <v>896</v>
      </c>
      <c r="J11" s="473" t="s">
        <v>897</v>
      </c>
      <c r="K11" s="473" t="s">
        <v>898</v>
      </c>
      <c r="L11" s="473" t="s">
        <v>899</v>
      </c>
      <c r="M11" s="473" t="s">
        <v>900</v>
      </c>
      <c r="N11" s="473" t="s">
        <v>901</v>
      </c>
      <c r="O11" s="541" t="s">
        <v>902</v>
      </c>
    </row>
    <row r="12" spans="2:15" x14ac:dyDescent="0.35">
      <c r="B12" s="542" t="s">
        <v>904</v>
      </c>
      <c r="C12" s="499">
        <v>33817</v>
      </c>
      <c r="D12" s="500">
        <v>41321</v>
      </c>
      <c r="E12" s="501">
        <v>39321</v>
      </c>
      <c r="F12" s="499">
        <v>37160.28</v>
      </c>
      <c r="G12" s="501">
        <v>36836.300000000003</v>
      </c>
      <c r="H12" s="499">
        <v>38216.090642575706</v>
      </c>
      <c r="I12" s="500">
        <v>37885.393289840642</v>
      </c>
      <c r="J12" s="500">
        <v>37934.026487221665</v>
      </c>
      <c r="K12" s="500">
        <v>38516.022199100596</v>
      </c>
      <c r="L12" s="500">
        <v>39338.628281749676</v>
      </c>
      <c r="M12" s="500">
        <v>40020.466585486931</v>
      </c>
      <c r="N12" s="500">
        <v>40974.114765319719</v>
      </c>
      <c r="O12" s="543">
        <v>42181.431066013974</v>
      </c>
    </row>
    <row r="13" spans="2:15" x14ac:dyDescent="0.35">
      <c r="B13" s="544" t="s">
        <v>906</v>
      </c>
      <c r="C13" s="502">
        <v>1.7739315888770406</v>
      </c>
      <c r="D13" s="503">
        <v>0.22190022769612927</v>
      </c>
      <c r="E13" s="504">
        <v>-4.8401539168945518E-2</v>
      </c>
      <c r="F13" s="502">
        <v>-5.4950789654383159E-2</v>
      </c>
      <c r="G13" s="504">
        <v>-8.7184488383832415E-3</v>
      </c>
      <c r="H13" s="505">
        <v>3.745736250860434E-2</v>
      </c>
      <c r="I13" s="506">
        <v>-8.6533537882768925E-3</v>
      </c>
      <c r="J13" s="506">
        <v>1.2836925568902625E-3</v>
      </c>
      <c r="K13" s="506">
        <v>1.5342313109708617E-2</v>
      </c>
      <c r="L13" s="506">
        <v>2.1357503596731581E-2</v>
      </c>
      <c r="M13" s="506">
        <v>1.7332538868763393E-2</v>
      </c>
      <c r="N13" s="506">
        <v>2.3829012033023463E-2</v>
      </c>
      <c r="O13" s="545">
        <v>2.9465341902056762E-2</v>
      </c>
    </row>
    <row r="14" spans="2:15" x14ac:dyDescent="0.35">
      <c r="B14" s="546" t="s">
        <v>907</v>
      </c>
      <c r="C14" s="508">
        <v>9731</v>
      </c>
      <c r="D14" s="509">
        <v>12192</v>
      </c>
      <c r="E14" s="510">
        <v>11607</v>
      </c>
      <c r="F14" s="508">
        <v>12772.57</v>
      </c>
      <c r="G14" s="510">
        <v>12914.39</v>
      </c>
      <c r="H14" s="508">
        <v>12017.436312695918</v>
      </c>
      <c r="I14" s="509">
        <v>12115.794380064712</v>
      </c>
      <c r="J14" s="509">
        <v>12319.086026366904</v>
      </c>
      <c r="K14" s="509">
        <v>12735.83076147212</v>
      </c>
      <c r="L14" s="509">
        <v>12905.143093792874</v>
      </c>
      <c r="M14" s="509">
        <v>12948.44183008919</v>
      </c>
      <c r="N14" s="509">
        <v>13331.443507634467</v>
      </c>
      <c r="O14" s="547">
        <v>13771.176371881296</v>
      </c>
    </row>
    <row r="15" spans="2:15" x14ac:dyDescent="0.35">
      <c r="B15" s="548" t="s">
        <v>909</v>
      </c>
      <c r="C15" s="481" t="s">
        <v>910</v>
      </c>
      <c r="D15" s="193">
        <v>0.252903093207276</v>
      </c>
      <c r="E15" s="477">
        <v>-4.7982283464566899E-2</v>
      </c>
      <c r="F15" s="476">
        <v>0.10041957439476179</v>
      </c>
      <c r="G15" s="477">
        <v>0.11110348191475952</v>
      </c>
      <c r="H15" s="476">
        <v>0.20411096651305755</v>
      </c>
      <c r="I15" s="193">
        <v>0.191912934839503</v>
      </c>
      <c r="J15" s="193">
        <v>0.15188673941552047</v>
      </c>
      <c r="K15" s="193">
        <v>0.16475353067071014</v>
      </c>
      <c r="L15" s="193">
        <v>0.17816604285969778</v>
      </c>
      <c r="M15" s="193">
        <v>0.17167981194635784</v>
      </c>
      <c r="N15" s="193">
        <v>0.16662153122307155</v>
      </c>
      <c r="O15" s="549">
        <v>0.17030522917495933</v>
      </c>
    </row>
    <row r="16" spans="2:15" x14ac:dyDescent="0.35">
      <c r="B16" s="548" t="s">
        <v>911</v>
      </c>
      <c r="C16" s="476">
        <v>0.28775467959901824</v>
      </c>
      <c r="D16" s="193">
        <v>0.29505578277389222</v>
      </c>
      <c r="E16" s="477">
        <v>0.29518577859159228</v>
      </c>
      <c r="F16" s="476">
        <v>0.34371565553327371</v>
      </c>
      <c r="G16" s="477">
        <v>0.35058868561717649</v>
      </c>
      <c r="H16" s="487">
        <v>0.3144601164229906</v>
      </c>
      <c r="I16" s="488">
        <v>0.31980120378778504</v>
      </c>
      <c r="J16" s="488">
        <v>0.3247502879905636</v>
      </c>
      <c r="K16" s="488">
        <v>0.33066318987035787</v>
      </c>
      <c r="L16" s="488">
        <v>0.32805269673777471</v>
      </c>
      <c r="M16" s="488">
        <v>0.32354549896189438</v>
      </c>
      <c r="N16" s="488">
        <v>0.32536257546967512</v>
      </c>
      <c r="O16" s="550">
        <v>0.32647484980605312</v>
      </c>
    </row>
    <row r="17" spans="2:15" x14ac:dyDescent="0.35">
      <c r="B17" s="551" t="s">
        <v>913</v>
      </c>
      <c r="C17" s="478">
        <v>19348</v>
      </c>
      <c r="D17" s="479">
        <v>21244</v>
      </c>
      <c r="E17" s="480">
        <v>20175</v>
      </c>
      <c r="F17" s="478">
        <v>17496.86</v>
      </c>
      <c r="G17" s="480">
        <v>15770.29</v>
      </c>
      <c r="H17" s="478">
        <v>15045.843125748197</v>
      </c>
      <c r="I17" s="479">
        <v>13813.280645700075</v>
      </c>
      <c r="J17" s="479">
        <v>12572.564044175131</v>
      </c>
      <c r="K17" s="479">
        <v>11578.208370064216</v>
      </c>
      <c r="L17" s="479">
        <v>10719.198501105111</v>
      </c>
      <c r="M17" s="479">
        <v>9848.2038431227193</v>
      </c>
      <c r="N17" s="479">
        <v>9049.6193493895353</v>
      </c>
      <c r="O17" s="552">
        <v>8335.5450779138282</v>
      </c>
    </row>
    <row r="18" spans="2:15" x14ac:dyDescent="0.35">
      <c r="B18" s="548" t="s">
        <v>909</v>
      </c>
      <c r="C18" s="481" t="s">
        <v>910</v>
      </c>
      <c r="D18" s="193">
        <v>9.7994624767417826E-2</v>
      </c>
      <c r="E18" s="477">
        <v>-5.0320090378459803E-2</v>
      </c>
      <c r="F18" s="476">
        <v>-0.13274547707558856</v>
      </c>
      <c r="G18" s="477">
        <v>-9.8678848661988477E-2</v>
      </c>
      <c r="H18" s="476">
        <v>-4.5937447837154755E-2</v>
      </c>
      <c r="I18" s="193">
        <v>-8.19204659882979E-2</v>
      </c>
      <c r="J18" s="193">
        <v>-8.982055989075742E-2</v>
      </c>
      <c r="K18" s="193">
        <v>-7.9089330594549645E-2</v>
      </c>
      <c r="L18" s="193">
        <v>-7.419195107768993E-2</v>
      </c>
      <c r="M18" s="193">
        <v>-8.1255576887823727E-2</v>
      </c>
      <c r="N18" s="193">
        <v>-8.1089354612705195E-2</v>
      </c>
      <c r="O18" s="549">
        <v>-7.8906553293192128E-2</v>
      </c>
    </row>
    <row r="19" spans="2:15" x14ac:dyDescent="0.35">
      <c r="B19" s="548" t="s">
        <v>911</v>
      </c>
      <c r="C19" s="476">
        <v>0.57213827364934799</v>
      </c>
      <c r="D19" s="193">
        <v>0.51412114905253992</v>
      </c>
      <c r="E19" s="477">
        <v>0.51308461127641714</v>
      </c>
      <c r="F19" s="476">
        <v>0.47084844355317024</v>
      </c>
      <c r="G19" s="477">
        <v>0.42811818776587224</v>
      </c>
      <c r="H19" s="487">
        <v>0.49966213305946949</v>
      </c>
      <c r="I19" s="488">
        <v>0.48516690494149384</v>
      </c>
      <c r="J19" s="488">
        <v>0.47937605611928458</v>
      </c>
      <c r="K19" s="488">
        <v>0.47263434508785807</v>
      </c>
      <c r="L19" s="488">
        <v>0.47299152539479561</v>
      </c>
      <c r="M19" s="488">
        <v>0.48196619292058029</v>
      </c>
      <c r="N19" s="488">
        <v>0.47842700489280243</v>
      </c>
      <c r="O19" s="550">
        <v>0.4770790248830642</v>
      </c>
    </row>
    <row r="20" spans="2:15" x14ac:dyDescent="0.35">
      <c r="B20" s="525" t="s">
        <v>915</v>
      </c>
      <c r="C20" s="482">
        <v>7274</v>
      </c>
      <c r="D20" s="215">
        <v>10154</v>
      </c>
      <c r="E20" s="483">
        <v>10313</v>
      </c>
      <c r="F20" s="482">
        <v>10822.08</v>
      </c>
      <c r="G20" s="483">
        <v>11779.33</v>
      </c>
      <c r="H20" s="482">
        <v>10196.915345217954</v>
      </c>
      <c r="I20" s="215">
        <v>10500.591998742255</v>
      </c>
      <c r="J20" s="215">
        <v>10752.545162643299</v>
      </c>
      <c r="K20" s="215">
        <v>11080.642350149305</v>
      </c>
      <c r="L20" s="215">
        <v>11289.461847014396</v>
      </c>
      <c r="M20" s="215">
        <v>11222.654848495244</v>
      </c>
      <c r="N20" s="215">
        <v>11601.531867684416</v>
      </c>
      <c r="O20" s="553">
        <v>11993.787330760733</v>
      </c>
    </row>
    <row r="21" spans="2:15" x14ac:dyDescent="0.35">
      <c r="B21" s="548" t="s">
        <v>909</v>
      </c>
      <c r="C21" s="481" t="s">
        <v>910</v>
      </c>
      <c r="D21" s="177">
        <v>0.39593071212537806</v>
      </c>
      <c r="E21" s="477">
        <v>1.565885365373252E-2</v>
      </c>
      <c r="F21" s="476">
        <v>4.9362939978667697E-2</v>
      </c>
      <c r="G21" s="477">
        <v>8.8453421153789291E-2</v>
      </c>
      <c r="H21" s="476">
        <v>0.13735148172789191</v>
      </c>
      <c r="I21" s="193">
        <v>7.270667412852036E-2</v>
      </c>
      <c r="J21" s="193">
        <v>8.6968629247217322E-2</v>
      </c>
      <c r="K21" s="193">
        <v>9.6370051564354728E-2</v>
      </c>
      <c r="L21" s="193">
        <v>9.8349209166996077E-2</v>
      </c>
      <c r="M21" s="193">
        <v>8.8598641026772118E-2</v>
      </c>
      <c r="N21" s="193">
        <v>9.2571632751335065E-2</v>
      </c>
      <c r="O21" s="549">
        <v>9.39723836273645E-2</v>
      </c>
    </row>
    <row r="22" spans="2:15" x14ac:dyDescent="0.35">
      <c r="B22" s="548" t="s">
        <v>911</v>
      </c>
      <c r="C22" s="476">
        <v>0.21509891474702073</v>
      </c>
      <c r="D22" s="193">
        <v>0.24573461436073668</v>
      </c>
      <c r="E22" s="477">
        <v>0.26227715470105034</v>
      </c>
      <c r="F22" s="476">
        <v>0.29122708440302386</v>
      </c>
      <c r="G22" s="477">
        <v>0.31977505884141455</v>
      </c>
      <c r="H22" s="481">
        <v>0.26682256541064919</v>
      </c>
      <c r="I22" s="496">
        <v>0.27716729554337494</v>
      </c>
      <c r="J22" s="496">
        <v>0.28345383177990258</v>
      </c>
      <c r="K22" s="496">
        <v>0.287689167195673</v>
      </c>
      <c r="L22" s="496">
        <v>0.2869815837542028</v>
      </c>
      <c r="M22" s="496">
        <v>0.28042288873676052</v>
      </c>
      <c r="N22" s="496">
        <v>0.28314295340198281</v>
      </c>
      <c r="O22" s="554">
        <v>0.28433808497370433</v>
      </c>
    </row>
    <row r="23" spans="2:15" x14ac:dyDescent="0.35">
      <c r="B23" s="551" t="s">
        <v>916</v>
      </c>
      <c r="C23" s="484">
        <v>-2419.8200000000002</v>
      </c>
      <c r="D23" s="485">
        <v>-1594.85</v>
      </c>
      <c r="E23" s="486">
        <v>-1773.69</v>
      </c>
      <c r="F23" s="484">
        <v>-2253.86</v>
      </c>
      <c r="G23" s="486">
        <v>-2862.46</v>
      </c>
      <c r="H23" s="497">
        <v>-2244.2082467951027</v>
      </c>
      <c r="I23" s="498">
        <v>-2127.5581339735381</v>
      </c>
      <c r="J23" s="498">
        <v>-2263.5222480136945</v>
      </c>
      <c r="K23" s="498">
        <v>-2410.4240789873634</v>
      </c>
      <c r="L23" s="498">
        <v>-2477.0892555980558</v>
      </c>
      <c r="M23" s="498">
        <v>-2402.0494210650759</v>
      </c>
      <c r="N23" s="498">
        <v>-2469.9112772765811</v>
      </c>
      <c r="O23" s="555">
        <v>-2577.4628862097693</v>
      </c>
    </row>
    <row r="24" spans="2:15" x14ac:dyDescent="0.35">
      <c r="B24" s="548" t="s">
        <v>909</v>
      </c>
      <c r="C24" s="476" t="s">
        <v>910</v>
      </c>
      <c r="D24" s="193">
        <v>0.3409220520534586</v>
      </c>
      <c r="E24" s="477">
        <v>-0.11213593754898589</v>
      </c>
      <c r="F24" s="476">
        <v>-0.27071810744831398</v>
      </c>
      <c r="G24" s="477">
        <v>-0.27002564489364905</v>
      </c>
      <c r="H24" s="476">
        <v>-7.7989409459372577E-2</v>
      </c>
      <c r="I24" s="193">
        <v>-0.18271727483758038</v>
      </c>
      <c r="J24" s="193">
        <v>-0.200362609159729</v>
      </c>
      <c r="K24" s="193">
        <v>-0.18277373458758275</v>
      </c>
      <c r="L24" s="193">
        <v>-0.16096075701106619</v>
      </c>
      <c r="M24" s="193">
        <v>-0.18170359389898957</v>
      </c>
      <c r="N24" s="193">
        <v>-0.18145017366434188</v>
      </c>
      <c r="O24" s="549">
        <v>-0.1767220647904951</v>
      </c>
    </row>
    <row r="25" spans="2:15" x14ac:dyDescent="0.35">
      <c r="B25" s="556" t="s">
        <v>911</v>
      </c>
      <c r="C25" s="511">
        <v>-7.1556317828311206E-2</v>
      </c>
      <c r="D25" s="512">
        <v>-3.8596597371796423E-2</v>
      </c>
      <c r="E25" s="513">
        <v>-4.5107957579919131E-2</v>
      </c>
      <c r="F25" s="511">
        <v>-6.0652395514780841E-2</v>
      </c>
      <c r="G25" s="513">
        <v>-7.7707587352692856E-2</v>
      </c>
      <c r="H25" s="493">
        <v>-5.872417112950009E-2</v>
      </c>
      <c r="I25" s="494">
        <v>-5.6157741789737856E-2</v>
      </c>
      <c r="J25" s="494">
        <v>-5.9669970673326155E-2</v>
      </c>
      <c r="K25" s="494">
        <v>-6.2582373292007554E-2</v>
      </c>
      <c r="L25" s="494">
        <v>-6.2968368847452896E-2</v>
      </c>
      <c r="M25" s="494">
        <v>-6.0020525146404914E-2</v>
      </c>
      <c r="N25" s="494">
        <v>-6.0279795949785872E-2</v>
      </c>
      <c r="O25" s="557">
        <v>-6.1104206781795477E-2</v>
      </c>
    </row>
    <row r="26" spans="2:15" x14ac:dyDescent="0.35">
      <c r="B26" s="558" t="s">
        <v>917</v>
      </c>
      <c r="C26" s="514">
        <v>-7370</v>
      </c>
      <c r="D26" s="515">
        <v>-1548</v>
      </c>
      <c r="E26" s="516">
        <v>-10032</v>
      </c>
      <c r="F26" s="514">
        <v>951.28</v>
      </c>
      <c r="G26" s="516">
        <v>2623.19</v>
      </c>
      <c r="H26" s="514">
        <v>1679.957055030809</v>
      </c>
      <c r="I26" s="515">
        <v>593.09491472650609</v>
      </c>
      <c r="J26" s="515">
        <v>926.0923122555389</v>
      </c>
      <c r="K26" s="515">
        <v>1322.5666309383832</v>
      </c>
      <c r="L26" s="515">
        <v>1449.2154303779769</v>
      </c>
      <c r="M26" s="515">
        <v>1752.9615961124941</v>
      </c>
      <c r="N26" s="515">
        <v>2495.7465973046847</v>
      </c>
      <c r="O26" s="559">
        <v>3467.34086735553</v>
      </c>
    </row>
    <row r="27" spans="2:15" x14ac:dyDescent="0.35">
      <c r="B27" s="544" t="s">
        <v>918</v>
      </c>
      <c r="C27" s="505"/>
      <c r="D27" s="506">
        <v>0.78995929443690638</v>
      </c>
      <c r="E27" s="507">
        <v>-5.4806201550387597</v>
      </c>
      <c r="F27" s="505">
        <v>1.0948245614035088</v>
      </c>
      <c r="G27" s="507">
        <v>1.7575372130182492</v>
      </c>
      <c r="H27" s="502">
        <v>-0.35957477154502382</v>
      </c>
      <c r="I27" s="503">
        <v>-0.64695828804050637</v>
      </c>
      <c r="J27" s="503">
        <v>0.56145717870905698</v>
      </c>
      <c r="K27" s="503">
        <v>0.42811533303544391</v>
      </c>
      <c r="L27" s="503">
        <v>9.5759863039742682E-2</v>
      </c>
      <c r="M27" s="503">
        <v>0.20959352168593431</v>
      </c>
      <c r="N27" s="503">
        <v>0.42373147411754453</v>
      </c>
      <c r="O27" s="560">
        <v>0.38930004796966633</v>
      </c>
    </row>
    <row r="28" spans="2:15" x14ac:dyDescent="0.35">
      <c r="B28" s="546" t="s">
        <v>907</v>
      </c>
      <c r="C28" s="508">
        <v>541</v>
      </c>
      <c r="D28" s="509">
        <v>211</v>
      </c>
      <c r="E28" s="510">
        <v>529</v>
      </c>
      <c r="F28" s="508">
        <v>1690.07</v>
      </c>
      <c r="G28" s="510">
        <v>1847.18</v>
      </c>
      <c r="H28" s="508">
        <v>3040.886574127363</v>
      </c>
      <c r="I28" s="509">
        <v>5961.0049724329747</v>
      </c>
      <c r="J28" s="509">
        <v>10870.36503423855</v>
      </c>
      <c r="K28" s="509">
        <v>16096.447869114876</v>
      </c>
      <c r="L28" s="509">
        <v>26637.629089065278</v>
      </c>
      <c r="M28" s="509">
        <v>41370.189109972933</v>
      </c>
      <c r="N28" s="509">
        <v>60520.638981219345</v>
      </c>
      <c r="O28" s="547">
        <v>88175.626898356946</v>
      </c>
    </row>
    <row r="29" spans="2:15" x14ac:dyDescent="0.35">
      <c r="B29" s="548" t="s">
        <v>909</v>
      </c>
      <c r="C29" s="481" t="s">
        <v>910</v>
      </c>
      <c r="D29" s="193">
        <v>-0.60998151571164505</v>
      </c>
      <c r="E29" s="477">
        <v>1.5071090047393365</v>
      </c>
      <c r="F29" s="476">
        <v>2.1948393194706992</v>
      </c>
      <c r="G29" s="477">
        <v>9.296064660043675E-2</v>
      </c>
      <c r="H29" s="476">
        <v>0.64623186377470687</v>
      </c>
      <c r="I29" s="193">
        <v>0.96028520864629485</v>
      </c>
      <c r="J29" s="193">
        <v>0.82357925962303435</v>
      </c>
      <c r="K29" s="193">
        <v>0.48076424466111822</v>
      </c>
      <c r="L29" s="193">
        <v>0.65487623764348246</v>
      </c>
      <c r="M29" s="193">
        <v>0.5530732473092117</v>
      </c>
      <c r="N29" s="193">
        <v>0.46290457653793748</v>
      </c>
      <c r="O29" s="549">
        <v>0.45695135383021057</v>
      </c>
    </row>
    <row r="30" spans="2:15" x14ac:dyDescent="0.35">
      <c r="B30" s="548" t="s">
        <v>911</v>
      </c>
      <c r="C30" s="476">
        <v>7.3405698778833101E-2</v>
      </c>
      <c r="D30" s="193">
        <v>-0.13630490956072353</v>
      </c>
      <c r="E30" s="477">
        <v>-5.2731259968102073E-2</v>
      </c>
      <c r="F30" s="487">
        <v>1.7766272811369943</v>
      </c>
      <c r="G30" s="489">
        <v>0.70417316320967982</v>
      </c>
      <c r="H30" s="476">
        <v>0.47303399471933638</v>
      </c>
      <c r="I30" s="193">
        <v>0.55295965390743695</v>
      </c>
      <c r="J30" s="193">
        <v>0.69081256660106916</v>
      </c>
      <c r="K30" s="193">
        <v>0.8395213319149033</v>
      </c>
      <c r="L30" s="193">
        <v>0.65210014207048506</v>
      </c>
      <c r="M30" s="193">
        <v>0.64168553784264615</v>
      </c>
      <c r="N30" s="193">
        <v>0.67541584646730812</v>
      </c>
      <c r="O30" s="549">
        <v>0.69990708497928245</v>
      </c>
    </row>
    <row r="31" spans="2:15" x14ac:dyDescent="0.35">
      <c r="B31" s="551" t="s">
        <v>913</v>
      </c>
      <c r="C31" s="478">
        <v>3812</v>
      </c>
      <c r="D31" s="479">
        <v>3322</v>
      </c>
      <c r="E31" s="480">
        <v>-5759</v>
      </c>
      <c r="F31" s="478">
        <v>2447.0700000000002</v>
      </c>
      <c r="G31" s="480">
        <v>2116.0700000000002</v>
      </c>
      <c r="H31" s="478">
        <v>1072.589772497174</v>
      </c>
      <c r="I31" s="479">
        <v>445.91109659529764</v>
      </c>
      <c r="J31" s="479">
        <v>424.9822413255697</v>
      </c>
      <c r="K31" s="479">
        <v>248.65843614634196</v>
      </c>
      <c r="L31" s="479">
        <v>152.97339024153632</v>
      </c>
      <c r="M31" s="479">
        <v>98.250833501722866</v>
      </c>
      <c r="N31" s="479">
        <v>68.668415128154905</v>
      </c>
      <c r="O31" s="552">
        <v>43.629871998515213</v>
      </c>
    </row>
    <row r="32" spans="2:15" x14ac:dyDescent="0.35">
      <c r="B32" s="548" t="s">
        <v>909</v>
      </c>
      <c r="C32" s="481" t="s">
        <v>910</v>
      </c>
      <c r="D32" s="193">
        <v>-0.1285414480587618</v>
      </c>
      <c r="E32" s="477">
        <v>-2.7335942203491874</v>
      </c>
      <c r="F32" s="476">
        <v>1.4249123111651327</v>
      </c>
      <c r="G32" s="477">
        <v>-0.13526380528550469</v>
      </c>
      <c r="H32" s="476">
        <v>-0.49312179063208028</v>
      </c>
      <c r="I32" s="193">
        <v>-0.58426687627540985</v>
      </c>
      <c r="J32" s="193">
        <v>-4.6935040256965516E-2</v>
      </c>
      <c r="K32" s="193">
        <v>-0.4148968781124901</v>
      </c>
      <c r="L32" s="193">
        <v>-0.38480514631923646</v>
      </c>
      <c r="M32" s="193">
        <v>-0.3577259852410255</v>
      </c>
      <c r="N32" s="193">
        <v>-0.30109076248242939</v>
      </c>
      <c r="O32" s="549">
        <v>-0.36462969303879533</v>
      </c>
    </row>
    <row r="33" spans="2:15" x14ac:dyDescent="0.35">
      <c r="B33" s="548" t="s">
        <v>911</v>
      </c>
      <c r="C33" s="476">
        <v>0.51723202170963367</v>
      </c>
      <c r="D33" s="193">
        <v>-2.1459948320413438</v>
      </c>
      <c r="E33" s="477">
        <v>0.57406299840510366</v>
      </c>
      <c r="F33" s="487">
        <v>2.5723971911529731</v>
      </c>
      <c r="G33" s="489">
        <v>0.80667812853815402</v>
      </c>
      <c r="H33" s="487">
        <v>0.46487510155290412</v>
      </c>
      <c r="I33" s="488">
        <v>0.45440371752155817</v>
      </c>
      <c r="J33" s="488">
        <v>0.97448342743413863</v>
      </c>
      <c r="K33" s="488">
        <v>1.0545675132399457</v>
      </c>
      <c r="L33" s="488">
        <v>0.7510015776573401</v>
      </c>
      <c r="M33" s="488">
        <v>0.73986626748117734</v>
      </c>
      <c r="N33" s="488">
        <v>0.79486450066683201</v>
      </c>
      <c r="O33" s="550">
        <v>0.86295665729588689</v>
      </c>
    </row>
    <row r="34" spans="2:15" x14ac:dyDescent="0.35">
      <c r="B34" s="525" t="s">
        <v>915</v>
      </c>
      <c r="C34" s="482">
        <v>-5736</v>
      </c>
      <c r="D34" s="215">
        <v>-2565</v>
      </c>
      <c r="E34" s="483">
        <v>-1485</v>
      </c>
      <c r="F34" s="478">
        <v>-348.59</v>
      </c>
      <c r="G34" s="480">
        <v>75.88</v>
      </c>
      <c r="H34" s="478">
        <v>131.97074423515232</v>
      </c>
      <c r="I34" s="479">
        <v>235.67309406004438</v>
      </c>
      <c r="J34" s="479">
        <v>442.35471398329349</v>
      </c>
      <c r="K34" s="479">
        <v>842.64841650123719</v>
      </c>
      <c r="L34" s="479">
        <v>1455.0223632575692</v>
      </c>
      <c r="M34" s="479">
        <v>2507.885045516804</v>
      </c>
      <c r="N34" s="479">
        <v>4283.6126056956737</v>
      </c>
      <c r="O34" s="552">
        <v>7135.7539104914867</v>
      </c>
    </row>
    <row r="35" spans="2:15" x14ac:dyDescent="0.35">
      <c r="B35" s="548" t="s">
        <v>909</v>
      </c>
      <c r="C35" s="481" t="s">
        <v>910</v>
      </c>
      <c r="D35" s="177">
        <v>0.55282426778242677</v>
      </c>
      <c r="E35" s="490">
        <v>0.42105263157894735</v>
      </c>
      <c r="F35" s="476">
        <v>0.76525925925925931</v>
      </c>
      <c r="G35" s="490">
        <v>1.2176769270489687</v>
      </c>
      <c r="H35" s="476">
        <v>0.7392032714174005</v>
      </c>
      <c r="I35" s="193">
        <v>0.78579802232614393</v>
      </c>
      <c r="J35" s="193">
        <v>0.87698437001294305</v>
      </c>
      <c r="K35" s="193">
        <v>0.90491564770136401</v>
      </c>
      <c r="L35" s="193">
        <v>0.72672532786446287</v>
      </c>
      <c r="M35" s="193">
        <v>0.72360584197622846</v>
      </c>
      <c r="N35" s="193">
        <v>0.70805779688874959</v>
      </c>
      <c r="O35" s="549">
        <v>0.66582615360770114</v>
      </c>
    </row>
    <row r="36" spans="2:15" x14ac:dyDescent="0.35">
      <c r="B36" s="548" t="s">
        <v>911</v>
      </c>
      <c r="C36" s="476">
        <v>-0.77829036635006787</v>
      </c>
      <c r="D36" s="193">
        <v>1.6569767441860466</v>
      </c>
      <c r="E36" s="477">
        <v>0.14802631578947367</v>
      </c>
      <c r="F36" s="487">
        <v>-0.36644310823311749</v>
      </c>
      <c r="G36" s="489">
        <v>2.8926612254545035E-2</v>
      </c>
      <c r="H36" s="476">
        <v>0.13783923952937602</v>
      </c>
      <c r="I36" s="193">
        <v>0.32106516070526475</v>
      </c>
      <c r="J36" s="193">
        <v>5.3882844009108401E-2</v>
      </c>
      <c r="K36" s="193">
        <v>3.5054149653035341E-2</v>
      </c>
      <c r="L36" s="193">
        <v>0.1153536012302659</v>
      </c>
      <c r="M36" s="193">
        <v>0.13263899902541007</v>
      </c>
      <c r="N36" s="193">
        <v>0.1315989509246169</v>
      </c>
      <c r="O36" s="549">
        <v>9.3705708968487331E-2</v>
      </c>
    </row>
    <row r="37" spans="2:15" x14ac:dyDescent="0.35">
      <c r="B37" s="525" t="s">
        <v>916</v>
      </c>
      <c r="C37" s="491">
        <v>-2931.67</v>
      </c>
      <c r="D37" s="2">
        <v>-2160</v>
      </c>
      <c r="E37" s="492">
        <v>-2838.42</v>
      </c>
      <c r="F37" s="491">
        <v>-2612.29</v>
      </c>
      <c r="G37" s="492">
        <v>-2292.11</v>
      </c>
      <c r="H37" s="491">
        <v>-2566.8980000000001</v>
      </c>
      <c r="I37" s="2">
        <v>-2493.9436000000001</v>
      </c>
      <c r="J37" s="2">
        <v>-2560.7323200000001</v>
      </c>
      <c r="K37" s="2">
        <v>-2505.1947840000003</v>
      </c>
      <c r="L37" s="2">
        <v>-2483.7757407999998</v>
      </c>
      <c r="M37" s="2">
        <v>-2522.1088889600001</v>
      </c>
      <c r="N37" s="2">
        <v>-2513.1510667520001</v>
      </c>
      <c r="O37" s="526">
        <v>-2516.9925601023997</v>
      </c>
    </row>
    <row r="38" spans="2:15" x14ac:dyDescent="0.35">
      <c r="B38" s="548" t="s">
        <v>909</v>
      </c>
      <c r="C38" s="476" t="s">
        <v>910</v>
      </c>
      <c r="D38" s="193">
        <v>0.26321857507836832</v>
      </c>
      <c r="E38" s="477">
        <v>-0.31408333333333338</v>
      </c>
      <c r="F38" s="476">
        <v>7.9667561530710779E-2</v>
      </c>
      <c r="G38" s="477">
        <v>0.12256679005776534</v>
      </c>
      <c r="H38" s="476">
        <v>-0.11988429874656975</v>
      </c>
      <c r="I38" s="193">
        <v>2.8421230605968791E-2</v>
      </c>
      <c r="J38" s="193">
        <v>-2.6780365041134055E-2</v>
      </c>
      <c r="K38" s="193">
        <v>2.1688145834782065E-2</v>
      </c>
      <c r="L38" s="193">
        <v>8.5498514274411352E-3</v>
      </c>
      <c r="M38" s="193">
        <v>-1.5433417570804344E-2</v>
      </c>
      <c r="N38" s="193">
        <v>3.5517190582892368E-3</v>
      </c>
      <c r="O38" s="549">
        <v>-1.5285564808343618E-3</v>
      </c>
    </row>
    <row r="39" spans="2:15" x14ac:dyDescent="0.35">
      <c r="B39" s="561" t="s">
        <v>911</v>
      </c>
      <c r="C39" s="493">
        <v>-0.39778426051560378</v>
      </c>
      <c r="D39" s="494">
        <v>-1.3953488372093024</v>
      </c>
      <c r="E39" s="495">
        <v>-0.2829366028708134</v>
      </c>
      <c r="F39" s="493">
        <v>2.7460789672861829</v>
      </c>
      <c r="G39" s="495">
        <v>0.87378725902431775</v>
      </c>
      <c r="H39" s="493"/>
      <c r="I39" s="494"/>
      <c r="J39" s="494"/>
      <c r="K39" s="494"/>
      <c r="L39" s="494"/>
      <c r="M39" s="494"/>
      <c r="N39" s="494"/>
      <c r="O39" s="557"/>
    </row>
    <row r="40" spans="2:15" x14ac:dyDescent="0.35">
      <c r="B40" s="558" t="s">
        <v>118</v>
      </c>
      <c r="C40" s="514">
        <v>7718</v>
      </c>
      <c r="D40" s="515">
        <v>10200</v>
      </c>
      <c r="E40" s="516">
        <v>9032</v>
      </c>
      <c r="F40" s="514">
        <v>8667.77</v>
      </c>
      <c r="G40" s="516">
        <v>8718.66</v>
      </c>
      <c r="H40" s="514">
        <v>9530.8482072137449</v>
      </c>
      <c r="I40" s="515">
        <v>9874.4112669040805</v>
      </c>
      <c r="J40" s="515">
        <v>10602.025044154258</v>
      </c>
      <c r="K40" s="515">
        <v>11685.4476296106</v>
      </c>
      <c r="L40" s="515">
        <v>13160.967935381439</v>
      </c>
      <c r="M40" s="515">
        <v>14931.757536240519</v>
      </c>
      <c r="N40" s="515">
        <v>17308.503021578679</v>
      </c>
      <c r="O40" s="559">
        <v>20433.477515911392</v>
      </c>
    </row>
    <row r="41" spans="2:15" x14ac:dyDescent="0.35">
      <c r="B41" s="544" t="s">
        <v>922</v>
      </c>
      <c r="C41" s="502"/>
      <c r="D41" s="503">
        <v>0.32158590308370044</v>
      </c>
      <c r="E41" s="504">
        <v>-0.11450980392156863</v>
      </c>
      <c r="F41" s="502">
        <v>-4.0326616474756376E-2</v>
      </c>
      <c r="G41" s="504">
        <v>5.8711756311022809E-3</v>
      </c>
      <c r="H41" s="502">
        <v>9.3155164579619434E-2</v>
      </c>
      <c r="I41" s="503">
        <v>3.6047479953599179E-2</v>
      </c>
      <c r="J41" s="503">
        <v>7.3686800922391132E-2</v>
      </c>
      <c r="K41" s="503">
        <v>0.10219015527167802</v>
      </c>
      <c r="L41" s="503">
        <v>0.12626990018182194</v>
      </c>
      <c r="M41" s="503">
        <v>0.13454858408237258</v>
      </c>
      <c r="N41" s="503">
        <v>0.15917386011456591</v>
      </c>
      <c r="O41" s="560">
        <v>0.18054562491260961</v>
      </c>
    </row>
    <row r="42" spans="2:15" x14ac:dyDescent="0.35">
      <c r="B42" s="562" t="s">
        <v>907</v>
      </c>
      <c r="C42" s="517">
        <v>1772</v>
      </c>
      <c r="D42" s="518">
        <v>2183</v>
      </c>
      <c r="E42" s="519">
        <v>1652</v>
      </c>
      <c r="F42" s="517">
        <v>2186.8767306666668</v>
      </c>
      <c r="G42" s="519">
        <v>2325.4160836666665</v>
      </c>
      <c r="H42" s="517">
        <v>2543.9026751076476</v>
      </c>
      <c r="I42" s="518">
        <v>2695.1620191326765</v>
      </c>
      <c r="J42" s="518">
        <v>3059.3734551300217</v>
      </c>
      <c r="K42" s="518">
        <v>3328.5226521698323</v>
      </c>
      <c r="L42" s="518">
        <v>3641.841490641727</v>
      </c>
      <c r="M42" s="518">
        <v>3984.8133693890522</v>
      </c>
      <c r="N42" s="518">
        <v>4394.6687936845146</v>
      </c>
      <c r="O42" s="563">
        <v>4811.2136612163795</v>
      </c>
    </row>
    <row r="43" spans="2:15" x14ac:dyDescent="0.35">
      <c r="B43" s="548" t="s">
        <v>909</v>
      </c>
      <c r="C43" s="476" t="s">
        <v>910</v>
      </c>
      <c r="D43" s="193">
        <v>0.231941309255079</v>
      </c>
      <c r="E43" s="477">
        <v>-0.24324324324324326</v>
      </c>
      <c r="F43" s="476">
        <v>0.32377526069410828</v>
      </c>
      <c r="G43" s="477">
        <v>6.335032562981549E-2</v>
      </c>
      <c r="H43" s="476">
        <v>9.3955913083939885E-2</v>
      </c>
      <c r="I43" s="193">
        <v>5.94595640411551E-2</v>
      </c>
      <c r="J43" s="193">
        <v>0.13513526586225472</v>
      </c>
      <c r="K43" s="193">
        <v>8.7975267154291298E-2</v>
      </c>
      <c r="L43" s="193">
        <v>9.413150253541025E-2</v>
      </c>
      <c r="M43" s="193">
        <v>9.4175399898277834E-2</v>
      </c>
      <c r="N43" s="193">
        <v>0.10285435886255853</v>
      </c>
      <c r="O43" s="549">
        <v>9.4784132112634478E-2</v>
      </c>
    </row>
    <row r="44" spans="2:15" x14ac:dyDescent="0.35">
      <c r="B44" s="548" t="s">
        <v>911</v>
      </c>
      <c r="C44" s="476">
        <v>0.22959315884944287</v>
      </c>
      <c r="D44" s="193">
        <v>0.21401960784313726</v>
      </c>
      <c r="E44" s="477">
        <v>0.18290522586359612</v>
      </c>
      <c r="F44" s="476">
        <v>0.20883933085205875</v>
      </c>
      <c r="G44" s="477">
        <v>0.26671714273370756</v>
      </c>
      <c r="H44" s="476">
        <v>0.22041489322838853</v>
      </c>
      <c r="I44" s="193">
        <v>0.21857924010417765</v>
      </c>
      <c r="J44" s="193">
        <v>0.21949116655638573</v>
      </c>
      <c r="K44" s="193">
        <v>0.22680835469494362</v>
      </c>
      <c r="L44" s="193">
        <v>0.23040215946352061</v>
      </c>
      <c r="M44" s="193">
        <v>0.22313916280948326</v>
      </c>
      <c r="N44" s="193">
        <v>0.22368401672570221</v>
      </c>
      <c r="O44" s="549">
        <v>0.22470497205000708</v>
      </c>
    </row>
    <row r="45" spans="2:15" x14ac:dyDescent="0.35">
      <c r="B45" s="525" t="s">
        <v>913</v>
      </c>
      <c r="C45" s="491">
        <v>8725</v>
      </c>
      <c r="D45" s="2">
        <v>9063</v>
      </c>
      <c r="E45" s="492">
        <v>8149</v>
      </c>
      <c r="F45" s="491">
        <v>7895.931365547819</v>
      </c>
      <c r="G45" s="492">
        <v>7375.1758012147902</v>
      </c>
      <c r="H45" s="491">
        <v>7017.4518630933753</v>
      </c>
      <c r="I45" s="2">
        <v>6615.8565067398085</v>
      </c>
      <c r="J45" s="2">
        <v>6266.1030565361725</v>
      </c>
      <c r="K45" s="2">
        <v>5921.1728031108069</v>
      </c>
      <c r="L45" s="2">
        <v>5601.6871935799318</v>
      </c>
      <c r="M45" s="2">
        <v>5296.3854748426875</v>
      </c>
      <c r="N45" s="2">
        <v>5009.1672094767218</v>
      </c>
      <c r="O45" s="526">
        <v>4736.841698842506</v>
      </c>
    </row>
    <row r="46" spans="2:15" x14ac:dyDescent="0.35">
      <c r="B46" s="548" t="s">
        <v>909</v>
      </c>
      <c r="C46" s="476" t="s">
        <v>910</v>
      </c>
      <c r="D46" s="193">
        <v>3.8739255014326644E-2</v>
      </c>
      <c r="E46" s="477">
        <v>-0.10084960829747325</v>
      </c>
      <c r="F46" s="476">
        <v>-3.1055176641573302E-2</v>
      </c>
      <c r="G46" s="477">
        <v>-6.595239246952328E-2</v>
      </c>
      <c r="H46" s="476">
        <v>-4.8503784555548289E-2</v>
      </c>
      <c r="I46" s="193">
        <v>-5.7228088512535788E-2</v>
      </c>
      <c r="J46" s="193">
        <v>-5.2865936534042035E-2</v>
      </c>
      <c r="K46" s="193">
        <v>-5.5047012523288912E-2</v>
      </c>
      <c r="L46" s="193">
        <v>-5.3956474528665477E-2</v>
      </c>
      <c r="M46" s="193">
        <v>-5.4501743525977198E-2</v>
      </c>
      <c r="N46" s="193">
        <v>-5.4229109027321337E-2</v>
      </c>
      <c r="O46" s="549">
        <v>-5.4365426276649267E-2</v>
      </c>
    </row>
    <row r="47" spans="2:15" x14ac:dyDescent="0.35">
      <c r="B47" s="548" t="s">
        <v>911</v>
      </c>
      <c r="C47" s="476">
        <v>1.1304742161181653</v>
      </c>
      <c r="D47" s="193">
        <v>0.8885294117647059</v>
      </c>
      <c r="E47" s="477">
        <v>0.90223649247121351</v>
      </c>
      <c r="F47" s="476">
        <v>0.97374670678469488</v>
      </c>
      <c r="G47" s="477">
        <v>0.92150420367353814</v>
      </c>
      <c r="H47" s="476">
        <v>0.73628828311230254</v>
      </c>
      <c r="I47" s="193">
        <v>0.6700000970097405</v>
      </c>
      <c r="J47" s="193">
        <v>0.59102888650420371</v>
      </c>
      <c r="K47" s="193">
        <v>0.5067133918008172</v>
      </c>
      <c r="L47" s="193">
        <v>0.42562881553115645</v>
      </c>
      <c r="M47" s="193">
        <v>0.35470609953235271</v>
      </c>
      <c r="N47" s="193">
        <v>0.28940499379014722</v>
      </c>
      <c r="O47" s="549">
        <v>0.23181769697076593</v>
      </c>
    </row>
    <row r="48" spans="2:15" x14ac:dyDescent="0.35">
      <c r="B48" s="525" t="s">
        <v>915</v>
      </c>
      <c r="C48" s="491">
        <v>-1596</v>
      </c>
      <c r="D48" s="2">
        <v>103</v>
      </c>
      <c r="E48" s="492">
        <v>677</v>
      </c>
      <c r="F48" s="491">
        <v>1354</v>
      </c>
      <c r="G48" s="492">
        <v>-478.01182646542543</v>
      </c>
      <c r="H48" s="491">
        <v>1590.6420521254381</v>
      </c>
      <c r="I48" s="2">
        <v>2253.5786332210696</v>
      </c>
      <c r="J48" s="2">
        <v>3137.3903963679377</v>
      </c>
      <c r="K48" s="2">
        <v>4218.4878392131068</v>
      </c>
      <c r="L48" s="2">
        <v>5607.917656136804</v>
      </c>
      <c r="M48" s="2">
        <v>7361.4383017592918</v>
      </c>
      <c r="N48" s="2">
        <v>9463.0483448247542</v>
      </c>
      <c r="O48" s="526">
        <v>12118.40432399601</v>
      </c>
    </row>
    <row r="49" spans="2:15" x14ac:dyDescent="0.35">
      <c r="B49" s="548" t="s">
        <v>909</v>
      </c>
      <c r="C49" s="476" t="s">
        <v>910</v>
      </c>
      <c r="D49" s="193">
        <v>1.0645363408521302</v>
      </c>
      <c r="E49" s="477">
        <v>5.5728155339805827</v>
      </c>
      <c r="F49" s="476">
        <v>1</v>
      </c>
      <c r="G49" s="477">
        <v>-1.3530367994574781</v>
      </c>
      <c r="H49" s="476">
        <v>4.3276207073937094</v>
      </c>
      <c r="I49" s="193">
        <v>0.41677295040062995</v>
      </c>
      <c r="J49" s="193">
        <v>0.39218146201698068</v>
      </c>
      <c r="K49" s="193">
        <v>0.34458492768280385</v>
      </c>
      <c r="L49" s="193">
        <v>0.32936679442529193</v>
      </c>
      <c r="M49" s="193">
        <v>0.31268658941587552</v>
      </c>
      <c r="N49" s="193">
        <v>0.28548905212765335</v>
      </c>
      <c r="O49" s="549">
        <v>0.2806026010237434</v>
      </c>
    </row>
    <row r="50" spans="2:15" x14ac:dyDescent="0.35">
      <c r="B50" s="548" t="s">
        <v>911</v>
      </c>
      <c r="C50" s="476">
        <v>-0.20678932365897901</v>
      </c>
      <c r="D50" s="193">
        <v>1.0098039215686274E-2</v>
      </c>
      <c r="E50" s="477">
        <v>7.4955713020372017E-2</v>
      </c>
      <c r="F50" s="476">
        <v>-4.3669575573102026E-2</v>
      </c>
      <c r="G50" s="477">
        <v>-5.4826295149188686E-2</v>
      </c>
      <c r="H50" s="476">
        <v>0.16689407044815874</v>
      </c>
      <c r="I50" s="193">
        <v>0.22822410089139755</v>
      </c>
      <c r="J50" s="193">
        <v>0.29592369224762693</v>
      </c>
      <c r="K50" s="193">
        <v>0.36100352959723814</v>
      </c>
      <c r="L50" s="193">
        <v>0.42610222011564169</v>
      </c>
      <c r="M50" s="193">
        <v>0.49300548069391814</v>
      </c>
      <c r="N50" s="193">
        <v>0.54672829493267439</v>
      </c>
      <c r="O50" s="549">
        <v>0.59306617361432978</v>
      </c>
    </row>
    <row r="51" spans="2:15" x14ac:dyDescent="0.35">
      <c r="B51" s="525" t="s">
        <v>916</v>
      </c>
      <c r="C51" s="491">
        <v>-1200</v>
      </c>
      <c r="D51" s="2">
        <v>-1242</v>
      </c>
      <c r="E51" s="492">
        <v>-1260</v>
      </c>
      <c r="F51" s="491">
        <v>-1228.8195652173913</v>
      </c>
      <c r="G51" s="492">
        <v>-1204.7106596172023</v>
      </c>
      <c r="H51" s="491">
        <v>-1177.9865979740634</v>
      </c>
      <c r="I51" s="2">
        <v>-1153.3651842528211</v>
      </c>
      <c r="J51" s="2">
        <v>-1128.5192535512879</v>
      </c>
      <c r="K51" s="2">
        <v>-1104.5701634592228</v>
      </c>
      <c r="L51" s="2">
        <v>-1080.9523472773324</v>
      </c>
      <c r="M51" s="2">
        <v>-1057.9261162723631</v>
      </c>
      <c r="N51" s="2">
        <v>-1035.34801209847</v>
      </c>
      <c r="O51" s="526">
        <v>-1013.2725010244419</v>
      </c>
    </row>
    <row r="52" spans="2:15" x14ac:dyDescent="0.35">
      <c r="B52" s="548" t="s">
        <v>909</v>
      </c>
      <c r="C52" s="476" t="s">
        <v>910</v>
      </c>
      <c r="D52" s="193">
        <v>-3.5000000000000003E-2</v>
      </c>
      <c r="E52" s="477">
        <v>-1.4492753623188406E-2</v>
      </c>
      <c r="F52" s="476">
        <v>-2.4746376811594206E-2</v>
      </c>
      <c r="G52" s="477">
        <v>-1.9619565217391305E-2</v>
      </c>
      <c r="H52" s="476">
        <v>-2.2182971014492757E-2</v>
      </c>
      <c r="I52" s="193">
        <v>-2.0901268115942031E-2</v>
      </c>
      <c r="J52" s="193">
        <v>-2.1542119565217392E-2</v>
      </c>
      <c r="K52" s="193">
        <v>-2.122169384057971E-2</v>
      </c>
      <c r="L52" s="193">
        <v>-2.1381906702898551E-2</v>
      </c>
      <c r="M52" s="193">
        <v>-2.130180027173913E-2</v>
      </c>
      <c r="N52" s="193">
        <v>-2.1341853487318839E-2</v>
      </c>
      <c r="O52" s="549">
        <v>-2.1321826879528986E-2</v>
      </c>
    </row>
    <row r="53" spans="2:15" ht="18" thickBot="1" x14ac:dyDescent="0.4">
      <c r="B53" s="564" t="s">
        <v>911</v>
      </c>
      <c r="C53" s="565">
        <v>-0.15548069448043533</v>
      </c>
      <c r="D53" s="566">
        <v>-0.12176470588235294</v>
      </c>
      <c r="E53" s="567">
        <v>-0.13950398582816653</v>
      </c>
      <c r="F53" s="565">
        <v>-0.1389164620636516</v>
      </c>
      <c r="G53" s="567">
        <v>-0.13339505125805703</v>
      </c>
      <c r="H53" s="565">
        <v>-0.12359724678884976</v>
      </c>
      <c r="I53" s="566">
        <v>-0.11680343800531565</v>
      </c>
      <c r="J53" s="566">
        <v>-0.10644374530821643</v>
      </c>
      <c r="K53" s="566">
        <v>-9.4525276092999017E-2</v>
      </c>
      <c r="L53" s="566">
        <v>-8.2133195110318732E-2</v>
      </c>
      <c r="M53" s="566">
        <v>-7.0850743035754185E-2</v>
      </c>
      <c r="N53" s="566">
        <v>-5.9817305448523858E-2</v>
      </c>
      <c r="O53" s="568">
        <v>-4.9588842635102832E-2</v>
      </c>
    </row>
    <row r="57" spans="2:15" ht="18" thickBot="1" x14ac:dyDescent="0.4">
      <c r="B57" s="133" t="s">
        <v>1101</v>
      </c>
    </row>
    <row r="58" spans="2:15" x14ac:dyDescent="0.35">
      <c r="B58" s="569" t="s">
        <v>1033</v>
      </c>
      <c r="C58" s="570"/>
      <c r="D58" s="570"/>
      <c r="E58" s="523"/>
      <c r="F58" s="523"/>
      <c r="G58" s="523"/>
      <c r="H58" s="523"/>
      <c r="I58" s="523"/>
      <c r="J58" s="523"/>
      <c r="K58" s="524"/>
    </row>
    <row r="59" spans="2:15" x14ac:dyDescent="0.35">
      <c r="B59" s="525" t="s">
        <v>1036</v>
      </c>
      <c r="D59" s="320">
        <v>0.10567328226308054</v>
      </c>
      <c r="K59" s="526"/>
    </row>
    <row r="60" spans="2:15" x14ac:dyDescent="0.35">
      <c r="B60" s="525" t="s">
        <v>1037</v>
      </c>
      <c r="D60" s="320">
        <v>0.02</v>
      </c>
      <c r="K60" s="526"/>
    </row>
    <row r="61" spans="2:15" x14ac:dyDescent="0.35">
      <c r="B61" s="525"/>
      <c r="K61" s="526"/>
    </row>
    <row r="62" spans="2:15" x14ac:dyDescent="0.35">
      <c r="B62" s="571" t="s">
        <v>1102</v>
      </c>
      <c r="C62" s="319"/>
      <c r="D62" s="319"/>
      <c r="E62" s="319"/>
      <c r="F62" s="319"/>
      <c r="G62" s="319"/>
      <c r="H62" s="319"/>
      <c r="I62" s="319"/>
      <c r="J62" s="319"/>
      <c r="K62" s="572"/>
    </row>
    <row r="63" spans="2:15" x14ac:dyDescent="0.35">
      <c r="B63" s="525"/>
      <c r="E63" s="351"/>
      <c r="K63" s="526"/>
    </row>
    <row r="64" spans="2:15" x14ac:dyDescent="0.35">
      <c r="B64" s="573" t="s">
        <v>1088</v>
      </c>
      <c r="C64" s="75">
        <v>2022</v>
      </c>
      <c r="D64" s="75">
        <v>2023</v>
      </c>
      <c r="E64" s="75">
        <v>2024</v>
      </c>
      <c r="F64" s="265">
        <v>2025</v>
      </c>
      <c r="G64" s="76">
        <v>2026</v>
      </c>
      <c r="H64" s="76">
        <v>2027</v>
      </c>
      <c r="I64" s="76">
        <v>2028</v>
      </c>
      <c r="J64" s="76">
        <v>2029</v>
      </c>
      <c r="K64" s="574">
        <v>2030</v>
      </c>
    </row>
    <row r="65" spans="2:11" x14ac:dyDescent="0.35">
      <c r="B65" s="525"/>
      <c r="F65" s="172"/>
      <c r="K65" s="526"/>
    </row>
    <row r="66" spans="2:11" x14ac:dyDescent="0.35">
      <c r="B66" s="525" t="s">
        <v>23</v>
      </c>
      <c r="C66" s="322">
        <v>9731</v>
      </c>
      <c r="D66" s="322">
        <v>12192</v>
      </c>
      <c r="E66" s="322">
        <v>11607</v>
      </c>
      <c r="F66" s="343">
        <v>12772.57</v>
      </c>
      <c r="G66" s="322">
        <v>12914.39</v>
      </c>
      <c r="H66" s="322">
        <v>12017.436312695918</v>
      </c>
      <c r="I66" s="322">
        <v>12115.794380064712</v>
      </c>
      <c r="J66" s="322">
        <v>12319.086026366904</v>
      </c>
      <c r="K66" s="575">
        <v>12735.83076147212</v>
      </c>
    </row>
    <row r="67" spans="2:11" x14ac:dyDescent="0.35">
      <c r="B67" s="576" t="s">
        <v>1043</v>
      </c>
      <c r="C67" s="324" t="s">
        <v>910</v>
      </c>
      <c r="D67" s="324">
        <v>0.25290309320727572</v>
      </c>
      <c r="E67" s="324">
        <v>-4.7982283464566899E-2</v>
      </c>
      <c r="F67" s="384">
        <v>0.10041957439476179</v>
      </c>
      <c r="G67" s="324">
        <v>0.11110348191475952</v>
      </c>
      <c r="H67" s="324">
        <v>0.20411096651305755</v>
      </c>
      <c r="I67" s="324">
        <v>0.191912934839503</v>
      </c>
      <c r="J67" s="324">
        <v>0.15188673941552047</v>
      </c>
      <c r="K67" s="577">
        <v>0.16475353067071014</v>
      </c>
    </row>
    <row r="68" spans="2:11" x14ac:dyDescent="0.35">
      <c r="B68" s="525"/>
      <c r="F68" s="172"/>
      <c r="K68" s="526"/>
    </row>
    <row r="69" spans="2:11" x14ac:dyDescent="0.35">
      <c r="B69" s="525" t="s">
        <v>122</v>
      </c>
      <c r="C69" s="322">
        <v>541</v>
      </c>
      <c r="D69" s="322">
        <v>211</v>
      </c>
      <c r="E69" s="322">
        <v>529</v>
      </c>
      <c r="F69" s="343">
        <v>1690.07</v>
      </c>
      <c r="G69" s="322">
        <v>1847.18</v>
      </c>
      <c r="H69" s="322">
        <v>3040.886574127363</v>
      </c>
      <c r="I69" s="322">
        <v>3065.7750543935658</v>
      </c>
      <c r="J69" s="322">
        <v>3117.2158793571643</v>
      </c>
      <c r="K69" s="575">
        <v>3222.6687760353766</v>
      </c>
    </row>
    <row r="70" spans="2:11" x14ac:dyDescent="0.35">
      <c r="B70" s="576" t="s">
        <v>1056</v>
      </c>
      <c r="C70" s="347">
        <v>5.5595519473846472E-2</v>
      </c>
      <c r="D70" s="377">
        <v>1.7306430446194225E-2</v>
      </c>
      <c r="E70" s="377">
        <v>4.5575945550099077E-2</v>
      </c>
      <c r="F70" s="378">
        <v>0.13232027696853491</v>
      </c>
      <c r="G70" s="377">
        <v>0.14303269453686934</v>
      </c>
      <c r="H70" s="377">
        <v>0.25303954146316499</v>
      </c>
      <c r="I70" s="377">
        <v>0.25303954146316499</v>
      </c>
      <c r="J70" s="377">
        <v>0.25303954146316499</v>
      </c>
      <c r="K70" s="578">
        <v>0.25303954146316499</v>
      </c>
    </row>
    <row r="71" spans="2:11" x14ac:dyDescent="0.35">
      <c r="B71" s="525"/>
      <c r="F71" s="172"/>
      <c r="K71" s="526"/>
    </row>
    <row r="72" spans="2:11" x14ac:dyDescent="0.35">
      <c r="B72" s="525" t="s">
        <v>1057</v>
      </c>
      <c r="C72" s="125">
        <v>113.61</v>
      </c>
      <c r="D72" s="125">
        <v>44.309999999999995</v>
      </c>
      <c r="E72" s="125">
        <v>111.08999999999999</v>
      </c>
      <c r="F72" s="293">
        <v>354.91469999999998</v>
      </c>
      <c r="G72" s="125">
        <v>387.90780000000001</v>
      </c>
      <c r="H72" s="125">
        <v>638.58618056674618</v>
      </c>
      <c r="I72" s="125">
        <v>643.8127614226488</v>
      </c>
      <c r="J72" s="125">
        <v>654.61533466500453</v>
      </c>
      <c r="K72" s="579">
        <v>676.76044296742907</v>
      </c>
    </row>
    <row r="73" spans="2:11" x14ac:dyDescent="0.35">
      <c r="B73" s="576" t="s">
        <v>1058</v>
      </c>
      <c r="C73" s="341">
        <v>0.21</v>
      </c>
      <c r="D73" s="341">
        <v>0.21</v>
      </c>
      <c r="E73" s="341">
        <v>0.21</v>
      </c>
      <c r="F73" s="385">
        <v>0.21</v>
      </c>
      <c r="G73" s="341">
        <v>0.21</v>
      </c>
      <c r="H73" s="341">
        <v>0.21</v>
      </c>
      <c r="I73" s="341">
        <v>0.21</v>
      </c>
      <c r="J73" s="341">
        <v>0.21</v>
      </c>
      <c r="K73" s="580">
        <v>0.21</v>
      </c>
    </row>
    <row r="74" spans="2:11" x14ac:dyDescent="0.35">
      <c r="B74" s="525"/>
      <c r="F74" s="172"/>
      <c r="K74" s="526"/>
    </row>
    <row r="75" spans="2:11" x14ac:dyDescent="0.35">
      <c r="B75" s="581" t="s">
        <v>1089</v>
      </c>
      <c r="C75" s="349">
        <v>427.39</v>
      </c>
      <c r="D75" s="349">
        <v>166.69</v>
      </c>
      <c r="E75" s="349">
        <v>417.91</v>
      </c>
      <c r="F75" s="390">
        <v>1335.1552999999999</v>
      </c>
      <c r="G75" s="391">
        <v>1459.2722000000001</v>
      </c>
      <c r="H75" s="391">
        <v>2402.3003935606166</v>
      </c>
      <c r="I75" s="391">
        <v>2421.9622929709171</v>
      </c>
      <c r="J75" s="391">
        <v>2462.6005446921599</v>
      </c>
      <c r="K75" s="582">
        <v>2545.9083330679478</v>
      </c>
    </row>
    <row r="76" spans="2:11" x14ac:dyDescent="0.35">
      <c r="B76" s="525"/>
      <c r="F76" s="172"/>
      <c r="K76" s="526"/>
    </row>
    <row r="77" spans="2:11" x14ac:dyDescent="0.35">
      <c r="B77" s="525" t="s">
        <v>1059</v>
      </c>
      <c r="C77" s="322">
        <v>667</v>
      </c>
      <c r="D77" s="322">
        <v>702</v>
      </c>
      <c r="E77" s="322">
        <v>496.80673066666674</v>
      </c>
      <c r="F77" s="343">
        <v>719.20173142057911</v>
      </c>
      <c r="G77" s="322">
        <v>674.51591985108257</v>
      </c>
      <c r="H77" s="322">
        <v>606.24133798992466</v>
      </c>
      <c r="I77" s="322">
        <v>642.07614529231216</v>
      </c>
      <c r="J77" s="322">
        <v>639.24383339993562</v>
      </c>
      <c r="K77" s="575">
        <v>659.42864571954499</v>
      </c>
    </row>
    <row r="78" spans="2:11" x14ac:dyDescent="0.35">
      <c r="B78" s="576" t="s">
        <v>1056</v>
      </c>
      <c r="C78" s="347">
        <v>6.8543829000102766E-2</v>
      </c>
      <c r="D78" s="377">
        <v>5.7578740157480317E-2</v>
      </c>
      <c r="E78" s="377">
        <v>4.2802337440050547E-2</v>
      </c>
      <c r="F78" s="378">
        <v>5.6308302199211208E-2</v>
      </c>
      <c r="G78" s="377">
        <v>5.2229793265580693E-2</v>
      </c>
      <c r="H78" s="377">
        <v>5.0446810968280818E-2</v>
      </c>
      <c r="I78" s="377">
        <v>5.2994968811024237E-2</v>
      </c>
      <c r="J78" s="377">
        <v>5.1890524348295254E-2</v>
      </c>
      <c r="K78" s="578">
        <v>5.1777434709200106E-2</v>
      </c>
    </row>
    <row r="79" spans="2:11" x14ac:dyDescent="0.35">
      <c r="B79" s="525"/>
      <c r="F79" s="172"/>
      <c r="K79" s="526"/>
    </row>
    <row r="80" spans="2:11" x14ac:dyDescent="0.35">
      <c r="B80" s="525" t="s">
        <v>1071</v>
      </c>
      <c r="C80" s="322">
        <v>264.20094627678594</v>
      </c>
      <c r="D80" s="322">
        <v>368.08148657949067</v>
      </c>
      <c r="E80" s="322">
        <v>261.39532010927667</v>
      </c>
      <c r="F80" s="343">
        <v>340.01152494447223</v>
      </c>
      <c r="G80" s="322">
        <v>341.50531893112066</v>
      </c>
      <c r="H80" s="322">
        <v>302.77818201485485</v>
      </c>
      <c r="I80" s="322">
        <v>316.05719956416232</v>
      </c>
      <c r="J80" s="322">
        <v>319.16726363481524</v>
      </c>
      <c r="K80" s="575">
        <v>327.69140023995715</v>
      </c>
    </row>
    <row r="81" spans="2:11" x14ac:dyDescent="0.35">
      <c r="B81" s="576" t="s">
        <v>1056</v>
      </c>
      <c r="C81" s="347">
        <v>2.715044150413996E-2</v>
      </c>
      <c r="D81" s="377">
        <v>3.0190410644643263E-2</v>
      </c>
      <c r="E81" s="377">
        <v>2.2520489369283764E-2</v>
      </c>
      <c r="F81" s="378">
        <v>2.6620447172688994E-2</v>
      </c>
      <c r="G81" s="377">
        <v>2.6443782395538674E-2</v>
      </c>
      <c r="H81" s="377">
        <v>2.5194906312503807E-2</v>
      </c>
      <c r="I81" s="377">
        <v>2.6086378626910489E-2</v>
      </c>
      <c r="J81" s="377">
        <v>2.5908355778317654E-2</v>
      </c>
      <c r="K81" s="578">
        <v>2.5729880239243982E-2</v>
      </c>
    </row>
    <row r="82" spans="2:11" x14ac:dyDescent="0.35">
      <c r="B82" s="525"/>
      <c r="F82" s="172"/>
      <c r="K82" s="526"/>
    </row>
    <row r="83" spans="2:11" x14ac:dyDescent="0.35">
      <c r="B83" s="525" t="s">
        <v>1103</v>
      </c>
      <c r="C83" s="125">
        <v>-1138.6452671733152</v>
      </c>
      <c r="D83" s="125">
        <v>-177.47063236610924</v>
      </c>
      <c r="E83" s="125">
        <v>-383.2538338292515</v>
      </c>
      <c r="F83" s="293">
        <v>-700.73584604156622</v>
      </c>
      <c r="G83" s="125">
        <v>-440.97507611919059</v>
      </c>
      <c r="H83" s="125">
        <v>-488.82035557112164</v>
      </c>
      <c r="I83" s="125">
        <v>-523.74360933963283</v>
      </c>
      <c r="J83" s="125">
        <v>-484.7565280886663</v>
      </c>
      <c r="K83" s="579">
        <v>-523.24793745404997</v>
      </c>
    </row>
    <row r="84" spans="2:11" x14ac:dyDescent="0.35">
      <c r="B84" s="525" t="s">
        <v>1084</v>
      </c>
      <c r="C84" s="322"/>
      <c r="D84" s="359">
        <v>961.17463480720596</v>
      </c>
      <c r="E84" s="359">
        <v>-205.78320146314226</v>
      </c>
      <c r="F84" s="379">
        <v>-317.48201221231471</v>
      </c>
      <c r="G84" s="359">
        <v>259.76076992237563</v>
      </c>
      <c r="H84" s="359">
        <v>-47.845279451931049</v>
      </c>
      <c r="I84" s="359">
        <v>-34.923253768511188</v>
      </c>
      <c r="J84" s="359">
        <v>38.987081250966526</v>
      </c>
      <c r="K84" s="583">
        <v>-38.491409365383674</v>
      </c>
    </row>
    <row r="85" spans="2:11" x14ac:dyDescent="0.35">
      <c r="B85" s="576" t="s">
        <v>1056</v>
      </c>
      <c r="C85" s="347"/>
      <c r="D85" s="377">
        <v>7.8836502198753766E-2</v>
      </c>
      <c r="E85" s="377">
        <v>-1.7729232485839776E-2</v>
      </c>
      <c r="F85" s="378">
        <v>-2.485654901185233E-2</v>
      </c>
      <c r="G85" s="377">
        <v>2.0114056484462343E-2</v>
      </c>
      <c r="H85" s="377">
        <v>-3.981321656881553E-3</v>
      </c>
      <c r="I85" s="377">
        <v>-2.8824567892942947E-3</v>
      </c>
      <c r="J85" s="377">
        <v>3.1647705980396047E-3</v>
      </c>
      <c r="K85" s="578">
        <v>-3.0222927806033829E-3</v>
      </c>
    </row>
    <row r="86" spans="2:11" x14ac:dyDescent="0.35">
      <c r="B86" s="525"/>
      <c r="F86" s="172"/>
      <c r="K86" s="526"/>
    </row>
    <row r="87" spans="2:11" x14ac:dyDescent="0.35">
      <c r="B87" s="584" t="s">
        <v>1090</v>
      </c>
      <c r="C87" s="350">
        <v>830.18905372321387</v>
      </c>
      <c r="D87" s="350">
        <v>-460.56612138669658</v>
      </c>
      <c r="E87" s="350">
        <v>859.10461202053239</v>
      </c>
      <c r="F87" s="387">
        <v>2031.8275186884214</v>
      </c>
      <c r="G87" s="388">
        <v>1532.5220309975864</v>
      </c>
      <c r="H87" s="388">
        <v>2753.6088289876175</v>
      </c>
      <c r="I87" s="388">
        <v>2782.9044924675782</v>
      </c>
      <c r="J87" s="388">
        <v>2743.6900332063137</v>
      </c>
      <c r="K87" s="585">
        <v>2916.1369879129202</v>
      </c>
    </row>
    <row r="88" spans="2:11" x14ac:dyDescent="0.35">
      <c r="B88" s="586" t="s">
        <v>1091</v>
      </c>
      <c r="C88" s="317"/>
      <c r="D88" s="317"/>
      <c r="E88" s="317"/>
      <c r="F88" s="355">
        <v>168.82359465894388</v>
      </c>
      <c r="G88" s="356">
        <v>1448.9333920691322</v>
      </c>
      <c r="H88" s="356">
        <v>2354.5999199752159</v>
      </c>
      <c r="I88" s="356">
        <v>2152.2185288106771</v>
      </c>
      <c r="J88" s="356">
        <v>1919.0942067736225</v>
      </c>
      <c r="K88" s="587">
        <v>1844.7705415317585</v>
      </c>
    </row>
    <row r="89" spans="2:11" x14ac:dyDescent="0.35">
      <c r="B89" s="525"/>
      <c r="F89" s="172"/>
      <c r="K89" s="526"/>
    </row>
    <row r="90" spans="2:11" x14ac:dyDescent="0.35">
      <c r="B90" s="525" t="s">
        <v>1092</v>
      </c>
      <c r="F90" s="346">
        <v>8.3333333333333329E-2</v>
      </c>
      <c r="G90" s="333"/>
      <c r="H90" s="333"/>
      <c r="I90" s="333"/>
      <c r="J90" s="333"/>
      <c r="K90" s="588"/>
    </row>
    <row r="91" spans="2:11" x14ac:dyDescent="0.35">
      <c r="B91" s="525" t="s">
        <v>1093</v>
      </c>
      <c r="F91" s="346">
        <v>2.9166666666666667E-2</v>
      </c>
      <c r="G91" s="332">
        <v>0.55833333333333335</v>
      </c>
      <c r="H91" s="332">
        <v>1.5583333333333333</v>
      </c>
      <c r="I91" s="332">
        <v>2.5583333333333336</v>
      </c>
      <c r="J91" s="332">
        <v>3.5583333333333336</v>
      </c>
      <c r="K91" s="589">
        <v>4.5583333333333336</v>
      </c>
    </row>
    <row r="92" spans="2:11" x14ac:dyDescent="0.35">
      <c r="B92" s="525"/>
      <c r="F92" s="172"/>
      <c r="K92" s="526"/>
    </row>
    <row r="93" spans="2:11" x14ac:dyDescent="0.35">
      <c r="B93" s="525" t="s">
        <v>1094</v>
      </c>
      <c r="F93" s="172"/>
      <c r="K93" s="590">
        <v>34718.638636224765</v>
      </c>
    </row>
    <row r="94" spans="2:11" x14ac:dyDescent="0.35">
      <c r="B94" s="525" t="s">
        <v>1095</v>
      </c>
      <c r="F94" s="172"/>
      <c r="K94" s="590">
        <v>21963.27609562434</v>
      </c>
    </row>
    <row r="95" spans="2:11" x14ac:dyDescent="0.35">
      <c r="B95" s="525"/>
      <c r="F95" s="172"/>
      <c r="K95" s="526"/>
    </row>
    <row r="96" spans="2:11" x14ac:dyDescent="0.35">
      <c r="B96" s="591" t="s">
        <v>826</v>
      </c>
      <c r="C96" s="375"/>
      <c r="D96" s="375"/>
      <c r="E96" s="375"/>
      <c r="F96" s="374"/>
      <c r="G96" s="375"/>
      <c r="H96" s="375"/>
      <c r="I96" s="375"/>
      <c r="J96" s="375"/>
      <c r="K96" s="592">
        <v>31851.716279443688</v>
      </c>
    </row>
    <row r="97" spans="2:11" x14ac:dyDescent="0.35">
      <c r="B97" s="525" t="s">
        <v>1098</v>
      </c>
      <c r="K97" s="593">
        <v>21691.419504349891</v>
      </c>
    </row>
    <row r="98" spans="2:11" ht="18" thickBot="1" x14ac:dyDescent="0.4">
      <c r="B98" s="527" t="s">
        <v>1104</v>
      </c>
      <c r="C98" s="528"/>
      <c r="D98" s="528"/>
      <c r="E98" s="528"/>
      <c r="F98" s="528"/>
      <c r="G98" s="528"/>
      <c r="H98" s="528"/>
      <c r="I98" s="528"/>
      <c r="J98" s="528"/>
      <c r="K98" s="530">
        <v>8.752190226170157</v>
      </c>
    </row>
    <row r="100" spans="2:11" ht="18" thickBot="1" x14ac:dyDescent="0.4">
      <c r="B100" s="133" t="s">
        <v>1105</v>
      </c>
    </row>
    <row r="101" spans="2:11" x14ac:dyDescent="0.35">
      <c r="B101" s="569" t="s">
        <v>1033</v>
      </c>
      <c r="C101" s="570"/>
      <c r="D101" s="570"/>
      <c r="E101" s="523"/>
      <c r="F101" s="523"/>
      <c r="G101" s="523"/>
      <c r="H101" s="523"/>
      <c r="I101" s="523"/>
      <c r="J101" s="523"/>
      <c r="K101" s="524"/>
    </row>
    <row r="102" spans="2:11" x14ac:dyDescent="0.35">
      <c r="B102" s="525" t="s">
        <v>1036</v>
      </c>
      <c r="D102" s="320">
        <v>0.10567328226308054</v>
      </c>
      <c r="K102" s="526"/>
    </row>
    <row r="103" spans="2:11" x14ac:dyDescent="0.35">
      <c r="B103" s="525" t="s">
        <v>1037</v>
      </c>
      <c r="D103" s="320">
        <v>0.02</v>
      </c>
      <c r="K103" s="526"/>
    </row>
    <row r="104" spans="2:11" x14ac:dyDescent="0.35">
      <c r="B104" s="525"/>
      <c r="K104" s="526"/>
    </row>
    <row r="105" spans="2:11" x14ac:dyDescent="0.35">
      <c r="B105" s="571" t="s">
        <v>1106</v>
      </c>
      <c r="C105" s="319"/>
      <c r="D105" s="319"/>
      <c r="E105" s="319"/>
      <c r="F105" s="319"/>
      <c r="G105" s="319"/>
      <c r="H105" s="319"/>
      <c r="I105" s="319"/>
      <c r="J105" s="319"/>
      <c r="K105" s="572"/>
    </row>
    <row r="106" spans="2:11" x14ac:dyDescent="0.35">
      <c r="B106" s="525"/>
      <c r="F106" s="172"/>
      <c r="K106" s="526"/>
    </row>
    <row r="107" spans="2:11" x14ac:dyDescent="0.35">
      <c r="B107" s="573" t="s">
        <v>1088</v>
      </c>
      <c r="C107" s="75">
        <v>2022</v>
      </c>
      <c r="D107" s="75">
        <v>2023</v>
      </c>
      <c r="E107" s="75">
        <v>2024</v>
      </c>
      <c r="F107" s="265">
        <v>2025</v>
      </c>
      <c r="G107" s="76">
        <v>2026</v>
      </c>
      <c r="H107" s="76">
        <v>2027</v>
      </c>
      <c r="I107" s="76">
        <v>2028</v>
      </c>
      <c r="J107" s="76">
        <v>2029</v>
      </c>
      <c r="K107" s="574">
        <v>2030</v>
      </c>
    </row>
    <row r="108" spans="2:11" x14ac:dyDescent="0.35">
      <c r="B108" s="525"/>
      <c r="F108" s="172"/>
      <c r="K108" s="526"/>
    </row>
    <row r="109" spans="2:11" x14ac:dyDescent="0.35">
      <c r="B109" s="525" t="s">
        <v>23</v>
      </c>
      <c r="C109" s="322">
        <v>19348</v>
      </c>
      <c r="D109" s="322">
        <v>21244</v>
      </c>
      <c r="E109" s="322">
        <v>20175</v>
      </c>
      <c r="F109" s="343">
        <v>17496.86</v>
      </c>
      <c r="G109" s="322">
        <v>15770.29</v>
      </c>
      <c r="H109" s="322">
        <v>15045.843125748197</v>
      </c>
      <c r="I109" s="322">
        <v>13813.280645700075</v>
      </c>
      <c r="J109" s="322">
        <v>12572.564044175131</v>
      </c>
      <c r="K109" s="575">
        <v>11578.208370064216</v>
      </c>
    </row>
    <row r="110" spans="2:11" x14ac:dyDescent="0.35">
      <c r="B110" s="576" t="s">
        <v>1043</v>
      </c>
      <c r="C110" s="520" t="s">
        <v>910</v>
      </c>
      <c r="D110" s="520">
        <v>0.25290309320727572</v>
      </c>
      <c r="E110" s="520">
        <v>-4.7982283464566899E-2</v>
      </c>
      <c r="F110" s="396">
        <v>0.10041957439476179</v>
      </c>
      <c r="G110" s="520">
        <v>0.11110348191475952</v>
      </c>
      <c r="H110" s="520">
        <v>0.20411096651305755</v>
      </c>
      <c r="I110" s="520">
        <v>0.191912934839503</v>
      </c>
      <c r="J110" s="520">
        <v>0.15188673941552047</v>
      </c>
      <c r="K110" s="594">
        <v>0.16475353067071014</v>
      </c>
    </row>
    <row r="111" spans="2:11" x14ac:dyDescent="0.35">
      <c r="B111" s="525"/>
      <c r="F111" s="172"/>
      <c r="K111" s="526"/>
    </row>
    <row r="112" spans="2:11" x14ac:dyDescent="0.35">
      <c r="B112" s="525" t="s">
        <v>122</v>
      </c>
      <c r="C112" s="322">
        <v>3812</v>
      </c>
      <c r="D112" s="322">
        <v>3322</v>
      </c>
      <c r="E112" s="322">
        <v>-5759</v>
      </c>
      <c r="F112" s="343">
        <v>2447.0700000000002</v>
      </c>
      <c r="G112" s="322">
        <v>2116.0700000000002</v>
      </c>
      <c r="H112" s="322">
        <v>1072.589772497174</v>
      </c>
      <c r="I112" s="322">
        <v>445.91109659529764</v>
      </c>
      <c r="J112" s="322">
        <v>424.9822413255697</v>
      </c>
      <c r="K112" s="575">
        <v>248.65843614634196</v>
      </c>
    </row>
    <row r="113" spans="2:11" x14ac:dyDescent="0.35">
      <c r="B113" s="576" t="s">
        <v>1056</v>
      </c>
      <c r="C113" s="347">
        <v>0.1970229481083316</v>
      </c>
      <c r="D113" s="347">
        <v>0.15637356430050839</v>
      </c>
      <c r="E113" s="347">
        <v>-0.28545229244114001</v>
      </c>
      <c r="F113" s="395">
        <v>0.13985766588976536</v>
      </c>
      <c r="G113" s="347">
        <v>0.13418079185607876</v>
      </c>
      <c r="H113" s="347">
        <v>6.1288113503033502E-2</v>
      </c>
      <c r="I113" s="347">
        <v>3.2281331859720444E-2</v>
      </c>
      <c r="J113" s="347">
        <v>3.3802352474192721E-2</v>
      </c>
      <c r="K113" s="595">
        <v>2.1476417438578439E-2</v>
      </c>
    </row>
    <row r="114" spans="2:11" x14ac:dyDescent="0.35">
      <c r="B114" s="525"/>
      <c r="F114" s="172"/>
      <c r="K114" s="526"/>
    </row>
    <row r="115" spans="2:11" x14ac:dyDescent="0.35">
      <c r="B115" s="525" t="s">
        <v>1057</v>
      </c>
      <c r="C115" s="125">
        <v>800.52</v>
      </c>
      <c r="D115" s="125">
        <v>697.62</v>
      </c>
      <c r="E115" s="125">
        <v>-1209.3899999999999</v>
      </c>
      <c r="F115" s="293">
        <v>513.88470000000007</v>
      </c>
      <c r="G115" s="125">
        <v>444.37470000000002</v>
      </c>
      <c r="H115" s="125">
        <v>225.24385222440651</v>
      </c>
      <c r="I115" s="125">
        <v>93.641330285012501</v>
      </c>
      <c r="J115" s="125">
        <v>89.24627067836964</v>
      </c>
      <c r="K115" s="579">
        <v>52.21827159073181</v>
      </c>
    </row>
    <row r="116" spans="2:11" x14ac:dyDescent="0.35">
      <c r="B116" s="576" t="s">
        <v>1058</v>
      </c>
      <c r="C116" s="341">
        <v>0.21</v>
      </c>
      <c r="D116" s="341">
        <v>0.21</v>
      </c>
      <c r="E116" s="341">
        <v>0.21</v>
      </c>
      <c r="F116" s="385">
        <v>0.21</v>
      </c>
      <c r="G116" s="341">
        <v>0.21</v>
      </c>
      <c r="H116" s="341">
        <v>0.21</v>
      </c>
      <c r="I116" s="341">
        <v>0.21</v>
      </c>
      <c r="J116" s="341">
        <v>0.21</v>
      </c>
      <c r="K116" s="580">
        <v>0.21</v>
      </c>
    </row>
    <row r="117" spans="2:11" x14ac:dyDescent="0.35">
      <c r="B117" s="525"/>
      <c r="F117" s="172"/>
      <c r="K117" s="526"/>
    </row>
    <row r="118" spans="2:11" x14ac:dyDescent="0.35">
      <c r="B118" s="581" t="s">
        <v>1089</v>
      </c>
      <c r="C118" s="349">
        <v>3011.48</v>
      </c>
      <c r="D118" s="349">
        <v>2624.38</v>
      </c>
      <c r="E118" s="349">
        <v>-4549.6100000000006</v>
      </c>
      <c r="F118" s="386">
        <v>1933.1853000000001</v>
      </c>
      <c r="G118" s="349">
        <v>1671.6953000000001</v>
      </c>
      <c r="H118" s="349">
        <v>847.34592027276744</v>
      </c>
      <c r="I118" s="349">
        <v>352.26976631028515</v>
      </c>
      <c r="J118" s="349">
        <v>335.73597064720008</v>
      </c>
      <c r="K118" s="596">
        <v>196.44016455561015</v>
      </c>
    </row>
    <row r="119" spans="2:11" x14ac:dyDescent="0.35">
      <c r="B119" s="525"/>
      <c r="F119" s="172"/>
      <c r="K119" s="526"/>
    </row>
    <row r="120" spans="2:11" x14ac:dyDescent="0.35">
      <c r="B120" s="525" t="s">
        <v>1059</v>
      </c>
      <c r="C120" s="322">
        <v>4691</v>
      </c>
      <c r="D120" s="322">
        <v>4961</v>
      </c>
      <c r="E120" s="322">
        <v>4172</v>
      </c>
      <c r="F120" s="343">
        <v>3499.3720000000003</v>
      </c>
      <c r="G120" s="322">
        <v>3154.0580000000004</v>
      </c>
      <c r="H120" s="322">
        <v>3009.1686251496394</v>
      </c>
      <c r="I120" s="322">
        <v>2762.6561291400153</v>
      </c>
      <c r="J120" s="322">
        <v>2514.5128088350266</v>
      </c>
      <c r="K120" s="575">
        <v>2315.6416740128434</v>
      </c>
    </row>
    <row r="121" spans="2:11" x14ac:dyDescent="0.35">
      <c r="B121" s="576" t="s">
        <v>1056</v>
      </c>
      <c r="C121" s="347">
        <v>0.24245400041347942</v>
      </c>
      <c r="D121" s="377">
        <v>0.23352475993221616</v>
      </c>
      <c r="E121" s="377">
        <v>0.20679058240396531</v>
      </c>
      <c r="F121" s="378">
        <v>0.2</v>
      </c>
      <c r="G121" s="377">
        <v>0.2</v>
      </c>
      <c r="H121" s="377">
        <v>0.2</v>
      </c>
      <c r="I121" s="377">
        <v>0.2</v>
      </c>
      <c r="J121" s="377">
        <v>0.20000000000000004</v>
      </c>
      <c r="K121" s="578">
        <v>0.2</v>
      </c>
    </row>
    <row r="122" spans="2:11" x14ac:dyDescent="0.35">
      <c r="B122" s="525"/>
      <c r="F122" s="172"/>
      <c r="K122" s="526"/>
    </row>
    <row r="123" spans="2:11" x14ac:dyDescent="0.35">
      <c r="B123" s="525" t="s">
        <v>1071</v>
      </c>
      <c r="C123" s="322">
        <v>525.30674222209996</v>
      </c>
      <c r="D123" s="322">
        <v>641.3650837348016</v>
      </c>
      <c r="E123" s="322">
        <v>454.3508730252999</v>
      </c>
      <c r="F123" s="343">
        <v>465.77423731793522</v>
      </c>
      <c r="G123" s="322">
        <v>417.02611707453963</v>
      </c>
      <c r="H123" s="322">
        <v>379.07860794585525</v>
      </c>
      <c r="I123" s="322">
        <v>360.33846900350682</v>
      </c>
      <c r="J123" s="322">
        <v>325.7344623021736</v>
      </c>
      <c r="K123" s="575">
        <v>297.90591474676461</v>
      </c>
    </row>
    <row r="124" spans="2:11" x14ac:dyDescent="0.35">
      <c r="B124" s="576" t="s">
        <v>1056</v>
      </c>
      <c r="C124" s="347">
        <v>2.715044150413996E-2</v>
      </c>
      <c r="D124" s="377">
        <v>3.019041064464327E-2</v>
      </c>
      <c r="E124" s="377">
        <v>2.2520489369283761E-2</v>
      </c>
      <c r="F124" s="378">
        <v>2.6620447172688997E-2</v>
      </c>
      <c r="G124" s="377">
        <v>2.6443782395538674E-2</v>
      </c>
      <c r="H124" s="377">
        <v>2.5194906312503807E-2</v>
      </c>
      <c r="I124" s="377">
        <v>2.6086378626910493E-2</v>
      </c>
      <c r="J124" s="377">
        <v>2.5908355778317658E-2</v>
      </c>
      <c r="K124" s="578">
        <v>2.5729880239243986E-2</v>
      </c>
    </row>
    <row r="125" spans="2:11" x14ac:dyDescent="0.35">
      <c r="B125" s="525"/>
      <c r="F125" s="172"/>
      <c r="K125" s="526"/>
    </row>
    <row r="126" spans="2:11" x14ac:dyDescent="0.35">
      <c r="B126" s="525" t="s">
        <v>1103</v>
      </c>
      <c r="C126" s="521">
        <v>-2263.9511488304702</v>
      </c>
      <c r="D126" s="521">
        <v>-1392.2400716342781</v>
      </c>
      <c r="E126" s="521">
        <v>-1991.7944609750514</v>
      </c>
      <c r="F126" s="418">
        <v>-1640.4689047661755</v>
      </c>
      <c r="G126" s="521">
        <v>-1356.3472304395982</v>
      </c>
      <c r="H126" s="521">
        <v>-1396.7069266811184</v>
      </c>
      <c r="I126" s="521">
        <v>-1255.1413350672442</v>
      </c>
      <c r="J126" s="521">
        <v>-1130.2793696090241</v>
      </c>
      <c r="K126" s="597">
        <v>-1055.9147680856356</v>
      </c>
    </row>
    <row r="127" spans="2:11" x14ac:dyDescent="0.35">
      <c r="B127" s="525" t="s">
        <v>1084</v>
      </c>
      <c r="C127" s="322"/>
      <c r="D127" s="322">
        <v>871.71107719619204</v>
      </c>
      <c r="E127" s="322">
        <v>-599.55438934077324</v>
      </c>
      <c r="F127" s="343">
        <v>351.32555620887592</v>
      </c>
      <c r="G127" s="322">
        <v>284.12167432657725</v>
      </c>
      <c r="H127" s="322">
        <v>-40.359696241520169</v>
      </c>
      <c r="I127" s="322">
        <v>141.56559161387418</v>
      </c>
      <c r="J127" s="322">
        <v>124.86196545822008</v>
      </c>
      <c r="K127" s="575">
        <v>74.364601523388501</v>
      </c>
    </row>
    <row r="128" spans="2:11" x14ac:dyDescent="0.35">
      <c r="B128" s="576" t="s">
        <v>1056</v>
      </c>
      <c r="C128" s="324"/>
      <c r="D128" s="347">
        <v>4.1033283618724915E-2</v>
      </c>
      <c r="E128" s="377">
        <v>-2.9717689682318377E-2</v>
      </c>
      <c r="F128" s="378">
        <v>2.0079348877963012E-2</v>
      </c>
      <c r="G128" s="377">
        <v>1.8016261864973772E-2</v>
      </c>
      <c r="H128" s="377">
        <v>-2.6824482951342196E-3</v>
      </c>
      <c r="I128" s="377">
        <v>1.0248513386857307E-2</v>
      </c>
      <c r="J128" s="377">
        <v>9.9313047855237313E-3</v>
      </c>
      <c r="K128" s="578">
        <v>6.4228073244613796E-3</v>
      </c>
    </row>
    <row r="129" spans="2:11" x14ac:dyDescent="0.35">
      <c r="B129" s="525"/>
      <c r="F129" s="172"/>
      <c r="K129" s="526"/>
    </row>
    <row r="130" spans="2:11" x14ac:dyDescent="0.35">
      <c r="B130" s="584" t="s">
        <v>1090</v>
      </c>
      <c r="C130" s="350">
        <v>7177.1732577778994</v>
      </c>
      <c r="D130" s="350">
        <v>6072.3038390690072</v>
      </c>
      <c r="E130" s="350">
        <v>-232.4064836845273</v>
      </c>
      <c r="F130" s="394">
        <v>4615.4575064731889</v>
      </c>
      <c r="G130" s="350">
        <v>4124.6055085988828</v>
      </c>
      <c r="H130" s="350">
        <v>3517.7956337180713</v>
      </c>
      <c r="I130" s="350">
        <v>2613.021834832919</v>
      </c>
      <c r="J130" s="350">
        <v>2399.6523517218329</v>
      </c>
      <c r="K130" s="598">
        <v>2139.8113222983002</v>
      </c>
    </row>
    <row r="131" spans="2:11" x14ac:dyDescent="0.35">
      <c r="B131" s="586" t="s">
        <v>1091</v>
      </c>
      <c r="C131" s="317"/>
      <c r="D131" s="317"/>
      <c r="E131" s="317"/>
      <c r="F131" s="345">
        <v>383.01495086613494</v>
      </c>
      <c r="G131" s="331">
        <v>3889.8552613713423</v>
      </c>
      <c r="H131" s="331">
        <v>3000.5081765750197</v>
      </c>
      <c r="I131" s="331">
        <v>2015.7674706090422</v>
      </c>
      <c r="J131" s="331">
        <v>1674.2445985971212</v>
      </c>
      <c r="K131" s="599">
        <v>1350.2657265873349</v>
      </c>
    </row>
    <row r="132" spans="2:11" x14ac:dyDescent="0.35">
      <c r="B132" s="525"/>
      <c r="F132" s="172"/>
      <c r="K132" s="526"/>
    </row>
    <row r="133" spans="2:11" x14ac:dyDescent="0.35">
      <c r="B133" s="525" t="s">
        <v>1092</v>
      </c>
      <c r="F133" s="346">
        <v>8.3333333333333329E-2</v>
      </c>
      <c r="G133" s="333"/>
      <c r="H133" s="333"/>
      <c r="I133" s="333"/>
      <c r="J133" s="333"/>
      <c r="K133" s="588"/>
    </row>
    <row r="134" spans="2:11" x14ac:dyDescent="0.35">
      <c r="B134" s="525" t="s">
        <v>1093</v>
      </c>
      <c r="F134" s="293">
        <v>4.1666666666666664E-2</v>
      </c>
      <c r="G134" s="125">
        <v>0.58333333333333337</v>
      </c>
      <c r="H134" s="125">
        <v>1.5833333333333335</v>
      </c>
      <c r="I134" s="125">
        <v>2.5833333333333335</v>
      </c>
      <c r="J134" s="125">
        <v>3.5833333333333335</v>
      </c>
      <c r="K134" s="579">
        <v>4.5833333333333339</v>
      </c>
    </row>
    <row r="135" spans="2:11" x14ac:dyDescent="0.35">
      <c r="B135" s="525"/>
      <c r="F135" s="172"/>
      <c r="K135" s="526"/>
    </row>
    <row r="136" spans="2:11" x14ac:dyDescent="0.35">
      <c r="B136" s="525" t="s">
        <v>1094</v>
      </c>
      <c r="F136" s="172"/>
      <c r="K136" s="590">
        <v>25475.941753253272</v>
      </c>
    </row>
    <row r="137" spans="2:11" x14ac:dyDescent="0.35">
      <c r="B137" s="525" t="s">
        <v>1095</v>
      </c>
      <c r="F137" s="172"/>
      <c r="K137" s="590">
        <v>23265.521586155715</v>
      </c>
    </row>
    <row r="138" spans="2:11" x14ac:dyDescent="0.35">
      <c r="B138" s="525"/>
      <c r="F138" s="172"/>
      <c r="K138" s="526"/>
    </row>
    <row r="139" spans="2:11" x14ac:dyDescent="0.35">
      <c r="B139" s="591" t="s">
        <v>826</v>
      </c>
      <c r="C139" s="375"/>
      <c r="D139" s="375"/>
      <c r="E139" s="375"/>
      <c r="F139" s="374"/>
      <c r="G139" s="375"/>
      <c r="H139" s="375"/>
      <c r="I139" s="375"/>
      <c r="J139" s="375"/>
      <c r="K139" s="592">
        <v>35579.177770761708</v>
      </c>
    </row>
    <row r="140" spans="2:11" x14ac:dyDescent="0.35">
      <c r="B140" s="525" t="s">
        <v>1098</v>
      </c>
      <c r="K140" s="593">
        <v>25418.880995667911</v>
      </c>
    </row>
    <row r="141" spans="2:11" ht="18" thickBot="1" x14ac:dyDescent="0.4">
      <c r="B141" s="527" t="s">
        <v>1104</v>
      </c>
      <c r="C141" s="528"/>
      <c r="D141" s="528"/>
      <c r="E141" s="528"/>
      <c r="F141" s="528"/>
      <c r="G141" s="528"/>
      <c r="H141" s="528"/>
      <c r="I141" s="528"/>
      <c r="J141" s="528"/>
      <c r="K141" s="530">
        <v>10.256169807875128</v>
      </c>
    </row>
    <row r="143" spans="2:11" ht="18" thickBot="1" x14ac:dyDescent="0.4">
      <c r="B143" s="133" t="s">
        <v>1155</v>
      </c>
    </row>
    <row r="144" spans="2:11" x14ac:dyDescent="0.35">
      <c r="B144" s="569" t="s">
        <v>1033</v>
      </c>
      <c r="C144" s="600"/>
      <c r="D144" s="600"/>
      <c r="E144" s="601"/>
      <c r="F144" s="601"/>
      <c r="G144" s="601"/>
      <c r="H144" s="601"/>
      <c r="I144" s="601"/>
      <c r="J144" s="601"/>
      <c r="K144" s="602"/>
    </row>
    <row r="145" spans="2:11" x14ac:dyDescent="0.35">
      <c r="B145" s="603" t="s">
        <v>1036</v>
      </c>
      <c r="C145" s="36"/>
      <c r="D145" s="320">
        <v>0.10567328226308054</v>
      </c>
      <c r="E145" s="36"/>
      <c r="F145" s="36"/>
      <c r="G145" s="36"/>
      <c r="H145" s="36"/>
      <c r="I145" s="36"/>
      <c r="J145" s="36"/>
      <c r="K145" s="604"/>
    </row>
    <row r="146" spans="2:11" x14ac:dyDescent="0.35">
      <c r="B146" s="603" t="s">
        <v>1037</v>
      </c>
      <c r="C146" s="36"/>
      <c r="D146" s="336">
        <v>0.02</v>
      </c>
      <c r="E146" s="36"/>
      <c r="F146" s="36"/>
      <c r="G146" s="36"/>
      <c r="H146" s="36"/>
      <c r="I146" s="36"/>
      <c r="J146" s="36"/>
      <c r="K146" s="604"/>
    </row>
    <row r="147" spans="2:11" x14ac:dyDescent="0.35">
      <c r="B147" s="603"/>
      <c r="C147" s="36"/>
      <c r="D147" s="36"/>
      <c r="E147" s="36"/>
      <c r="F147" s="36"/>
      <c r="G147" s="36"/>
      <c r="H147" s="36"/>
      <c r="I147" s="36"/>
      <c r="J147" s="36"/>
      <c r="K147" s="604"/>
    </row>
    <row r="148" spans="2:11" x14ac:dyDescent="0.35">
      <c r="B148" s="571" t="s">
        <v>1106</v>
      </c>
      <c r="C148" s="335"/>
      <c r="D148" s="335"/>
      <c r="E148" s="335"/>
      <c r="F148" s="335"/>
      <c r="G148" s="335"/>
      <c r="H148" s="335"/>
      <c r="I148" s="335"/>
      <c r="J148" s="335"/>
      <c r="K148" s="605"/>
    </row>
    <row r="149" spans="2:11" x14ac:dyDescent="0.35">
      <c r="B149" s="603"/>
      <c r="C149" s="36"/>
      <c r="D149" s="36"/>
      <c r="E149" s="36"/>
      <c r="F149" s="36"/>
      <c r="G149" s="36"/>
      <c r="H149" s="36"/>
      <c r="I149" s="36"/>
      <c r="J149" s="36"/>
      <c r="K149" s="604"/>
    </row>
    <row r="150" spans="2:11" x14ac:dyDescent="0.35">
      <c r="B150" s="573" t="s">
        <v>1088</v>
      </c>
      <c r="C150" s="75">
        <v>2022</v>
      </c>
      <c r="D150" s="75">
        <v>2023</v>
      </c>
      <c r="E150" s="75">
        <v>2024</v>
      </c>
      <c r="F150" s="265">
        <v>2025</v>
      </c>
      <c r="G150" s="76">
        <v>2026</v>
      </c>
      <c r="H150" s="76">
        <v>2027</v>
      </c>
      <c r="I150" s="76">
        <v>2028</v>
      </c>
      <c r="J150" s="76">
        <v>2029</v>
      </c>
      <c r="K150" s="574">
        <v>2030</v>
      </c>
    </row>
    <row r="151" spans="2:11" x14ac:dyDescent="0.35">
      <c r="B151" s="603"/>
      <c r="C151" s="36"/>
      <c r="D151" s="36"/>
      <c r="E151" s="36"/>
      <c r="F151" s="342"/>
      <c r="G151" s="36"/>
      <c r="H151" s="36"/>
      <c r="I151" s="36"/>
      <c r="J151" s="36"/>
      <c r="K151" s="604"/>
    </row>
    <row r="152" spans="2:11" x14ac:dyDescent="0.35">
      <c r="B152" s="603" t="s">
        <v>23</v>
      </c>
      <c r="C152" s="322">
        <v>7274</v>
      </c>
      <c r="D152" s="322">
        <v>10154</v>
      </c>
      <c r="E152" s="322">
        <v>10313</v>
      </c>
      <c r="F152" s="343">
        <v>10822.08</v>
      </c>
      <c r="G152" s="322">
        <v>11779.33</v>
      </c>
      <c r="H152" s="322">
        <v>10196.915345217954</v>
      </c>
      <c r="I152" s="322">
        <v>10500.591998742255</v>
      </c>
      <c r="J152" s="322">
        <v>10752.545162643299</v>
      </c>
      <c r="K152" s="575">
        <v>11080.642350149305</v>
      </c>
    </row>
    <row r="153" spans="2:11" x14ac:dyDescent="0.35">
      <c r="B153" s="576" t="s">
        <v>1043</v>
      </c>
      <c r="C153" s="338" t="s">
        <v>910</v>
      </c>
      <c r="D153" s="338">
        <v>0.25290309320727572</v>
      </c>
      <c r="E153" s="338">
        <v>-4.7982283464566899E-2</v>
      </c>
      <c r="F153" s="344">
        <v>0.10041957439476179</v>
      </c>
      <c r="G153" s="338">
        <v>0.11110348191475952</v>
      </c>
      <c r="H153" s="338">
        <v>0.20411096651305755</v>
      </c>
      <c r="I153" s="338">
        <v>0.191912934839503</v>
      </c>
      <c r="J153" s="338">
        <v>0.15188673941552047</v>
      </c>
      <c r="K153" s="606">
        <v>0.16475353067071014</v>
      </c>
    </row>
    <row r="154" spans="2:11" x14ac:dyDescent="0.35">
      <c r="B154" s="603"/>
      <c r="C154" s="36"/>
      <c r="D154" s="36"/>
      <c r="E154" s="36"/>
      <c r="F154" s="342"/>
      <c r="G154" s="36"/>
      <c r="H154" s="36"/>
      <c r="I154" s="36"/>
      <c r="J154" s="36"/>
      <c r="K154" s="604"/>
    </row>
    <row r="155" spans="2:11" x14ac:dyDescent="0.35">
      <c r="B155" s="603" t="s">
        <v>122</v>
      </c>
      <c r="C155" s="322">
        <v>-5736</v>
      </c>
      <c r="D155" s="322">
        <v>-2565</v>
      </c>
      <c r="E155" s="322">
        <v>-1485</v>
      </c>
      <c r="F155" s="322">
        <v>-348.59</v>
      </c>
      <c r="G155" s="322">
        <v>75.88</v>
      </c>
      <c r="H155" s="322">
        <v>131.97074423515232</v>
      </c>
      <c r="I155" s="322">
        <v>235.67309406004438</v>
      </c>
      <c r="J155" s="322">
        <v>442.35471398329349</v>
      </c>
      <c r="K155" s="575">
        <v>842.64841650123719</v>
      </c>
    </row>
    <row r="156" spans="2:11" x14ac:dyDescent="0.35">
      <c r="B156" s="576" t="s">
        <v>1056</v>
      </c>
      <c r="C156" s="338">
        <v>-0.77829036635006787</v>
      </c>
      <c r="D156" s="338">
        <v>1.6569767441860466</v>
      </c>
      <c r="E156" s="338">
        <v>0.14802631578947367</v>
      </c>
      <c r="F156" s="338">
        <v>-0.36644310823311749</v>
      </c>
      <c r="G156" s="338">
        <v>2.8926612254545035E-2</v>
      </c>
      <c r="H156" s="338">
        <v>7.8556022512570767E-2</v>
      </c>
      <c r="I156" s="338">
        <v>0.39736151534652819</v>
      </c>
      <c r="J156" s="338">
        <v>0.47765725741305309</v>
      </c>
      <c r="K156" s="606">
        <v>0.63713116359465682</v>
      </c>
    </row>
    <row r="157" spans="2:11" x14ac:dyDescent="0.35">
      <c r="B157" s="603"/>
      <c r="C157" s="36"/>
      <c r="D157" s="36"/>
      <c r="E157" s="36"/>
      <c r="F157" s="342"/>
      <c r="G157" s="36"/>
      <c r="H157" s="36"/>
      <c r="I157" s="36"/>
      <c r="J157" s="36"/>
      <c r="K157" s="604"/>
    </row>
    <row r="158" spans="2:11" x14ac:dyDescent="0.35">
      <c r="B158" s="603" t="s">
        <v>1057</v>
      </c>
      <c r="C158" s="36"/>
      <c r="D158" s="36"/>
      <c r="E158" s="36"/>
      <c r="F158" s="289">
        <v>-73.20389999999999</v>
      </c>
      <c r="G158" s="113">
        <v>15.934799999999999</v>
      </c>
      <c r="H158" s="113">
        <v>27.713856289381987</v>
      </c>
      <c r="I158" s="113">
        <v>49.491349752609317</v>
      </c>
      <c r="J158" s="113">
        <v>92.894489936491624</v>
      </c>
      <c r="K158" s="590">
        <v>176.9561674652598</v>
      </c>
    </row>
    <row r="159" spans="2:11" x14ac:dyDescent="0.35">
      <c r="B159" s="576" t="s">
        <v>1058</v>
      </c>
      <c r="C159" s="36"/>
      <c r="D159" s="36"/>
      <c r="E159" s="36"/>
      <c r="F159" s="344">
        <v>0.21</v>
      </c>
      <c r="G159" s="338">
        <v>0.21</v>
      </c>
      <c r="H159" s="338">
        <v>0.21</v>
      </c>
      <c r="I159" s="338">
        <v>0.21</v>
      </c>
      <c r="J159" s="338">
        <v>0.21</v>
      </c>
      <c r="K159" s="606">
        <v>0.21</v>
      </c>
    </row>
    <row r="160" spans="2:11" x14ac:dyDescent="0.35">
      <c r="B160" s="603"/>
      <c r="C160" s="36"/>
      <c r="D160" s="36"/>
      <c r="E160" s="36"/>
      <c r="F160" s="342"/>
      <c r="G160" s="36"/>
      <c r="H160" s="36"/>
      <c r="I160" s="36"/>
      <c r="J160" s="36"/>
      <c r="K160" s="604"/>
    </row>
    <row r="161" spans="2:11" x14ac:dyDescent="0.35">
      <c r="B161" s="581" t="s">
        <v>1089</v>
      </c>
      <c r="C161" s="327"/>
      <c r="D161" s="327"/>
      <c r="E161" s="327"/>
      <c r="F161" s="360">
        <v>-275.3861</v>
      </c>
      <c r="G161" s="361">
        <v>59.9452</v>
      </c>
      <c r="H161" s="361">
        <v>104.25688794577033</v>
      </c>
      <c r="I161" s="361">
        <v>186.18174430743505</v>
      </c>
      <c r="J161" s="361">
        <v>349.46022404680184</v>
      </c>
      <c r="K161" s="607">
        <v>665.6922490359774</v>
      </c>
    </row>
    <row r="162" spans="2:11" x14ac:dyDescent="0.35">
      <c r="B162" s="603"/>
      <c r="C162" s="36"/>
      <c r="D162" s="36"/>
      <c r="E162" s="36"/>
      <c r="F162" s="342"/>
      <c r="G162" s="36"/>
      <c r="H162" s="36"/>
      <c r="I162" s="36"/>
      <c r="J162" s="36"/>
      <c r="K162" s="604"/>
    </row>
    <row r="163" spans="2:11" x14ac:dyDescent="0.35">
      <c r="B163" s="603" t="s">
        <v>1059</v>
      </c>
      <c r="C163" s="322">
        <v>1764</v>
      </c>
      <c r="D163" s="322">
        <v>2063</v>
      </c>
      <c r="E163" s="322">
        <v>1831</v>
      </c>
      <c r="F163" s="343">
        <v>2248.1847873517236</v>
      </c>
      <c r="G163" s="322">
        <v>2310.5337007063022</v>
      </c>
      <c r="H163" s="322">
        <v>1976.2811221845457</v>
      </c>
      <c r="I163" s="322">
        <v>2092.0810563607674</v>
      </c>
      <c r="J163" s="322">
        <v>2111.7919253631276</v>
      </c>
      <c r="K163" s="575">
        <v>2177.1449463191348</v>
      </c>
    </row>
    <row r="164" spans="2:11" x14ac:dyDescent="0.35">
      <c r="B164" s="576" t="s">
        <v>1056</v>
      </c>
      <c r="C164" s="338">
        <v>0.05</v>
      </c>
      <c r="D164" s="338">
        <v>0.06</v>
      </c>
      <c r="E164" s="338">
        <v>0.06</v>
      </c>
      <c r="F164" s="344">
        <v>0.06</v>
      </c>
      <c r="G164" s="338">
        <v>0.06</v>
      </c>
      <c r="H164" s="338">
        <v>0.06</v>
      </c>
      <c r="I164" s="338">
        <v>0.06</v>
      </c>
      <c r="J164" s="338">
        <v>0.06</v>
      </c>
      <c r="K164" s="606">
        <v>0.06</v>
      </c>
    </row>
    <row r="165" spans="2:11" x14ac:dyDescent="0.35">
      <c r="B165" s="603"/>
      <c r="C165" s="36"/>
      <c r="D165" s="36"/>
      <c r="E165" s="36"/>
      <c r="F165" s="342"/>
      <c r="G165" s="36"/>
      <c r="H165" s="36"/>
      <c r="I165" s="36"/>
      <c r="J165" s="36"/>
      <c r="K165" s="604"/>
    </row>
    <row r="166" spans="2:11" x14ac:dyDescent="0.35">
      <c r="B166" s="603" t="s">
        <v>1071</v>
      </c>
      <c r="C166" s="322">
        <v>197.49231150111405</v>
      </c>
      <c r="D166" s="322">
        <v>306.55342968570773</v>
      </c>
      <c r="E166" s="322">
        <v>232.25380686542346</v>
      </c>
      <c r="F166" s="343">
        <v>288.08860893861413</v>
      </c>
      <c r="G166" s="322">
        <v>311.49003928524058</v>
      </c>
      <c r="H166" s="322">
        <v>256.91032679929879</v>
      </c>
      <c r="I166" s="322">
        <v>273.92241868589724</v>
      </c>
      <c r="J166" s="322">
        <v>278.58076559619104</v>
      </c>
      <c r="K166" s="575">
        <v>285.10360064323658</v>
      </c>
    </row>
    <row r="167" spans="2:11" x14ac:dyDescent="0.35">
      <c r="B167" s="576" t="s">
        <v>1056</v>
      </c>
      <c r="C167" s="338">
        <v>0.12</v>
      </c>
      <c r="D167" s="338">
        <v>0.08</v>
      </c>
      <c r="E167" s="338">
        <v>0.06</v>
      </c>
      <c r="F167" s="344">
        <v>0.09</v>
      </c>
      <c r="G167" s="338">
        <v>7.0000000000000007E-2</v>
      </c>
      <c r="H167" s="338">
        <v>7.0000000000000007E-2</v>
      </c>
      <c r="I167" s="338">
        <v>0.08</v>
      </c>
      <c r="J167" s="338">
        <v>7.0000000000000007E-2</v>
      </c>
      <c r="K167" s="606">
        <v>7.0000000000000007E-2</v>
      </c>
    </row>
    <row r="168" spans="2:11" x14ac:dyDescent="0.35">
      <c r="B168" s="603"/>
      <c r="C168" s="36"/>
      <c r="D168" s="36"/>
      <c r="E168" s="36"/>
      <c r="F168" s="342"/>
      <c r="G168" s="36"/>
      <c r="H168" s="36"/>
      <c r="I168" s="36"/>
      <c r="J168" s="36"/>
      <c r="K168" s="604"/>
    </row>
    <row r="169" spans="2:11" x14ac:dyDescent="0.35">
      <c r="B169" s="603" t="s">
        <v>1084</v>
      </c>
      <c r="C169" s="322"/>
      <c r="D169" s="322">
        <v>185.69706996508603</v>
      </c>
      <c r="E169" s="322">
        <v>-352.71057886060248</v>
      </c>
      <c r="F169" s="343">
        <v>3.5043863637382628</v>
      </c>
      <c r="G169" s="322">
        <v>1.5567442106777207</v>
      </c>
      <c r="H169" s="322">
        <v>66.518245123492306</v>
      </c>
      <c r="I169" s="322">
        <v>-7.5539204667885542</v>
      </c>
      <c r="J169" s="322">
        <v>-12.524364245614493</v>
      </c>
      <c r="K169" s="575">
        <v>-43.878689964373734</v>
      </c>
    </row>
    <row r="170" spans="2:11" x14ac:dyDescent="0.35">
      <c r="B170" s="576" t="s">
        <v>1056</v>
      </c>
      <c r="C170" s="338">
        <v>-0.04</v>
      </c>
      <c r="D170" s="338">
        <v>-0.04</v>
      </c>
      <c r="E170" s="338">
        <v>-0.02</v>
      </c>
      <c r="F170" s="344">
        <v>-0.03</v>
      </c>
      <c r="G170" s="338">
        <v>-0.03</v>
      </c>
      <c r="H170" s="338">
        <v>-0.03</v>
      </c>
      <c r="I170" s="338">
        <v>-0.03</v>
      </c>
      <c r="J170" s="338">
        <v>-0.03</v>
      </c>
      <c r="K170" s="606">
        <v>-0.03</v>
      </c>
    </row>
    <row r="171" spans="2:11" x14ac:dyDescent="0.35">
      <c r="B171" s="603"/>
      <c r="C171" s="36"/>
      <c r="D171" s="36"/>
      <c r="E171" s="36"/>
      <c r="F171" s="342"/>
      <c r="G171" s="36"/>
      <c r="H171" s="36"/>
      <c r="I171" s="36"/>
      <c r="J171" s="36"/>
      <c r="K171" s="604"/>
    </row>
    <row r="172" spans="2:11" x14ac:dyDescent="0.35">
      <c r="B172" s="584" t="s">
        <v>1090</v>
      </c>
      <c r="C172" s="329"/>
      <c r="D172" s="329"/>
      <c r="E172" s="329"/>
      <c r="F172" s="352">
        <v>1681.205692049371</v>
      </c>
      <c r="G172" s="353">
        <v>2057.4321172103841</v>
      </c>
      <c r="H172" s="353">
        <v>1757.1094382075248</v>
      </c>
      <c r="I172" s="353">
        <v>2011.8943024490936</v>
      </c>
      <c r="J172" s="353">
        <v>2195.1957480593524</v>
      </c>
      <c r="K172" s="608">
        <v>2601.6122846762496</v>
      </c>
    </row>
    <row r="173" spans="2:11" x14ac:dyDescent="0.35">
      <c r="B173" s="586" t="s">
        <v>1091</v>
      </c>
      <c r="C173" s="317"/>
      <c r="D173" s="317"/>
      <c r="E173" s="317"/>
      <c r="F173" s="355">
        <v>138.00524212494386</v>
      </c>
      <c r="G173" s="356">
        <v>2057.4321172103841</v>
      </c>
      <c r="H173" s="356">
        <v>1757.1094382075248</v>
      </c>
      <c r="I173" s="356">
        <v>2011.8943024490936</v>
      </c>
      <c r="J173" s="356">
        <v>2195.1957480593524</v>
      </c>
      <c r="K173" s="587">
        <v>2601.6122846762496</v>
      </c>
    </row>
    <row r="174" spans="2:11" x14ac:dyDescent="0.35">
      <c r="B174" s="603"/>
      <c r="C174" s="36"/>
      <c r="D174" s="36"/>
      <c r="E174" s="36"/>
      <c r="F174" s="342"/>
      <c r="G174" s="36"/>
      <c r="H174" s="36"/>
      <c r="I174" s="36"/>
      <c r="J174" s="36"/>
      <c r="K174" s="604"/>
    </row>
    <row r="175" spans="2:11" x14ac:dyDescent="0.35">
      <c r="B175" s="603" t="s">
        <v>1092</v>
      </c>
      <c r="C175" s="36"/>
      <c r="D175" s="36"/>
      <c r="E175" s="36"/>
      <c r="F175" s="346">
        <v>8.3333333333333329E-2</v>
      </c>
      <c r="G175" s="333"/>
      <c r="H175" s="333"/>
      <c r="I175" s="333"/>
      <c r="J175" s="333"/>
      <c r="K175" s="588"/>
    </row>
    <row r="176" spans="2:11" x14ac:dyDescent="0.35">
      <c r="B176" s="603" t="s">
        <v>1093</v>
      </c>
      <c r="C176" s="36"/>
      <c r="D176" s="36"/>
      <c r="E176" s="36"/>
      <c r="F176" s="346">
        <v>0.15</v>
      </c>
      <c r="G176" s="332">
        <v>0.8</v>
      </c>
      <c r="H176" s="332">
        <v>1.8</v>
      </c>
      <c r="I176" s="332">
        <v>2.8</v>
      </c>
      <c r="J176" s="332">
        <v>3.8</v>
      </c>
      <c r="K176" s="589">
        <v>4.8</v>
      </c>
    </row>
    <row r="177" spans="2:17" x14ac:dyDescent="0.35">
      <c r="B177" s="603"/>
      <c r="C177" s="36"/>
      <c r="D177" s="36"/>
      <c r="E177" s="36"/>
      <c r="F177" s="342"/>
      <c r="G177" s="36"/>
      <c r="H177" s="36"/>
      <c r="I177" s="36"/>
      <c r="J177" s="36"/>
      <c r="K177" s="604"/>
    </row>
    <row r="178" spans="2:17" x14ac:dyDescent="0.35">
      <c r="B178" s="603" t="s">
        <v>1094</v>
      </c>
      <c r="C178" s="36"/>
      <c r="D178" s="36"/>
      <c r="E178" s="36"/>
      <c r="F178" s="342"/>
      <c r="G178" s="36"/>
      <c r="H178" s="36"/>
      <c r="I178" s="36"/>
      <c r="J178" s="36"/>
      <c r="K178" s="590">
        <v>30974.003333047487</v>
      </c>
    </row>
    <row r="179" spans="2:17" x14ac:dyDescent="0.35">
      <c r="B179" s="603" t="s">
        <v>1095</v>
      </c>
      <c r="C179" s="36"/>
      <c r="D179" s="36"/>
      <c r="E179" s="36"/>
      <c r="F179" s="342"/>
      <c r="G179" s="36"/>
      <c r="H179" s="36"/>
      <c r="I179" s="36"/>
      <c r="J179" s="36"/>
      <c r="K179" s="590">
        <v>19124.435601761237</v>
      </c>
    </row>
    <row r="180" spans="2:17" x14ac:dyDescent="0.35">
      <c r="B180" s="603"/>
      <c r="C180" s="36"/>
      <c r="D180" s="36"/>
      <c r="E180" s="36"/>
      <c r="F180" s="342"/>
      <c r="G180" s="36"/>
      <c r="H180" s="36"/>
      <c r="I180" s="36"/>
      <c r="J180" s="36"/>
      <c r="K180" s="604"/>
    </row>
    <row r="181" spans="2:17" x14ac:dyDescent="0.35">
      <c r="B181" s="591" t="s">
        <v>826</v>
      </c>
      <c r="C181" s="381"/>
      <c r="D181" s="381"/>
      <c r="E181" s="381"/>
      <c r="F181" s="382"/>
      <c r="G181" s="381"/>
      <c r="H181" s="381"/>
      <c r="I181" s="381"/>
      <c r="J181" s="381"/>
      <c r="K181" s="592">
        <v>29885.684734488786</v>
      </c>
    </row>
    <row r="182" spans="2:17" x14ac:dyDescent="0.35">
      <c r="B182" s="525" t="s">
        <v>1098</v>
      </c>
      <c r="K182" s="593">
        <v>19725.38795939499</v>
      </c>
    </row>
    <row r="183" spans="2:17" ht="18" thickBot="1" x14ac:dyDescent="0.4">
      <c r="B183" s="527" t="s">
        <v>1104</v>
      </c>
      <c r="C183" s="528"/>
      <c r="D183" s="528"/>
      <c r="E183" s="528"/>
      <c r="F183" s="528"/>
      <c r="G183" s="528"/>
      <c r="H183" s="528"/>
      <c r="I183" s="528"/>
      <c r="J183" s="528"/>
      <c r="K183" s="609">
        <v>7.958923466074264</v>
      </c>
    </row>
    <row r="185" spans="2:17" ht="18" thickBot="1" x14ac:dyDescent="0.4">
      <c r="B185" s="133" t="s">
        <v>1156</v>
      </c>
    </row>
    <row r="186" spans="2:17" x14ac:dyDescent="0.35">
      <c r="B186" s="624" t="s">
        <v>1115</v>
      </c>
      <c r="C186" s="625"/>
      <c r="D186" s="625"/>
      <c r="E186" s="625"/>
      <c r="F186" s="625"/>
      <c r="G186" s="626"/>
    </row>
    <row r="187" spans="2:17" x14ac:dyDescent="0.35">
      <c r="B187" s="531" t="s">
        <v>1120</v>
      </c>
      <c r="D187" s="2" t="s">
        <v>1121</v>
      </c>
      <c r="E187" s="2" t="s">
        <v>1122</v>
      </c>
      <c r="F187" s="2" t="s">
        <v>1123</v>
      </c>
      <c r="G187" s="402" t="s">
        <v>1124</v>
      </c>
      <c r="K187" s="622"/>
      <c r="L187" s="622"/>
      <c r="M187" s="622"/>
      <c r="N187" s="622"/>
      <c r="O187" s="622"/>
      <c r="P187" s="622"/>
      <c r="Q187" s="622"/>
    </row>
    <row r="188" spans="2:17" x14ac:dyDescent="0.35">
      <c r="B188" s="401" t="s">
        <v>1126</v>
      </c>
      <c r="C188" s="405">
        <v>31851.716279443688</v>
      </c>
      <c r="D188" s="405">
        <v>8070.8356320000003</v>
      </c>
      <c r="E188" s="414">
        <v>39922.55191144369</v>
      </c>
      <c r="F188" s="341">
        <v>0.2</v>
      </c>
      <c r="G188" s="420">
        <v>38222.059535332424</v>
      </c>
      <c r="K188" s="622"/>
      <c r="L188" s="622"/>
      <c r="M188" s="622"/>
      <c r="N188" s="622"/>
      <c r="O188" s="622"/>
      <c r="P188" s="622"/>
      <c r="Q188" s="622"/>
    </row>
    <row r="189" spans="2:17" x14ac:dyDescent="0.35">
      <c r="B189" s="401" t="s">
        <v>1128</v>
      </c>
      <c r="C189" s="405">
        <v>35579.177770761708</v>
      </c>
      <c r="D189" s="405">
        <v>10774.060656</v>
      </c>
      <c r="E189" s="414">
        <v>46353.238426761709</v>
      </c>
      <c r="F189" s="341">
        <v>0.2</v>
      </c>
      <c r="G189" s="420">
        <v>42695.013324914049</v>
      </c>
      <c r="K189" s="622"/>
      <c r="L189" s="622"/>
      <c r="M189" s="622"/>
      <c r="N189" s="622"/>
      <c r="O189" s="622"/>
      <c r="P189" s="622"/>
      <c r="Q189" s="622"/>
    </row>
    <row r="190" spans="2:17" ht="18" thickBot="1" x14ac:dyDescent="0.4">
      <c r="B190" s="403" t="s">
        <v>1129</v>
      </c>
      <c r="C190" s="407">
        <v>29885.684734488786</v>
      </c>
      <c r="D190" s="407">
        <v>7048.0637120000001</v>
      </c>
      <c r="E190" s="415">
        <v>36933.748446488789</v>
      </c>
      <c r="F190" s="421">
        <v>0.2</v>
      </c>
      <c r="G190" s="422">
        <v>35862.821681386544</v>
      </c>
      <c r="K190" s="622"/>
      <c r="L190" s="622"/>
      <c r="M190" s="622"/>
      <c r="N190" s="622"/>
      <c r="O190" s="622"/>
      <c r="P190" s="622"/>
      <c r="Q190" s="622"/>
    </row>
    <row r="191" spans="2:17" x14ac:dyDescent="0.35">
      <c r="B191" s="431" t="s">
        <v>1120</v>
      </c>
      <c r="C191" s="406"/>
      <c r="D191" s="406" t="s">
        <v>1121</v>
      </c>
      <c r="E191" s="406" t="s">
        <v>1131</v>
      </c>
      <c r="F191" s="406" t="s">
        <v>1123</v>
      </c>
      <c r="G191" s="400" t="s">
        <v>1132</v>
      </c>
      <c r="K191" s="622"/>
      <c r="L191" s="622"/>
      <c r="M191" s="622"/>
      <c r="N191" s="622"/>
      <c r="O191" s="622"/>
      <c r="P191" s="622"/>
      <c r="Q191" s="622"/>
    </row>
    <row r="192" spans="2:17" x14ac:dyDescent="0.35">
      <c r="B192" s="401" t="s">
        <v>1126</v>
      </c>
      <c r="C192" s="87">
        <v>21691.419504349891</v>
      </c>
      <c r="D192" s="405">
        <v>8070.8356320000003</v>
      </c>
      <c r="E192" s="416">
        <v>29762.255136349893</v>
      </c>
      <c r="F192" s="341">
        <v>0.2</v>
      </c>
      <c r="G192" s="437">
        <v>26029.703405219869</v>
      </c>
      <c r="K192" s="622"/>
      <c r="L192" s="622"/>
      <c r="M192" s="622"/>
      <c r="N192" s="622"/>
      <c r="O192" s="622"/>
      <c r="P192" s="622"/>
      <c r="Q192" s="622"/>
    </row>
    <row r="193" spans="2:20" x14ac:dyDescent="0.35">
      <c r="B193" s="401" t="s">
        <v>1128</v>
      </c>
      <c r="C193" s="87">
        <v>25418.880995667911</v>
      </c>
      <c r="D193" s="405">
        <v>10774.060656</v>
      </c>
      <c r="E193" s="416">
        <v>36192.941651667912</v>
      </c>
      <c r="F193" s="341">
        <v>0.2</v>
      </c>
      <c r="G193" s="437">
        <v>30502.65719480149</v>
      </c>
      <c r="K193" s="622"/>
      <c r="L193" s="622"/>
      <c r="M193" s="622"/>
      <c r="N193" s="622"/>
      <c r="O193" s="622"/>
      <c r="P193" s="622"/>
      <c r="Q193" s="622"/>
    </row>
    <row r="194" spans="2:20" ht="18" thickBot="1" x14ac:dyDescent="0.4">
      <c r="B194" s="403" t="s">
        <v>1129</v>
      </c>
      <c r="C194" s="438">
        <v>19725.38795939499</v>
      </c>
      <c r="D194" s="407">
        <v>7048.0637120000001</v>
      </c>
      <c r="E194" s="439">
        <v>26773.451671394989</v>
      </c>
      <c r="F194" s="421">
        <v>0.2</v>
      </c>
      <c r="G194" s="428">
        <v>23670.465551273988</v>
      </c>
      <c r="K194" s="622"/>
      <c r="L194" s="622"/>
      <c r="M194" s="622"/>
      <c r="N194" s="622"/>
      <c r="O194" s="622"/>
      <c r="P194" s="622"/>
      <c r="Q194" s="622"/>
    </row>
    <row r="195" spans="2:20" x14ac:dyDescent="0.35">
      <c r="K195" s="622"/>
      <c r="L195" s="622"/>
      <c r="M195" s="622"/>
      <c r="N195" s="622"/>
      <c r="O195" s="622"/>
      <c r="P195" s="622"/>
      <c r="Q195" s="622"/>
    </row>
    <row r="196" spans="2:20" ht="18" thickBot="1" x14ac:dyDescent="0.4">
      <c r="B196" s="133" t="s">
        <v>1157</v>
      </c>
      <c r="K196" s="622"/>
      <c r="L196" s="622"/>
      <c r="M196" s="622"/>
      <c r="N196" s="622"/>
      <c r="O196" s="622"/>
      <c r="P196" s="622"/>
      <c r="Q196" s="622"/>
    </row>
    <row r="197" spans="2:20" ht="18" thickBot="1" x14ac:dyDescent="0.4">
      <c r="B197" s="627" t="s">
        <v>1130</v>
      </c>
      <c r="C197" s="628"/>
      <c r="D197" s="628"/>
      <c r="E197" s="629"/>
      <c r="K197" s="622"/>
      <c r="L197" s="622"/>
      <c r="M197" s="622"/>
      <c r="N197" s="622"/>
      <c r="O197" s="622"/>
      <c r="P197" s="622"/>
      <c r="Q197" s="622"/>
    </row>
    <row r="198" spans="2:20" x14ac:dyDescent="0.35">
      <c r="B198" s="525"/>
      <c r="C198" s="2" t="s">
        <v>907</v>
      </c>
      <c r="D198" s="2" t="s">
        <v>913</v>
      </c>
      <c r="E198" s="526" t="s">
        <v>1134</v>
      </c>
      <c r="K198" s="622"/>
      <c r="L198" s="622"/>
      <c r="M198" s="622"/>
      <c r="N198" s="622"/>
      <c r="O198" s="622"/>
      <c r="P198" s="622"/>
      <c r="Q198" s="622"/>
    </row>
    <row r="199" spans="2:20" x14ac:dyDescent="0.35">
      <c r="B199" s="525" t="s">
        <v>1098</v>
      </c>
      <c r="C199" s="412">
        <v>21691.419504349891</v>
      </c>
      <c r="D199" s="412">
        <v>25418.880995667911</v>
      </c>
      <c r="E199" s="529">
        <v>19725.38795939499</v>
      </c>
    </row>
    <row r="200" spans="2:20" ht="18" thickBot="1" x14ac:dyDescent="0.4">
      <c r="B200" s="525" t="s">
        <v>1135</v>
      </c>
      <c r="C200" s="412">
        <v>8.752190226170157</v>
      </c>
      <c r="D200" s="412">
        <v>10.256169807875128</v>
      </c>
      <c r="E200" s="529">
        <v>7.958923466074264</v>
      </c>
      <c r="R200" s="622"/>
      <c r="S200" s="622"/>
      <c r="T200" s="622"/>
    </row>
    <row r="201" spans="2:20" ht="18" thickBot="1" x14ac:dyDescent="0.4">
      <c r="B201" s="627" t="s">
        <v>1136</v>
      </c>
      <c r="C201" s="628"/>
      <c r="D201" s="628"/>
      <c r="E201" s="629"/>
      <c r="R201" s="622"/>
      <c r="S201" s="622"/>
      <c r="T201" s="622"/>
    </row>
    <row r="202" spans="2:20" x14ac:dyDescent="0.35">
      <c r="B202" s="522"/>
      <c r="C202" s="523" t="s">
        <v>907</v>
      </c>
      <c r="D202" s="523" t="s">
        <v>913</v>
      </c>
      <c r="E202" s="524" t="s">
        <v>1134</v>
      </c>
      <c r="R202" s="622"/>
      <c r="S202" s="622"/>
      <c r="T202" s="622"/>
    </row>
    <row r="203" spans="2:20" x14ac:dyDescent="0.35">
      <c r="B203" s="525" t="s">
        <v>1137</v>
      </c>
      <c r="C203" s="412">
        <v>26029.703405219869</v>
      </c>
      <c r="D203" s="412">
        <v>30502.65719480149</v>
      </c>
      <c r="E203" s="529">
        <v>23670.465551273988</v>
      </c>
      <c r="R203" s="622"/>
      <c r="S203" s="622"/>
      <c r="T203" s="622"/>
    </row>
    <row r="204" spans="2:20" ht="18" thickBot="1" x14ac:dyDescent="0.4">
      <c r="B204" s="527" t="s">
        <v>1153</v>
      </c>
      <c r="C204" s="536">
        <v>26029.703405219869</v>
      </c>
      <c r="D204" s="537">
        <v>30502.65719480149</v>
      </c>
      <c r="E204" s="538">
        <v>49370.965551273985</v>
      </c>
      <c r="F204" s="416"/>
      <c r="R204" s="622"/>
      <c r="S204" s="622"/>
      <c r="T204" s="622"/>
    </row>
    <row r="205" spans="2:20" x14ac:dyDescent="0.35">
      <c r="R205" s="622"/>
      <c r="S205" s="622"/>
      <c r="T205" s="622"/>
    </row>
    <row r="206" spans="2:20" ht="18" thickBot="1" x14ac:dyDescent="0.4">
      <c r="B206" s="133" t="s">
        <v>1158</v>
      </c>
      <c r="R206" s="622"/>
      <c r="S206" s="622"/>
      <c r="T206" s="622"/>
    </row>
    <row r="207" spans="2:20" x14ac:dyDescent="0.35">
      <c r="B207" s="630" t="s">
        <v>1140</v>
      </c>
      <c r="C207" s="631"/>
      <c r="N207" s="622"/>
      <c r="O207" s="623"/>
      <c r="P207" s="623"/>
      <c r="Q207" s="623"/>
      <c r="R207" s="622"/>
      <c r="S207" s="622"/>
      <c r="T207" s="622"/>
    </row>
    <row r="208" spans="2:20" x14ac:dyDescent="0.35">
      <c r="B208" s="401" t="s">
        <v>1141</v>
      </c>
      <c r="C208" s="402">
        <v>10</v>
      </c>
      <c r="N208" s="623"/>
      <c r="O208" s="623"/>
      <c r="P208" s="623"/>
      <c r="Q208" s="623"/>
      <c r="R208" s="622"/>
      <c r="S208" s="622"/>
      <c r="T208" s="622"/>
    </row>
    <row r="209" spans="2:21" x14ac:dyDescent="0.35">
      <c r="B209" s="401" t="s">
        <v>1142</v>
      </c>
      <c r="C209" s="419">
        <v>0.12</v>
      </c>
      <c r="N209" s="623"/>
      <c r="O209" s="623"/>
      <c r="P209" s="623"/>
      <c r="Q209" s="623"/>
      <c r="R209" s="622"/>
      <c r="S209" s="622"/>
      <c r="T209" s="622"/>
    </row>
    <row r="210" spans="2:21" x14ac:dyDescent="0.35">
      <c r="B210" s="401" t="s">
        <v>1143</v>
      </c>
      <c r="C210" s="437">
        <v>39000.966</v>
      </c>
      <c r="N210" s="623"/>
      <c r="O210" s="623"/>
      <c r="P210" s="623"/>
      <c r="Q210" s="623"/>
      <c r="R210" s="622"/>
      <c r="S210" s="622"/>
      <c r="T210" s="622"/>
    </row>
    <row r="211" spans="2:21" x14ac:dyDescent="0.35">
      <c r="B211" s="401" t="s">
        <v>1144</v>
      </c>
      <c r="C211" s="430">
        <v>0.16500000000000001</v>
      </c>
      <c r="N211" s="623"/>
      <c r="O211" s="623"/>
      <c r="P211" s="623"/>
      <c r="Q211" s="623"/>
      <c r="R211" s="622"/>
      <c r="S211" s="622"/>
      <c r="T211" s="622"/>
    </row>
    <row r="212" spans="2:21" x14ac:dyDescent="0.35">
      <c r="B212" s="401" t="s">
        <v>1145</v>
      </c>
      <c r="C212" s="419">
        <v>7.0000000000000007E-2</v>
      </c>
      <c r="N212" s="623"/>
      <c r="O212" s="623"/>
      <c r="P212" s="623"/>
      <c r="Q212" s="623"/>
    </row>
    <row r="213" spans="2:21" x14ac:dyDescent="0.35">
      <c r="B213" s="401" t="s">
        <v>1146</v>
      </c>
      <c r="C213" s="419">
        <v>0.03</v>
      </c>
      <c r="N213" s="623"/>
      <c r="O213" s="623"/>
      <c r="P213" s="623"/>
      <c r="Q213" s="623"/>
    </row>
    <row r="214" spans="2:21" ht="18" thickBot="1" x14ac:dyDescent="0.4">
      <c r="B214" s="403" t="s">
        <v>1147</v>
      </c>
      <c r="C214" s="452">
        <v>7.0000000000000007E-2</v>
      </c>
      <c r="N214" s="623"/>
      <c r="O214" s="623"/>
      <c r="P214" s="623"/>
      <c r="Q214" s="623"/>
    </row>
    <row r="215" spans="2:21" ht="18" thickBot="1" x14ac:dyDescent="0.4">
      <c r="N215" s="623"/>
      <c r="O215" s="623"/>
      <c r="P215" s="623"/>
      <c r="Q215" s="623"/>
    </row>
    <row r="216" spans="2:21" x14ac:dyDescent="0.35">
      <c r="B216" s="453" t="s">
        <v>889</v>
      </c>
      <c r="C216" s="454">
        <v>2026</v>
      </c>
      <c r="D216" s="454">
        <v>2027</v>
      </c>
      <c r="E216" s="454">
        <v>2028</v>
      </c>
      <c r="F216" s="454">
        <v>2029</v>
      </c>
      <c r="G216" s="454">
        <v>2030</v>
      </c>
      <c r="H216" s="454">
        <v>2031</v>
      </c>
      <c r="I216" s="454">
        <v>2032</v>
      </c>
      <c r="J216" s="454">
        <v>2033</v>
      </c>
      <c r="K216" s="454">
        <v>2034</v>
      </c>
      <c r="L216" s="455">
        <v>2035</v>
      </c>
      <c r="N216" s="623"/>
      <c r="O216" s="623"/>
      <c r="P216" s="623"/>
      <c r="Q216" s="623"/>
    </row>
    <row r="217" spans="2:21" x14ac:dyDescent="0.35">
      <c r="B217" s="401" t="s">
        <v>1148</v>
      </c>
      <c r="C217" s="2">
        <v>1</v>
      </c>
      <c r="D217" s="2">
        <v>2</v>
      </c>
      <c r="E217" s="2">
        <v>3</v>
      </c>
      <c r="F217" s="2">
        <v>4</v>
      </c>
      <c r="G217" s="2">
        <v>5</v>
      </c>
      <c r="H217" s="2">
        <v>6</v>
      </c>
      <c r="I217" s="2">
        <v>7</v>
      </c>
      <c r="J217" s="2">
        <v>8</v>
      </c>
      <c r="K217" s="2">
        <v>9</v>
      </c>
      <c r="L217" s="402">
        <v>10</v>
      </c>
      <c r="N217" s="623"/>
      <c r="O217" s="623"/>
      <c r="P217" s="623"/>
      <c r="Q217" s="623"/>
    </row>
    <row r="218" spans="2:21" x14ac:dyDescent="0.35">
      <c r="B218" s="401" t="s">
        <v>1149</v>
      </c>
      <c r="C218" s="416">
        <v>327.60811440000003</v>
      </c>
      <c r="D218" s="416">
        <v>337.43635783200006</v>
      </c>
      <c r="E218" s="416">
        <v>347.55944856696004</v>
      </c>
      <c r="F218" s="416">
        <v>357.98623202396885</v>
      </c>
      <c r="G218" s="416">
        <v>368.72581898468792</v>
      </c>
      <c r="H218" s="416">
        <v>379.78759355422858</v>
      </c>
      <c r="I218" s="416">
        <v>391.18122136085543</v>
      </c>
      <c r="J218" s="416">
        <v>402.91665800168113</v>
      </c>
      <c r="K218" s="416">
        <v>415.00415774173155</v>
      </c>
      <c r="L218" s="420">
        <v>427.45428247398348</v>
      </c>
      <c r="N218" s="623"/>
      <c r="O218" s="623"/>
      <c r="P218" s="623"/>
      <c r="Q218" s="623"/>
    </row>
    <row r="219" spans="2:21" ht="18" thickBot="1" x14ac:dyDescent="0.4">
      <c r="B219" s="403" t="s">
        <v>1150</v>
      </c>
      <c r="C219" s="439">
        <v>306.17580785046732</v>
      </c>
      <c r="D219" s="439">
        <v>294.72998325792651</v>
      </c>
      <c r="E219" s="439">
        <v>283.71203995856473</v>
      </c>
      <c r="F219" s="439">
        <v>273.1059823900203</v>
      </c>
      <c r="G219" s="439">
        <v>262.89641295487928</v>
      </c>
      <c r="H219" s="439">
        <v>253.06850966684647</v>
      </c>
      <c r="I219" s="439">
        <v>243.60800463257181</v>
      </c>
      <c r="J219" s="439">
        <v>234.50116333789626</v>
      </c>
      <c r="K219" s="439">
        <v>225.73476470844216</v>
      </c>
      <c r="L219" s="422">
        <v>217.29608191560322</v>
      </c>
      <c r="N219" s="623"/>
      <c r="O219" s="623"/>
      <c r="P219" s="623"/>
      <c r="Q219" s="623"/>
    </row>
    <row r="220" spans="2:21" ht="18" thickBot="1" x14ac:dyDescent="0.4">
      <c r="B220" s="456" t="s">
        <v>1151</v>
      </c>
      <c r="C220" s="457">
        <v>2594.8287506732181</v>
      </c>
      <c r="R220" s="623"/>
      <c r="S220" s="623"/>
      <c r="T220" s="623"/>
      <c r="U220" s="623"/>
    </row>
    <row r="221" spans="2:21" x14ac:dyDescent="0.35">
      <c r="R221" s="623"/>
      <c r="S221" s="623"/>
      <c r="T221" s="623"/>
      <c r="U221" s="623"/>
    </row>
    <row r="222" spans="2:21" ht="18" thickBot="1" x14ac:dyDescent="0.4">
      <c r="B222" s="133" t="s">
        <v>1159</v>
      </c>
      <c r="R222" s="623"/>
      <c r="S222" s="623"/>
      <c r="T222" s="623"/>
      <c r="U222" s="623"/>
    </row>
    <row r="223" spans="2:21" x14ac:dyDescent="0.35">
      <c r="B223" s="646" t="s">
        <v>1109</v>
      </c>
      <c r="C223" s="647"/>
      <c r="R223" s="623"/>
      <c r="S223" s="623"/>
      <c r="T223" s="623"/>
      <c r="U223" s="623"/>
    </row>
    <row r="224" spans="2:21" x14ac:dyDescent="0.35">
      <c r="B224" s="401" t="s">
        <v>1110</v>
      </c>
      <c r="C224" s="429">
        <v>3.688375074786121E-2</v>
      </c>
      <c r="R224" s="623"/>
      <c r="S224" s="623"/>
      <c r="T224" s="623"/>
      <c r="U224" s="623"/>
    </row>
    <row r="225" spans="2:21" ht="18" thickBot="1" x14ac:dyDescent="0.4">
      <c r="B225" s="403" t="s">
        <v>1111</v>
      </c>
      <c r="C225" s="404">
        <v>15895.476860799999</v>
      </c>
      <c r="R225" s="623"/>
      <c r="S225" s="623"/>
      <c r="T225" s="623"/>
      <c r="U225" s="623"/>
    </row>
    <row r="226" spans="2:21" ht="18" thickBot="1" x14ac:dyDescent="0.4">
      <c r="R226" s="623"/>
      <c r="S226" s="623"/>
      <c r="T226" s="623"/>
      <c r="U226" s="623"/>
    </row>
    <row r="227" spans="2:21" x14ac:dyDescent="0.35">
      <c r="B227" s="648" t="s">
        <v>1112</v>
      </c>
      <c r="C227" s="649"/>
      <c r="R227" s="623"/>
      <c r="S227" s="623"/>
      <c r="T227" s="623"/>
      <c r="U227" s="623"/>
    </row>
    <row r="228" spans="2:21" x14ac:dyDescent="0.35">
      <c r="B228" s="401" t="s">
        <v>1113</v>
      </c>
      <c r="C228" s="430">
        <v>6.4802865250805072E-2</v>
      </c>
      <c r="R228" s="623"/>
      <c r="S228" s="623"/>
      <c r="T228" s="623"/>
      <c r="U228" s="623"/>
    </row>
    <row r="229" spans="2:21" ht="18" thickBot="1" x14ac:dyDescent="0.4">
      <c r="B229" s="403" t="s">
        <v>1114</v>
      </c>
      <c r="C229" s="433">
        <v>13483.496783160001</v>
      </c>
      <c r="R229" s="623"/>
      <c r="S229" s="623"/>
      <c r="T229" s="623"/>
      <c r="U229" s="623"/>
    </row>
    <row r="230" spans="2:21" x14ac:dyDescent="0.35">
      <c r="R230" s="623"/>
      <c r="S230" s="623"/>
      <c r="T230" s="623"/>
      <c r="U230" s="623"/>
    </row>
    <row r="231" spans="2:21" x14ac:dyDescent="0.35">
      <c r="R231" s="623"/>
      <c r="S231" s="623"/>
      <c r="T231" s="623"/>
      <c r="U231" s="623"/>
    </row>
    <row r="232" spans="2:21" x14ac:dyDescent="0.35">
      <c r="R232" s="623"/>
      <c r="S232" s="623"/>
      <c r="T232" s="623"/>
      <c r="U232" s="623"/>
    </row>
  </sheetData>
  <mergeCells count="3">
    <mergeCell ref="C6:F6"/>
    <mergeCell ref="B223:C223"/>
    <mergeCell ref="B227:C227"/>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2</vt:i4>
      </vt:variant>
    </vt:vector>
  </HeadingPairs>
  <TitlesOfParts>
    <vt:vector size="24" baseType="lpstr">
      <vt:lpstr>NFLX Income Statement - GAAP</vt:lpstr>
      <vt:lpstr>NFLX Balance Sheet </vt:lpstr>
      <vt:lpstr>NFLX Cash Flow - Standardized</vt:lpstr>
      <vt:lpstr>NFLX DDIS</vt:lpstr>
      <vt:lpstr>PSKY Income Statement - GAAP </vt:lpstr>
      <vt:lpstr>PSKY Balance Sheet</vt:lpstr>
      <vt:lpstr>PSKY Cash Flow - Standardized</vt:lpstr>
      <vt:lpstr>PSKY DDIS</vt:lpstr>
      <vt:lpstr>WBD Income Statement - GAAP</vt:lpstr>
      <vt:lpstr>WBD Balance Sheet</vt:lpstr>
      <vt:lpstr>WBD Cash Flow - Standardized</vt:lpstr>
      <vt:lpstr>WBD DDIS</vt:lpstr>
      <vt:lpstr>WBD Adj Highlights</vt:lpstr>
      <vt:lpstr>WBD Benchmark</vt:lpstr>
      <vt:lpstr>WBD Profitability Ratios</vt:lpstr>
      <vt:lpstr>WBD Segments</vt:lpstr>
      <vt:lpstr>WBD SOTP</vt:lpstr>
      <vt:lpstr>Studios DCF</vt:lpstr>
      <vt:lpstr>Networks DCF</vt:lpstr>
      <vt:lpstr>Streaming DCF</vt:lpstr>
      <vt:lpstr>Bid Ceiling</vt:lpstr>
      <vt:lpstr>Results</vt:lpstr>
      <vt:lpstr>tgr</vt:lpstr>
      <vt:lpstr>wacc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lzweig</dc:creator>
  <cp:keywords/>
  <dc:description/>
  <cp:lastModifiedBy>andrea antonuzzo</cp:lastModifiedBy>
  <cp:revision/>
  <dcterms:created xsi:type="dcterms:W3CDTF">2013-04-03T15:49:21Z</dcterms:created>
  <dcterms:modified xsi:type="dcterms:W3CDTF">2026-01-25T21:31:12Z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73fd474-4f3c-44ed-88fb-5cc4bd2471bf_Enabled">
    <vt:lpwstr>true</vt:lpwstr>
  </property>
  <property fmtid="{D5CDD505-2E9C-101B-9397-08002B2CF9AE}" pid="3" name="MSIP_Label_a73fd474-4f3c-44ed-88fb-5cc4bd2471bf_SetDate">
    <vt:lpwstr>2025-12-10T21:28:12Z</vt:lpwstr>
  </property>
  <property fmtid="{D5CDD505-2E9C-101B-9397-08002B2CF9AE}" pid="4" name="MSIP_Label_a73fd474-4f3c-44ed-88fb-5cc4bd2471bf_Method">
    <vt:lpwstr>Privileged</vt:lpwstr>
  </property>
  <property fmtid="{D5CDD505-2E9C-101B-9397-08002B2CF9AE}" pid="5" name="MSIP_Label_a73fd474-4f3c-44ed-88fb-5cc4bd2471bf_Name">
    <vt:lpwstr>defa4170-0d19-0005-0004-bc88714345d2</vt:lpwstr>
  </property>
  <property fmtid="{D5CDD505-2E9C-101B-9397-08002B2CF9AE}" pid="6" name="MSIP_Label_a73fd474-4f3c-44ed-88fb-5cc4bd2471bf_SiteId">
    <vt:lpwstr>8d1a69ec-03b5-4345-ae21-dad112f5fb4f</vt:lpwstr>
  </property>
  <property fmtid="{D5CDD505-2E9C-101B-9397-08002B2CF9AE}" pid="7" name="MSIP_Label_a73fd474-4f3c-44ed-88fb-5cc4bd2471bf_ActionId">
    <vt:lpwstr>02084734-ec25-4a2f-8289-855026b78edf</vt:lpwstr>
  </property>
  <property fmtid="{D5CDD505-2E9C-101B-9397-08002B2CF9AE}" pid="8" name="MSIP_Label_a73fd474-4f3c-44ed-88fb-5cc4bd2471bf_ContentBits">
    <vt:lpwstr>0</vt:lpwstr>
  </property>
  <property fmtid="{D5CDD505-2E9C-101B-9397-08002B2CF9AE}" pid="9" name="MSIP_Label_a73fd474-4f3c-44ed-88fb-5cc4bd2471bf_Tag">
    <vt:lpwstr>50, 0, 1, 1</vt:lpwstr>
  </property>
</Properties>
</file>