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Desktop\Sito Andrea\"/>
    </mc:Choice>
  </mc:AlternateContent>
  <xr:revisionPtr revIDLastSave="0" documentId="13_ncr:1_{89C6BA39-B9F0-4BC3-8658-BCB2C8FA3698}" xr6:coauthVersionLast="47" xr6:coauthVersionMax="47" xr10:uidLastSave="{00000000-0000-0000-0000-000000000000}"/>
  <bookViews>
    <workbookView xWindow="-108" yWindow="-108" windowWidth="23256" windowHeight="13896" firstSheet="1" activeTab="4" xr2:uid="{00000000-000D-0000-FFFF-FFFF00000000}"/>
  </bookViews>
  <sheets>
    <sheet name="BalanceSheet" sheetId="2" r:id="rId1"/>
    <sheet name="Income Statment" sheetId="1" r:id="rId2"/>
    <sheet name="Store performances (Hypothesis)" sheetId="5" r:id="rId3"/>
    <sheet name="KPIs" sheetId="3" r:id="rId4"/>
    <sheet name="Turnaround Impact Summary" sheetId="4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4" l="1"/>
  <c r="D4" i="3"/>
  <c r="C4" i="3"/>
  <c r="C5" i="3" s="1"/>
  <c r="D8" i="3"/>
  <c r="C8" i="3"/>
  <c r="B8" i="3"/>
  <c r="I9" i="4"/>
  <c r="I11" i="4" s="1"/>
  <c r="I19" i="4" s="1"/>
  <c r="C3" i="4"/>
  <c r="C8" i="4" s="1"/>
  <c r="J2" i="5"/>
  <c r="J19" i="5"/>
  <c r="J23" i="5"/>
  <c r="J24" i="5"/>
  <c r="J43" i="5"/>
  <c r="J47" i="5"/>
  <c r="J48" i="5"/>
  <c r="J67" i="5"/>
  <c r="J71" i="5"/>
  <c r="J72" i="5"/>
  <c r="J88" i="5"/>
  <c r="J91" i="5"/>
  <c r="J96" i="5"/>
  <c r="J107" i="5"/>
  <c r="J112" i="5"/>
  <c r="J115" i="5"/>
  <c r="J120" i="5"/>
  <c r="J131" i="5"/>
  <c r="J136" i="5"/>
  <c r="J139" i="5"/>
  <c r="J155" i="5"/>
  <c r="J160" i="5"/>
  <c r="J163" i="5"/>
  <c r="J179" i="5"/>
  <c r="J184" i="5"/>
  <c r="J187" i="5"/>
  <c r="J190" i="5"/>
  <c r="J203" i="5"/>
  <c r="J211" i="5"/>
  <c r="J214" i="5"/>
  <c r="J227" i="5"/>
  <c r="J235" i="5"/>
  <c r="J251" i="5"/>
  <c r="J255" i="5"/>
  <c r="J259" i="5"/>
  <c r="J275" i="5"/>
  <c r="J279" i="5"/>
  <c r="J280" i="5"/>
  <c r="J299" i="5"/>
  <c r="J303" i="5"/>
  <c r="J304" i="5"/>
  <c r="J323" i="5"/>
  <c r="J327" i="5"/>
  <c r="J328" i="5"/>
  <c r="J344" i="5"/>
  <c r="J347" i="5"/>
  <c r="J352" i="5"/>
  <c r="J363" i="5"/>
  <c r="J368" i="5"/>
  <c r="J371" i="5"/>
  <c r="J387" i="5"/>
  <c r="J395" i="5"/>
  <c r="J399" i="5"/>
  <c r="J411" i="5"/>
  <c r="J419" i="5"/>
  <c r="J423" i="5"/>
  <c r="J435" i="5"/>
  <c r="J443" i="5"/>
  <c r="J451" i="5"/>
  <c r="J467" i="5"/>
  <c r="D470" i="5"/>
  <c r="J470" i="5" s="1"/>
  <c r="D469" i="5"/>
  <c r="J469" i="5" s="1"/>
  <c r="D468" i="5"/>
  <c r="J468" i="5" s="1"/>
  <c r="D467" i="5"/>
  <c r="D466" i="5"/>
  <c r="J466" i="5" s="1"/>
  <c r="D465" i="5"/>
  <c r="J465" i="5" s="1"/>
  <c r="D464" i="5"/>
  <c r="J464" i="5" s="1"/>
  <c r="D463" i="5"/>
  <c r="J463" i="5" s="1"/>
  <c r="D462" i="5"/>
  <c r="J462" i="5" s="1"/>
  <c r="D461" i="5"/>
  <c r="J461" i="5" s="1"/>
  <c r="D460" i="5"/>
  <c r="J460" i="5" s="1"/>
  <c r="D459" i="5"/>
  <c r="J459" i="5" s="1"/>
  <c r="D458" i="5"/>
  <c r="J458" i="5" s="1"/>
  <c r="D457" i="5"/>
  <c r="J457" i="5" s="1"/>
  <c r="D456" i="5"/>
  <c r="J456" i="5" s="1"/>
  <c r="D455" i="5"/>
  <c r="J455" i="5" s="1"/>
  <c r="D454" i="5"/>
  <c r="J454" i="5" s="1"/>
  <c r="D453" i="5"/>
  <c r="J453" i="5" s="1"/>
  <c r="D452" i="5"/>
  <c r="J452" i="5" s="1"/>
  <c r="D451" i="5"/>
  <c r="D450" i="5"/>
  <c r="J450" i="5" s="1"/>
  <c r="D449" i="5"/>
  <c r="J449" i="5" s="1"/>
  <c r="D448" i="5"/>
  <c r="J448" i="5" s="1"/>
  <c r="D447" i="5"/>
  <c r="J447" i="5" s="1"/>
  <c r="D446" i="5"/>
  <c r="J446" i="5" s="1"/>
  <c r="D445" i="5"/>
  <c r="J445" i="5" s="1"/>
  <c r="D444" i="5"/>
  <c r="J444" i="5" s="1"/>
  <c r="D443" i="5"/>
  <c r="D442" i="5"/>
  <c r="J442" i="5" s="1"/>
  <c r="D441" i="5"/>
  <c r="J441" i="5" s="1"/>
  <c r="D440" i="5"/>
  <c r="J440" i="5" s="1"/>
  <c r="D439" i="5"/>
  <c r="J439" i="5" s="1"/>
  <c r="D438" i="5"/>
  <c r="J438" i="5" s="1"/>
  <c r="D437" i="5"/>
  <c r="J437" i="5" s="1"/>
  <c r="D436" i="5"/>
  <c r="J436" i="5" s="1"/>
  <c r="D435" i="5"/>
  <c r="D434" i="5"/>
  <c r="J434" i="5" s="1"/>
  <c r="D433" i="5"/>
  <c r="J433" i="5" s="1"/>
  <c r="D432" i="5"/>
  <c r="J432" i="5" s="1"/>
  <c r="D431" i="5"/>
  <c r="J431" i="5" s="1"/>
  <c r="D430" i="5"/>
  <c r="J430" i="5" s="1"/>
  <c r="D429" i="5"/>
  <c r="J429" i="5" s="1"/>
  <c r="D428" i="5"/>
  <c r="J428" i="5" s="1"/>
  <c r="D427" i="5"/>
  <c r="J427" i="5" s="1"/>
  <c r="D426" i="5"/>
  <c r="J426" i="5" s="1"/>
  <c r="D425" i="5"/>
  <c r="J425" i="5" s="1"/>
  <c r="D424" i="5"/>
  <c r="J424" i="5" s="1"/>
  <c r="D423" i="5"/>
  <c r="D422" i="5"/>
  <c r="J422" i="5" s="1"/>
  <c r="D421" i="5"/>
  <c r="J421" i="5" s="1"/>
  <c r="D420" i="5"/>
  <c r="J420" i="5" s="1"/>
  <c r="D419" i="5"/>
  <c r="D418" i="5"/>
  <c r="J418" i="5" s="1"/>
  <c r="D417" i="5"/>
  <c r="J417" i="5" s="1"/>
  <c r="D416" i="5"/>
  <c r="J416" i="5" s="1"/>
  <c r="D415" i="5"/>
  <c r="J415" i="5" s="1"/>
  <c r="D414" i="5"/>
  <c r="J414" i="5" s="1"/>
  <c r="D413" i="5"/>
  <c r="J413" i="5" s="1"/>
  <c r="D412" i="5"/>
  <c r="J412" i="5" s="1"/>
  <c r="D411" i="5"/>
  <c r="D410" i="5"/>
  <c r="J410" i="5" s="1"/>
  <c r="D409" i="5"/>
  <c r="J409" i="5" s="1"/>
  <c r="D408" i="5"/>
  <c r="J408" i="5" s="1"/>
  <c r="D407" i="5"/>
  <c r="J407" i="5" s="1"/>
  <c r="D406" i="5"/>
  <c r="J406" i="5" s="1"/>
  <c r="D405" i="5"/>
  <c r="J405" i="5" s="1"/>
  <c r="D404" i="5"/>
  <c r="J404" i="5" s="1"/>
  <c r="D403" i="5"/>
  <c r="J403" i="5" s="1"/>
  <c r="D402" i="5"/>
  <c r="J402" i="5" s="1"/>
  <c r="D401" i="5"/>
  <c r="J401" i="5" s="1"/>
  <c r="D400" i="5"/>
  <c r="J400" i="5" s="1"/>
  <c r="D399" i="5"/>
  <c r="D398" i="5"/>
  <c r="J398" i="5" s="1"/>
  <c r="D397" i="5"/>
  <c r="J397" i="5" s="1"/>
  <c r="D396" i="5"/>
  <c r="J396" i="5" s="1"/>
  <c r="D395" i="5"/>
  <c r="D394" i="5"/>
  <c r="J394" i="5" s="1"/>
  <c r="D393" i="5"/>
  <c r="J393" i="5" s="1"/>
  <c r="D392" i="5"/>
  <c r="J392" i="5" s="1"/>
  <c r="D391" i="5"/>
  <c r="J391" i="5" s="1"/>
  <c r="D390" i="5"/>
  <c r="J390" i="5" s="1"/>
  <c r="D389" i="5"/>
  <c r="J389" i="5" s="1"/>
  <c r="D388" i="5"/>
  <c r="J388" i="5" s="1"/>
  <c r="D387" i="5"/>
  <c r="D386" i="5"/>
  <c r="J386" i="5" s="1"/>
  <c r="D385" i="5"/>
  <c r="J385" i="5" s="1"/>
  <c r="D384" i="5"/>
  <c r="J384" i="5" s="1"/>
  <c r="D383" i="5"/>
  <c r="J383" i="5" s="1"/>
  <c r="D382" i="5"/>
  <c r="J382" i="5" s="1"/>
  <c r="D381" i="5"/>
  <c r="J381" i="5" s="1"/>
  <c r="D380" i="5"/>
  <c r="J380" i="5" s="1"/>
  <c r="D379" i="5"/>
  <c r="J379" i="5" s="1"/>
  <c r="D378" i="5"/>
  <c r="J378" i="5" s="1"/>
  <c r="D377" i="5"/>
  <c r="J377" i="5" s="1"/>
  <c r="D376" i="5"/>
  <c r="J376" i="5" s="1"/>
  <c r="D375" i="5"/>
  <c r="J375" i="5" s="1"/>
  <c r="D374" i="5"/>
  <c r="J374" i="5" s="1"/>
  <c r="D373" i="5"/>
  <c r="J373" i="5" s="1"/>
  <c r="D372" i="5"/>
  <c r="J372" i="5" s="1"/>
  <c r="D371" i="5"/>
  <c r="D370" i="5"/>
  <c r="J370" i="5" s="1"/>
  <c r="D369" i="5"/>
  <c r="J369" i="5" s="1"/>
  <c r="D368" i="5"/>
  <c r="D367" i="5"/>
  <c r="J367" i="5" s="1"/>
  <c r="D366" i="5"/>
  <c r="J366" i="5" s="1"/>
  <c r="D365" i="5"/>
  <c r="J365" i="5" s="1"/>
  <c r="D364" i="5"/>
  <c r="J364" i="5" s="1"/>
  <c r="D363" i="5"/>
  <c r="D362" i="5"/>
  <c r="J362" i="5" s="1"/>
  <c r="D361" i="5"/>
  <c r="J361" i="5" s="1"/>
  <c r="D360" i="5"/>
  <c r="J360" i="5" s="1"/>
  <c r="D359" i="5"/>
  <c r="J359" i="5" s="1"/>
  <c r="D358" i="5"/>
  <c r="J358" i="5" s="1"/>
  <c r="D357" i="5"/>
  <c r="J357" i="5" s="1"/>
  <c r="D356" i="5"/>
  <c r="J356" i="5" s="1"/>
  <c r="D355" i="5"/>
  <c r="J355" i="5" s="1"/>
  <c r="D354" i="5"/>
  <c r="J354" i="5" s="1"/>
  <c r="D353" i="5"/>
  <c r="J353" i="5" s="1"/>
  <c r="D352" i="5"/>
  <c r="D351" i="5"/>
  <c r="J351" i="5" s="1"/>
  <c r="D350" i="5"/>
  <c r="J350" i="5" s="1"/>
  <c r="D349" i="5"/>
  <c r="J349" i="5" s="1"/>
  <c r="D348" i="5"/>
  <c r="J348" i="5" s="1"/>
  <c r="D347" i="5"/>
  <c r="D346" i="5"/>
  <c r="J346" i="5" s="1"/>
  <c r="D345" i="5"/>
  <c r="J345" i="5" s="1"/>
  <c r="D344" i="5"/>
  <c r="D343" i="5"/>
  <c r="J343" i="5" s="1"/>
  <c r="D342" i="5"/>
  <c r="J342" i="5" s="1"/>
  <c r="D341" i="5"/>
  <c r="J341" i="5" s="1"/>
  <c r="D340" i="5"/>
  <c r="J340" i="5" s="1"/>
  <c r="D339" i="5"/>
  <c r="J339" i="5" s="1"/>
  <c r="D338" i="5"/>
  <c r="J338" i="5" s="1"/>
  <c r="D337" i="5"/>
  <c r="J337" i="5" s="1"/>
  <c r="D336" i="5"/>
  <c r="J336" i="5" s="1"/>
  <c r="D335" i="5"/>
  <c r="J335" i="5" s="1"/>
  <c r="D334" i="5"/>
  <c r="J334" i="5" s="1"/>
  <c r="D333" i="5"/>
  <c r="J333" i="5" s="1"/>
  <c r="D332" i="5"/>
  <c r="J332" i="5" s="1"/>
  <c r="D331" i="5"/>
  <c r="J331" i="5" s="1"/>
  <c r="D330" i="5"/>
  <c r="J330" i="5" s="1"/>
  <c r="D329" i="5"/>
  <c r="J329" i="5" s="1"/>
  <c r="D328" i="5"/>
  <c r="D327" i="5"/>
  <c r="D326" i="5"/>
  <c r="J326" i="5" s="1"/>
  <c r="D325" i="5"/>
  <c r="J325" i="5" s="1"/>
  <c r="D324" i="5"/>
  <c r="J324" i="5" s="1"/>
  <c r="D323" i="5"/>
  <c r="D322" i="5"/>
  <c r="J322" i="5" s="1"/>
  <c r="D321" i="5"/>
  <c r="J321" i="5" s="1"/>
  <c r="D320" i="5"/>
  <c r="J320" i="5" s="1"/>
  <c r="D319" i="5"/>
  <c r="J319" i="5" s="1"/>
  <c r="D318" i="5"/>
  <c r="J318" i="5" s="1"/>
  <c r="D317" i="5"/>
  <c r="J317" i="5" s="1"/>
  <c r="D316" i="5"/>
  <c r="J316" i="5" s="1"/>
  <c r="D315" i="5"/>
  <c r="J315" i="5" s="1"/>
  <c r="D314" i="5"/>
  <c r="J314" i="5" s="1"/>
  <c r="D313" i="5"/>
  <c r="J313" i="5" s="1"/>
  <c r="D312" i="5"/>
  <c r="J312" i="5" s="1"/>
  <c r="D311" i="5"/>
  <c r="J311" i="5" s="1"/>
  <c r="D310" i="5"/>
  <c r="J310" i="5" s="1"/>
  <c r="D309" i="5"/>
  <c r="J309" i="5" s="1"/>
  <c r="D308" i="5"/>
  <c r="J308" i="5" s="1"/>
  <c r="D307" i="5"/>
  <c r="J307" i="5" s="1"/>
  <c r="D306" i="5"/>
  <c r="J306" i="5" s="1"/>
  <c r="D305" i="5"/>
  <c r="J305" i="5" s="1"/>
  <c r="D304" i="5"/>
  <c r="D303" i="5"/>
  <c r="D302" i="5"/>
  <c r="J302" i="5" s="1"/>
  <c r="D301" i="5"/>
  <c r="J301" i="5" s="1"/>
  <c r="D300" i="5"/>
  <c r="J300" i="5" s="1"/>
  <c r="D299" i="5"/>
  <c r="D298" i="5"/>
  <c r="J298" i="5" s="1"/>
  <c r="D297" i="5"/>
  <c r="J297" i="5" s="1"/>
  <c r="D296" i="5"/>
  <c r="J296" i="5" s="1"/>
  <c r="D295" i="5"/>
  <c r="J295" i="5" s="1"/>
  <c r="D294" i="5"/>
  <c r="J294" i="5" s="1"/>
  <c r="D293" i="5"/>
  <c r="J293" i="5" s="1"/>
  <c r="D292" i="5"/>
  <c r="J292" i="5" s="1"/>
  <c r="D291" i="5"/>
  <c r="J291" i="5" s="1"/>
  <c r="D290" i="5"/>
  <c r="J290" i="5" s="1"/>
  <c r="D289" i="5"/>
  <c r="J289" i="5" s="1"/>
  <c r="D288" i="5"/>
  <c r="J288" i="5" s="1"/>
  <c r="D287" i="5"/>
  <c r="J287" i="5" s="1"/>
  <c r="D286" i="5"/>
  <c r="J286" i="5" s="1"/>
  <c r="D285" i="5"/>
  <c r="J285" i="5" s="1"/>
  <c r="D284" i="5"/>
  <c r="J284" i="5" s="1"/>
  <c r="D283" i="5"/>
  <c r="J283" i="5" s="1"/>
  <c r="D282" i="5"/>
  <c r="J282" i="5" s="1"/>
  <c r="D281" i="5"/>
  <c r="J281" i="5" s="1"/>
  <c r="D280" i="5"/>
  <c r="D279" i="5"/>
  <c r="D278" i="5"/>
  <c r="J278" i="5" s="1"/>
  <c r="D277" i="5"/>
  <c r="J277" i="5" s="1"/>
  <c r="D276" i="5"/>
  <c r="J276" i="5" s="1"/>
  <c r="D275" i="5"/>
  <c r="D274" i="5"/>
  <c r="J274" i="5" s="1"/>
  <c r="D273" i="5"/>
  <c r="J273" i="5" s="1"/>
  <c r="D272" i="5"/>
  <c r="J272" i="5" s="1"/>
  <c r="D271" i="5"/>
  <c r="J271" i="5" s="1"/>
  <c r="D270" i="5"/>
  <c r="J270" i="5" s="1"/>
  <c r="D269" i="5"/>
  <c r="J269" i="5" s="1"/>
  <c r="D268" i="5"/>
  <c r="J268" i="5" s="1"/>
  <c r="D267" i="5"/>
  <c r="J267" i="5" s="1"/>
  <c r="D266" i="5"/>
  <c r="J266" i="5" s="1"/>
  <c r="D265" i="5"/>
  <c r="J265" i="5" s="1"/>
  <c r="D264" i="5"/>
  <c r="J264" i="5" s="1"/>
  <c r="D263" i="5"/>
  <c r="J263" i="5" s="1"/>
  <c r="D262" i="5"/>
  <c r="J262" i="5" s="1"/>
  <c r="D261" i="5"/>
  <c r="J261" i="5" s="1"/>
  <c r="D260" i="5"/>
  <c r="J260" i="5" s="1"/>
  <c r="D259" i="5"/>
  <c r="D258" i="5"/>
  <c r="J258" i="5" s="1"/>
  <c r="D257" i="5"/>
  <c r="J257" i="5" s="1"/>
  <c r="D256" i="5"/>
  <c r="J256" i="5" s="1"/>
  <c r="D255" i="5"/>
  <c r="D254" i="5"/>
  <c r="J254" i="5" s="1"/>
  <c r="D253" i="5"/>
  <c r="J253" i="5" s="1"/>
  <c r="D252" i="5"/>
  <c r="J252" i="5" s="1"/>
  <c r="D251" i="5"/>
  <c r="D250" i="5"/>
  <c r="J250" i="5" s="1"/>
  <c r="D249" i="5"/>
  <c r="J249" i="5" s="1"/>
  <c r="D248" i="5"/>
  <c r="J248" i="5" s="1"/>
  <c r="D247" i="5"/>
  <c r="J247" i="5" s="1"/>
  <c r="D246" i="5"/>
  <c r="J246" i="5" s="1"/>
  <c r="D245" i="5"/>
  <c r="J245" i="5" s="1"/>
  <c r="D244" i="5"/>
  <c r="J244" i="5" s="1"/>
  <c r="D243" i="5"/>
  <c r="J243" i="5" s="1"/>
  <c r="D242" i="5"/>
  <c r="J242" i="5" s="1"/>
  <c r="D241" i="5"/>
  <c r="J241" i="5" s="1"/>
  <c r="D240" i="5"/>
  <c r="J240" i="5" s="1"/>
  <c r="D239" i="5"/>
  <c r="J239" i="5" s="1"/>
  <c r="D238" i="5"/>
  <c r="J238" i="5" s="1"/>
  <c r="D237" i="5"/>
  <c r="J237" i="5" s="1"/>
  <c r="D236" i="5"/>
  <c r="J236" i="5" s="1"/>
  <c r="D235" i="5"/>
  <c r="D234" i="5"/>
  <c r="J234" i="5" s="1"/>
  <c r="D233" i="5"/>
  <c r="J233" i="5" s="1"/>
  <c r="D232" i="5"/>
  <c r="J232" i="5" s="1"/>
  <c r="D231" i="5"/>
  <c r="J231" i="5" s="1"/>
  <c r="D230" i="5"/>
  <c r="J230" i="5" s="1"/>
  <c r="D229" i="5"/>
  <c r="J229" i="5" s="1"/>
  <c r="D228" i="5"/>
  <c r="J228" i="5" s="1"/>
  <c r="D227" i="5"/>
  <c r="D226" i="5"/>
  <c r="J226" i="5" s="1"/>
  <c r="D225" i="5"/>
  <c r="J225" i="5" s="1"/>
  <c r="D224" i="5"/>
  <c r="J224" i="5" s="1"/>
  <c r="D223" i="5"/>
  <c r="J223" i="5" s="1"/>
  <c r="D222" i="5"/>
  <c r="J222" i="5" s="1"/>
  <c r="D221" i="5"/>
  <c r="J221" i="5" s="1"/>
  <c r="D220" i="5"/>
  <c r="J220" i="5" s="1"/>
  <c r="D219" i="5"/>
  <c r="J219" i="5" s="1"/>
  <c r="D218" i="5"/>
  <c r="J218" i="5" s="1"/>
  <c r="D217" i="5"/>
  <c r="J217" i="5" s="1"/>
  <c r="D216" i="5"/>
  <c r="J216" i="5" s="1"/>
  <c r="D215" i="5"/>
  <c r="J215" i="5" s="1"/>
  <c r="D214" i="5"/>
  <c r="D213" i="5"/>
  <c r="J213" i="5" s="1"/>
  <c r="D212" i="5"/>
  <c r="J212" i="5" s="1"/>
  <c r="D211" i="5"/>
  <c r="D210" i="5"/>
  <c r="J210" i="5" s="1"/>
  <c r="D209" i="5"/>
  <c r="J209" i="5" s="1"/>
  <c r="D208" i="5"/>
  <c r="J208" i="5" s="1"/>
  <c r="D207" i="5"/>
  <c r="J207" i="5" s="1"/>
  <c r="D206" i="5"/>
  <c r="J206" i="5" s="1"/>
  <c r="D205" i="5"/>
  <c r="J205" i="5" s="1"/>
  <c r="D204" i="5"/>
  <c r="J204" i="5" s="1"/>
  <c r="D203" i="5"/>
  <c r="D202" i="5"/>
  <c r="J202" i="5" s="1"/>
  <c r="D201" i="5"/>
  <c r="J201" i="5" s="1"/>
  <c r="D200" i="5"/>
  <c r="J200" i="5" s="1"/>
  <c r="D199" i="5"/>
  <c r="J199" i="5" s="1"/>
  <c r="D198" i="5"/>
  <c r="J198" i="5" s="1"/>
  <c r="D197" i="5"/>
  <c r="J197" i="5" s="1"/>
  <c r="D196" i="5"/>
  <c r="J196" i="5" s="1"/>
  <c r="D195" i="5"/>
  <c r="J195" i="5" s="1"/>
  <c r="D194" i="5"/>
  <c r="J194" i="5" s="1"/>
  <c r="D193" i="5"/>
  <c r="J193" i="5" s="1"/>
  <c r="D192" i="5"/>
  <c r="J192" i="5" s="1"/>
  <c r="D191" i="5"/>
  <c r="J191" i="5" s="1"/>
  <c r="D190" i="5"/>
  <c r="D189" i="5"/>
  <c r="J189" i="5" s="1"/>
  <c r="D188" i="5"/>
  <c r="J188" i="5" s="1"/>
  <c r="D187" i="5"/>
  <c r="D186" i="5"/>
  <c r="J186" i="5" s="1"/>
  <c r="D185" i="5"/>
  <c r="J185" i="5" s="1"/>
  <c r="D184" i="5"/>
  <c r="D183" i="5"/>
  <c r="J183" i="5" s="1"/>
  <c r="D182" i="5"/>
  <c r="J182" i="5" s="1"/>
  <c r="D181" i="5"/>
  <c r="J181" i="5" s="1"/>
  <c r="D180" i="5"/>
  <c r="J180" i="5" s="1"/>
  <c r="D179" i="5"/>
  <c r="D178" i="5"/>
  <c r="J178" i="5" s="1"/>
  <c r="D177" i="5"/>
  <c r="J177" i="5" s="1"/>
  <c r="D176" i="5"/>
  <c r="J176" i="5" s="1"/>
  <c r="D175" i="5"/>
  <c r="J175" i="5" s="1"/>
  <c r="D174" i="5"/>
  <c r="J174" i="5" s="1"/>
  <c r="D173" i="5"/>
  <c r="J173" i="5" s="1"/>
  <c r="D172" i="5"/>
  <c r="J172" i="5" s="1"/>
  <c r="D171" i="5"/>
  <c r="J171" i="5" s="1"/>
  <c r="D170" i="5"/>
  <c r="J170" i="5" s="1"/>
  <c r="D169" i="5"/>
  <c r="J169" i="5" s="1"/>
  <c r="D168" i="5"/>
  <c r="J168" i="5" s="1"/>
  <c r="D167" i="5"/>
  <c r="J167" i="5" s="1"/>
  <c r="D166" i="5"/>
  <c r="J166" i="5" s="1"/>
  <c r="D165" i="5"/>
  <c r="J165" i="5" s="1"/>
  <c r="D164" i="5"/>
  <c r="J164" i="5" s="1"/>
  <c r="D163" i="5"/>
  <c r="D162" i="5"/>
  <c r="J162" i="5" s="1"/>
  <c r="D161" i="5"/>
  <c r="J161" i="5" s="1"/>
  <c r="D160" i="5"/>
  <c r="D159" i="5"/>
  <c r="J159" i="5" s="1"/>
  <c r="D158" i="5"/>
  <c r="J158" i="5" s="1"/>
  <c r="D157" i="5"/>
  <c r="J157" i="5" s="1"/>
  <c r="D156" i="5"/>
  <c r="J156" i="5" s="1"/>
  <c r="D155" i="5"/>
  <c r="D154" i="5"/>
  <c r="J154" i="5" s="1"/>
  <c r="D153" i="5"/>
  <c r="J153" i="5" s="1"/>
  <c r="D152" i="5"/>
  <c r="J152" i="5" s="1"/>
  <c r="D151" i="5"/>
  <c r="J151" i="5" s="1"/>
  <c r="D150" i="5"/>
  <c r="J150" i="5" s="1"/>
  <c r="D149" i="5"/>
  <c r="J149" i="5" s="1"/>
  <c r="D148" i="5"/>
  <c r="J148" i="5" s="1"/>
  <c r="D147" i="5"/>
  <c r="J147" i="5" s="1"/>
  <c r="D146" i="5"/>
  <c r="J146" i="5" s="1"/>
  <c r="D145" i="5"/>
  <c r="J145" i="5" s="1"/>
  <c r="D144" i="5"/>
  <c r="J144" i="5" s="1"/>
  <c r="D143" i="5"/>
  <c r="J143" i="5" s="1"/>
  <c r="D142" i="5"/>
  <c r="J142" i="5" s="1"/>
  <c r="D141" i="5"/>
  <c r="J141" i="5" s="1"/>
  <c r="D140" i="5"/>
  <c r="J140" i="5" s="1"/>
  <c r="D139" i="5"/>
  <c r="D138" i="5"/>
  <c r="J138" i="5" s="1"/>
  <c r="D137" i="5"/>
  <c r="J137" i="5" s="1"/>
  <c r="D136" i="5"/>
  <c r="D135" i="5"/>
  <c r="J135" i="5" s="1"/>
  <c r="D134" i="5"/>
  <c r="J134" i="5" s="1"/>
  <c r="D133" i="5"/>
  <c r="J133" i="5" s="1"/>
  <c r="D132" i="5"/>
  <c r="J132" i="5" s="1"/>
  <c r="D131" i="5"/>
  <c r="D130" i="5"/>
  <c r="J130" i="5" s="1"/>
  <c r="D129" i="5"/>
  <c r="J129" i="5" s="1"/>
  <c r="D128" i="5"/>
  <c r="J128" i="5" s="1"/>
  <c r="D127" i="5"/>
  <c r="J127" i="5" s="1"/>
  <c r="D126" i="5"/>
  <c r="J126" i="5" s="1"/>
  <c r="D125" i="5"/>
  <c r="J125" i="5" s="1"/>
  <c r="D124" i="5"/>
  <c r="J124" i="5" s="1"/>
  <c r="D123" i="5"/>
  <c r="J123" i="5" s="1"/>
  <c r="D122" i="5"/>
  <c r="J122" i="5" s="1"/>
  <c r="D121" i="5"/>
  <c r="J121" i="5" s="1"/>
  <c r="D120" i="5"/>
  <c r="D119" i="5"/>
  <c r="J119" i="5" s="1"/>
  <c r="D118" i="5"/>
  <c r="J118" i="5" s="1"/>
  <c r="D117" i="5"/>
  <c r="J117" i="5" s="1"/>
  <c r="D116" i="5"/>
  <c r="J116" i="5" s="1"/>
  <c r="D115" i="5"/>
  <c r="D114" i="5"/>
  <c r="J114" i="5" s="1"/>
  <c r="D113" i="5"/>
  <c r="J113" i="5" s="1"/>
  <c r="D112" i="5"/>
  <c r="D111" i="5"/>
  <c r="J111" i="5" s="1"/>
  <c r="D110" i="5"/>
  <c r="J110" i="5" s="1"/>
  <c r="D109" i="5"/>
  <c r="J109" i="5" s="1"/>
  <c r="D108" i="5"/>
  <c r="J108" i="5" s="1"/>
  <c r="D107" i="5"/>
  <c r="D106" i="5"/>
  <c r="J106" i="5" s="1"/>
  <c r="D105" i="5"/>
  <c r="J105" i="5" s="1"/>
  <c r="D104" i="5"/>
  <c r="J104" i="5" s="1"/>
  <c r="D103" i="5"/>
  <c r="J103" i="5" s="1"/>
  <c r="D102" i="5"/>
  <c r="J102" i="5" s="1"/>
  <c r="D101" i="5"/>
  <c r="J101" i="5" s="1"/>
  <c r="D100" i="5"/>
  <c r="J100" i="5" s="1"/>
  <c r="D99" i="5"/>
  <c r="J99" i="5" s="1"/>
  <c r="D98" i="5"/>
  <c r="J98" i="5" s="1"/>
  <c r="D97" i="5"/>
  <c r="J97" i="5" s="1"/>
  <c r="D96" i="5"/>
  <c r="D95" i="5"/>
  <c r="J95" i="5" s="1"/>
  <c r="D94" i="5"/>
  <c r="J94" i="5" s="1"/>
  <c r="D93" i="5"/>
  <c r="J93" i="5" s="1"/>
  <c r="D92" i="5"/>
  <c r="J92" i="5" s="1"/>
  <c r="D91" i="5"/>
  <c r="D90" i="5"/>
  <c r="J90" i="5" s="1"/>
  <c r="D89" i="5"/>
  <c r="J89" i="5" s="1"/>
  <c r="D88" i="5"/>
  <c r="D87" i="5"/>
  <c r="J87" i="5" s="1"/>
  <c r="D86" i="5"/>
  <c r="J86" i="5" s="1"/>
  <c r="D85" i="5"/>
  <c r="J85" i="5" s="1"/>
  <c r="D84" i="5"/>
  <c r="J84" i="5" s="1"/>
  <c r="D83" i="5"/>
  <c r="J83" i="5" s="1"/>
  <c r="D82" i="5"/>
  <c r="J82" i="5" s="1"/>
  <c r="D81" i="5"/>
  <c r="J81" i="5" s="1"/>
  <c r="D80" i="5"/>
  <c r="J80" i="5" s="1"/>
  <c r="D79" i="5"/>
  <c r="J79" i="5" s="1"/>
  <c r="D78" i="5"/>
  <c r="J78" i="5" s="1"/>
  <c r="D77" i="5"/>
  <c r="J77" i="5" s="1"/>
  <c r="D76" i="5"/>
  <c r="J76" i="5" s="1"/>
  <c r="D75" i="5"/>
  <c r="J75" i="5" s="1"/>
  <c r="D74" i="5"/>
  <c r="J74" i="5" s="1"/>
  <c r="D73" i="5"/>
  <c r="J73" i="5" s="1"/>
  <c r="D72" i="5"/>
  <c r="D71" i="5"/>
  <c r="D70" i="5"/>
  <c r="J70" i="5" s="1"/>
  <c r="D69" i="5"/>
  <c r="J69" i="5" s="1"/>
  <c r="D68" i="5"/>
  <c r="J68" i="5" s="1"/>
  <c r="D67" i="5"/>
  <c r="D66" i="5"/>
  <c r="J66" i="5" s="1"/>
  <c r="D65" i="5"/>
  <c r="J65" i="5" s="1"/>
  <c r="D64" i="5"/>
  <c r="J64" i="5" s="1"/>
  <c r="D63" i="5"/>
  <c r="J63" i="5" s="1"/>
  <c r="D62" i="5"/>
  <c r="J62" i="5" s="1"/>
  <c r="D61" i="5"/>
  <c r="J61" i="5" s="1"/>
  <c r="D60" i="5"/>
  <c r="J60" i="5" s="1"/>
  <c r="D59" i="5"/>
  <c r="J59" i="5" s="1"/>
  <c r="D58" i="5"/>
  <c r="J58" i="5" s="1"/>
  <c r="D57" i="5"/>
  <c r="J57" i="5" s="1"/>
  <c r="D56" i="5"/>
  <c r="J56" i="5" s="1"/>
  <c r="D55" i="5"/>
  <c r="J55" i="5" s="1"/>
  <c r="D54" i="5"/>
  <c r="J54" i="5" s="1"/>
  <c r="D53" i="5"/>
  <c r="J53" i="5" s="1"/>
  <c r="D52" i="5"/>
  <c r="J52" i="5" s="1"/>
  <c r="D51" i="5"/>
  <c r="J51" i="5" s="1"/>
  <c r="D50" i="5"/>
  <c r="J50" i="5" s="1"/>
  <c r="D49" i="5"/>
  <c r="J49" i="5" s="1"/>
  <c r="D48" i="5"/>
  <c r="D47" i="5"/>
  <c r="D46" i="5"/>
  <c r="J46" i="5" s="1"/>
  <c r="D45" i="5"/>
  <c r="J45" i="5" s="1"/>
  <c r="D44" i="5"/>
  <c r="J44" i="5" s="1"/>
  <c r="D43" i="5"/>
  <c r="D42" i="5"/>
  <c r="J42" i="5" s="1"/>
  <c r="D41" i="5"/>
  <c r="J41" i="5" s="1"/>
  <c r="D40" i="5"/>
  <c r="J40" i="5" s="1"/>
  <c r="D39" i="5"/>
  <c r="J39" i="5" s="1"/>
  <c r="D38" i="5"/>
  <c r="J38" i="5" s="1"/>
  <c r="D37" i="5"/>
  <c r="J37" i="5" s="1"/>
  <c r="D36" i="5"/>
  <c r="J36" i="5" s="1"/>
  <c r="D35" i="5"/>
  <c r="J35" i="5" s="1"/>
  <c r="D34" i="5"/>
  <c r="J34" i="5" s="1"/>
  <c r="D33" i="5"/>
  <c r="J33" i="5" s="1"/>
  <c r="D32" i="5"/>
  <c r="J32" i="5" s="1"/>
  <c r="D31" i="5"/>
  <c r="J31" i="5" s="1"/>
  <c r="D30" i="5"/>
  <c r="J30" i="5" s="1"/>
  <c r="D29" i="5"/>
  <c r="J29" i="5" s="1"/>
  <c r="D28" i="5"/>
  <c r="J28" i="5" s="1"/>
  <c r="D27" i="5"/>
  <c r="J27" i="5" s="1"/>
  <c r="D26" i="5"/>
  <c r="J26" i="5" s="1"/>
  <c r="D25" i="5"/>
  <c r="J25" i="5" s="1"/>
  <c r="D24" i="5"/>
  <c r="D23" i="5"/>
  <c r="D22" i="5"/>
  <c r="J22" i="5" s="1"/>
  <c r="D21" i="5"/>
  <c r="J21" i="5" s="1"/>
  <c r="D20" i="5"/>
  <c r="J20" i="5" s="1"/>
  <c r="D19" i="5"/>
  <c r="D18" i="5"/>
  <c r="J18" i="5" s="1"/>
  <c r="D17" i="5"/>
  <c r="J17" i="5" s="1"/>
  <c r="D16" i="5"/>
  <c r="J16" i="5" s="1"/>
  <c r="D15" i="5"/>
  <c r="J15" i="5" s="1"/>
  <c r="D14" i="5"/>
  <c r="J14" i="5" s="1"/>
  <c r="D13" i="5"/>
  <c r="J13" i="5" s="1"/>
  <c r="D12" i="5"/>
  <c r="J12" i="5" s="1"/>
  <c r="D11" i="5"/>
  <c r="J11" i="5" s="1"/>
  <c r="D10" i="5"/>
  <c r="J10" i="5" s="1"/>
  <c r="D9" i="5"/>
  <c r="J9" i="5" s="1"/>
  <c r="D8" i="5"/>
  <c r="J8" i="5" s="1"/>
  <c r="D7" i="5"/>
  <c r="J7" i="5" s="1"/>
  <c r="D6" i="5"/>
  <c r="J6" i="5" s="1"/>
  <c r="D5" i="5"/>
  <c r="J5" i="5" s="1"/>
  <c r="D4" i="5"/>
  <c r="J4" i="5" s="1"/>
  <c r="D3" i="5"/>
  <c r="J3" i="5" s="1"/>
  <c r="D2" i="5"/>
  <c r="B12" i="3"/>
  <c r="B7" i="3"/>
  <c r="I15" i="4" s="1"/>
  <c r="C12" i="3"/>
  <c r="C13" i="3"/>
  <c r="B13" i="3"/>
  <c r="D9" i="3"/>
  <c r="C9" i="3"/>
  <c r="B9" i="3"/>
  <c r="D16" i="3"/>
  <c r="C16" i="3"/>
  <c r="B16" i="3"/>
  <c r="D7" i="3"/>
  <c r="C7" i="3"/>
  <c r="D6" i="3"/>
  <c r="C6" i="3"/>
  <c r="B6" i="3"/>
  <c r="D5" i="3"/>
  <c r="B4" i="3"/>
  <c r="B5" i="3" s="1"/>
  <c r="C24" i="2"/>
  <c r="C28" i="2" s="1"/>
  <c r="C31" i="2" s="1"/>
  <c r="B24" i="2"/>
  <c r="B28" i="2" s="1"/>
  <c r="B31" i="2" s="1"/>
  <c r="B15" i="2"/>
  <c r="C9" i="2"/>
  <c r="C15" i="2" s="1"/>
  <c r="B9" i="2"/>
  <c r="D21" i="1"/>
  <c r="C21" i="1"/>
  <c r="B21" i="1"/>
  <c r="D19" i="1"/>
  <c r="C19" i="1"/>
  <c r="B19" i="1"/>
  <c r="D18" i="1"/>
  <c r="C18" i="1"/>
  <c r="B18" i="1"/>
  <c r="D15" i="1"/>
  <c r="C15" i="1"/>
  <c r="B15" i="1"/>
  <c r="D14" i="1"/>
  <c r="C14" i="1"/>
  <c r="B14" i="1"/>
  <c r="D5" i="1"/>
  <c r="C5" i="1"/>
  <c r="B5" i="1"/>
  <c r="L359" i="5" l="1"/>
  <c r="L439" i="5"/>
  <c r="L104" i="5"/>
  <c r="L392" i="5"/>
  <c r="L424" i="5"/>
  <c r="L456" i="5"/>
  <c r="L455" i="5"/>
  <c r="L50" i="5"/>
  <c r="L239" i="5"/>
  <c r="L347" i="5"/>
  <c r="L435" i="5"/>
  <c r="L17" i="5"/>
  <c r="L264" i="5"/>
  <c r="L79" i="5"/>
  <c r="L375" i="5"/>
  <c r="L415" i="5"/>
  <c r="L80" i="5"/>
  <c r="L208" i="5"/>
  <c r="L360" i="5"/>
  <c r="L416" i="5"/>
  <c r="L301" i="5"/>
  <c r="L373" i="5"/>
  <c r="L328" i="5"/>
  <c r="L240" i="5"/>
  <c r="L24" i="5"/>
  <c r="L464" i="5"/>
  <c r="L400" i="5"/>
  <c r="L463" i="5"/>
  <c r="L399" i="5"/>
  <c r="L303" i="5"/>
  <c r="L109" i="5"/>
  <c r="L440" i="5"/>
  <c r="L376" i="5"/>
  <c r="L161" i="5"/>
  <c r="L193" i="5"/>
  <c r="L217" i="5"/>
  <c r="L241" i="5"/>
  <c r="L281" i="5"/>
  <c r="L313" i="5"/>
  <c r="L329" i="5"/>
  <c r="L377" i="5"/>
  <c r="L385" i="5"/>
  <c r="L401" i="5"/>
  <c r="L417" i="5"/>
  <c r="L425" i="5"/>
  <c r="L441" i="5"/>
  <c r="L449" i="5"/>
  <c r="L465" i="5"/>
  <c r="K465" i="5" s="1"/>
  <c r="L152" i="5"/>
  <c r="L304" i="5"/>
  <c r="L312" i="5"/>
  <c r="L18" i="5"/>
  <c r="L66" i="5"/>
  <c r="L122" i="5"/>
  <c r="L162" i="5"/>
  <c r="L178" i="5"/>
  <c r="L194" i="5"/>
  <c r="L218" i="5"/>
  <c r="L242" i="5"/>
  <c r="L274" i="5"/>
  <c r="L282" i="5"/>
  <c r="L314" i="5"/>
  <c r="L330" i="5"/>
  <c r="L346" i="5"/>
  <c r="L386" i="5"/>
  <c r="L402" i="5"/>
  <c r="L410" i="5"/>
  <c r="L426" i="5"/>
  <c r="L434" i="5"/>
  <c r="L442" i="5"/>
  <c r="L450" i="5"/>
  <c r="L458" i="5"/>
  <c r="L466" i="5"/>
  <c r="L378" i="5"/>
  <c r="L354" i="5"/>
  <c r="L306" i="5"/>
  <c r="L266" i="5"/>
  <c r="L234" i="5"/>
  <c r="L202" i="5"/>
  <c r="K202" i="5" s="1"/>
  <c r="L170" i="5"/>
  <c r="L138" i="5"/>
  <c r="L106" i="5"/>
  <c r="L82" i="5"/>
  <c r="L42" i="5"/>
  <c r="L34" i="5"/>
  <c r="L10" i="5"/>
  <c r="L411" i="5"/>
  <c r="K411" i="5" s="1"/>
  <c r="L300" i="5"/>
  <c r="L190" i="5"/>
  <c r="L8" i="5"/>
  <c r="L433" i="5"/>
  <c r="L353" i="5"/>
  <c r="L289" i="5"/>
  <c r="L257" i="5"/>
  <c r="L209" i="5"/>
  <c r="K209" i="5" s="1"/>
  <c r="L185" i="5"/>
  <c r="L153" i="5"/>
  <c r="L129" i="5"/>
  <c r="L105" i="5"/>
  <c r="L89" i="5"/>
  <c r="L65" i="5"/>
  <c r="L41" i="5"/>
  <c r="L33" i="5"/>
  <c r="K33" i="5" s="1"/>
  <c r="L9" i="5"/>
  <c r="L341" i="5"/>
  <c r="L260" i="5"/>
  <c r="L135" i="5"/>
  <c r="L408" i="5"/>
  <c r="L336" i="5"/>
  <c r="L280" i="5"/>
  <c r="L184" i="5"/>
  <c r="K184" i="5" s="1"/>
  <c r="L168" i="5"/>
  <c r="L120" i="5"/>
  <c r="L64" i="5"/>
  <c r="L40" i="5"/>
  <c r="L32" i="5"/>
  <c r="L259" i="5"/>
  <c r="L134" i="5"/>
  <c r="L407" i="5"/>
  <c r="K407" i="5" s="1"/>
  <c r="L343" i="5"/>
  <c r="L327" i="5"/>
  <c r="L311" i="5"/>
  <c r="L295" i="5"/>
  <c r="L287" i="5"/>
  <c r="L279" i="5"/>
  <c r="L271" i="5"/>
  <c r="L247" i="5"/>
  <c r="K247" i="5" s="1"/>
  <c r="L231" i="5"/>
  <c r="L223" i="5"/>
  <c r="L215" i="5"/>
  <c r="L207" i="5"/>
  <c r="L199" i="5"/>
  <c r="L191" i="5"/>
  <c r="L183" i="5"/>
  <c r="L175" i="5"/>
  <c r="K175" i="5" s="1"/>
  <c r="L167" i="5"/>
  <c r="L159" i="5"/>
  <c r="L151" i="5"/>
  <c r="L143" i="5"/>
  <c r="L127" i="5"/>
  <c r="L119" i="5"/>
  <c r="L111" i="5"/>
  <c r="L95" i="5"/>
  <c r="K95" i="5" s="1"/>
  <c r="L87" i="5"/>
  <c r="L71" i="5"/>
  <c r="L63" i="5"/>
  <c r="L55" i="5"/>
  <c r="L39" i="5"/>
  <c r="L31" i="5"/>
  <c r="L15" i="5"/>
  <c r="L46" i="5"/>
  <c r="K46" i="5" s="1"/>
  <c r="L174" i="5"/>
  <c r="L236" i="5"/>
  <c r="L30" i="5"/>
  <c r="L102" i="5"/>
  <c r="L158" i="5"/>
  <c r="L268" i="5"/>
  <c r="L5" i="5"/>
  <c r="L61" i="5"/>
  <c r="K61" i="5" s="1"/>
  <c r="L205" i="5"/>
  <c r="L227" i="5"/>
  <c r="L291" i="5"/>
  <c r="L349" i="5"/>
  <c r="L365" i="5"/>
  <c r="L443" i="5"/>
  <c r="L2" i="5"/>
  <c r="K304" i="5" s="1"/>
  <c r="L6" i="5"/>
  <c r="L62" i="5"/>
  <c r="L206" i="5"/>
  <c r="L228" i="5"/>
  <c r="L292" i="5"/>
  <c r="L309" i="5"/>
  <c r="L419" i="5"/>
  <c r="L7" i="5"/>
  <c r="K7" i="5" s="1"/>
  <c r="L37" i="5"/>
  <c r="K37" i="5" s="1"/>
  <c r="L93" i="5"/>
  <c r="L251" i="5"/>
  <c r="L323" i="5"/>
  <c r="L339" i="5"/>
  <c r="L355" i="5"/>
  <c r="L395" i="5"/>
  <c r="L459" i="5"/>
  <c r="K459" i="5" s="1"/>
  <c r="L332" i="5"/>
  <c r="K332" i="5" s="1"/>
  <c r="L283" i="5"/>
  <c r="L252" i="5"/>
  <c r="L166" i="5"/>
  <c r="L133" i="5"/>
  <c r="L38" i="5"/>
  <c r="L357" i="5"/>
  <c r="L331" i="5"/>
  <c r="K331" i="5" s="1"/>
  <c r="L165" i="5"/>
  <c r="K165" i="5" s="1"/>
  <c r="L78" i="5"/>
  <c r="L418" i="5"/>
  <c r="L370" i="5"/>
  <c r="L338" i="5"/>
  <c r="L298" i="5"/>
  <c r="L258" i="5"/>
  <c r="L226" i="5"/>
  <c r="L186" i="5"/>
  <c r="L146" i="5"/>
  <c r="L114" i="5"/>
  <c r="L90" i="5"/>
  <c r="L58" i="5"/>
  <c r="L431" i="5"/>
  <c r="L369" i="5"/>
  <c r="L263" i="5"/>
  <c r="L136" i="5"/>
  <c r="L49" i="5"/>
  <c r="L457" i="5"/>
  <c r="L393" i="5"/>
  <c r="L361" i="5"/>
  <c r="L337" i="5"/>
  <c r="L305" i="5"/>
  <c r="L273" i="5"/>
  <c r="L249" i="5"/>
  <c r="L225" i="5"/>
  <c r="L201" i="5"/>
  <c r="L177" i="5"/>
  <c r="L137" i="5"/>
  <c r="L113" i="5"/>
  <c r="L81" i="5"/>
  <c r="L57" i="5"/>
  <c r="L25" i="5"/>
  <c r="L427" i="5"/>
  <c r="L364" i="5"/>
  <c r="L296" i="5"/>
  <c r="L189" i="5"/>
  <c r="L48" i="5"/>
  <c r="L448" i="5"/>
  <c r="L368" i="5"/>
  <c r="L344" i="5"/>
  <c r="L272" i="5"/>
  <c r="L248" i="5"/>
  <c r="L216" i="5"/>
  <c r="L192" i="5"/>
  <c r="L160" i="5"/>
  <c r="L128" i="5"/>
  <c r="L96" i="5"/>
  <c r="L72" i="5"/>
  <c r="L403" i="5"/>
  <c r="L219" i="5"/>
  <c r="L447" i="5"/>
  <c r="L423" i="5"/>
  <c r="L383" i="5"/>
  <c r="L351" i="5"/>
  <c r="L110" i="5"/>
  <c r="L77" i="5"/>
  <c r="L23" i="5"/>
  <c r="L394" i="5"/>
  <c r="L362" i="5"/>
  <c r="L322" i="5"/>
  <c r="L290" i="5"/>
  <c r="L250" i="5"/>
  <c r="L210" i="5"/>
  <c r="L154" i="5"/>
  <c r="L130" i="5"/>
  <c r="L98" i="5"/>
  <c r="L74" i="5"/>
  <c r="L26" i="5"/>
  <c r="L451" i="5"/>
  <c r="L391" i="5"/>
  <c r="L320" i="5"/>
  <c r="L232" i="5"/>
  <c r="L103" i="5"/>
  <c r="L409" i="5"/>
  <c r="L345" i="5"/>
  <c r="L321" i="5"/>
  <c r="L297" i="5"/>
  <c r="L265" i="5"/>
  <c r="L233" i="5"/>
  <c r="L169" i="5"/>
  <c r="L145" i="5"/>
  <c r="L121" i="5"/>
  <c r="L97" i="5"/>
  <c r="L73" i="5"/>
  <c r="L467" i="5"/>
  <c r="L387" i="5"/>
  <c r="L319" i="5"/>
  <c r="L220" i="5"/>
  <c r="L94" i="5"/>
  <c r="L432" i="5"/>
  <c r="L384" i="5"/>
  <c r="L352" i="5"/>
  <c r="L288" i="5"/>
  <c r="L256" i="5"/>
  <c r="L224" i="5"/>
  <c r="L200" i="5"/>
  <c r="L176" i="5"/>
  <c r="L144" i="5"/>
  <c r="L112" i="5"/>
  <c r="L88" i="5"/>
  <c r="L56" i="5"/>
  <c r="L16" i="5"/>
  <c r="L340" i="5"/>
  <c r="L284" i="5"/>
  <c r="L47" i="5"/>
  <c r="L367" i="5"/>
  <c r="L335" i="5"/>
  <c r="L255" i="5"/>
  <c r="L356" i="5"/>
  <c r="L348" i="5"/>
  <c r="L470" i="5"/>
  <c r="L462" i="5"/>
  <c r="L454" i="5"/>
  <c r="L446" i="5"/>
  <c r="L438" i="5"/>
  <c r="L430" i="5"/>
  <c r="L422" i="5"/>
  <c r="L414" i="5"/>
  <c r="L406" i="5"/>
  <c r="L398" i="5"/>
  <c r="L390" i="5"/>
  <c r="L198" i="5"/>
  <c r="L142" i="5"/>
  <c r="L126" i="5"/>
  <c r="L70" i="5"/>
  <c r="L14" i="5"/>
  <c r="L324" i="5"/>
  <c r="L469" i="5"/>
  <c r="L461" i="5"/>
  <c r="L453" i="5"/>
  <c r="L445" i="5"/>
  <c r="L437" i="5"/>
  <c r="L429" i="5"/>
  <c r="L421" i="5"/>
  <c r="L413" i="5"/>
  <c r="L405" i="5"/>
  <c r="L397" i="5"/>
  <c r="L389" i="5"/>
  <c r="L333" i="5"/>
  <c r="L325" i="5"/>
  <c r="L197" i="5"/>
  <c r="L141" i="5"/>
  <c r="L125" i="5"/>
  <c r="L69" i="5"/>
  <c r="L13" i="5"/>
  <c r="L374" i="5"/>
  <c r="L358" i="5"/>
  <c r="L342" i="5"/>
  <c r="L326" i="5"/>
  <c r="L310" i="5"/>
  <c r="L294" i="5"/>
  <c r="L278" i="5"/>
  <c r="L262" i="5"/>
  <c r="L246" i="5"/>
  <c r="L230" i="5"/>
  <c r="L214" i="5"/>
  <c r="L118" i="5"/>
  <c r="L54" i="5"/>
  <c r="L381" i="5"/>
  <c r="L363" i="5"/>
  <c r="L299" i="5"/>
  <c r="L235" i="5"/>
  <c r="L157" i="5"/>
  <c r="L101" i="5"/>
  <c r="L45" i="5"/>
  <c r="L293" i="5"/>
  <c r="L277" i="5"/>
  <c r="L261" i="5"/>
  <c r="L245" i="5"/>
  <c r="L229" i="5"/>
  <c r="L213" i="5"/>
  <c r="L181" i="5"/>
  <c r="L149" i="5"/>
  <c r="L117" i="5"/>
  <c r="L53" i="5"/>
  <c r="L21" i="5"/>
  <c r="L3" i="5"/>
  <c r="L11" i="5"/>
  <c r="L19" i="5"/>
  <c r="L27" i="5"/>
  <c r="L35" i="5"/>
  <c r="L43" i="5"/>
  <c r="L51" i="5"/>
  <c r="L59" i="5"/>
  <c r="L67" i="5"/>
  <c r="L75" i="5"/>
  <c r="L83" i="5"/>
  <c r="L91" i="5"/>
  <c r="L99" i="5"/>
  <c r="L107" i="5"/>
  <c r="L115" i="5"/>
  <c r="L123" i="5"/>
  <c r="L131" i="5"/>
  <c r="L139" i="5"/>
  <c r="L147" i="5"/>
  <c r="L155" i="5"/>
  <c r="L163" i="5"/>
  <c r="L171" i="5"/>
  <c r="L179" i="5"/>
  <c r="L187" i="5"/>
  <c r="L195" i="5"/>
  <c r="L203" i="5"/>
  <c r="L211" i="5"/>
  <c r="L4" i="5"/>
  <c r="L12" i="5"/>
  <c r="L20" i="5"/>
  <c r="L28" i="5"/>
  <c r="L36" i="5"/>
  <c r="L44" i="5"/>
  <c r="L52" i="5"/>
  <c r="L60" i="5"/>
  <c r="L68" i="5"/>
  <c r="L76" i="5"/>
  <c r="L84" i="5"/>
  <c r="L92" i="5"/>
  <c r="L100" i="5"/>
  <c r="L108" i="5"/>
  <c r="L116" i="5"/>
  <c r="L124" i="5"/>
  <c r="L132" i="5"/>
  <c r="L140" i="5"/>
  <c r="L148" i="5"/>
  <c r="L156" i="5"/>
  <c r="L164" i="5"/>
  <c r="L172" i="5"/>
  <c r="L180" i="5"/>
  <c r="L188" i="5"/>
  <c r="L196" i="5"/>
  <c r="L204" i="5"/>
  <c r="L212" i="5"/>
  <c r="L380" i="5"/>
  <c r="L371" i="5"/>
  <c r="L316" i="5"/>
  <c r="L307" i="5"/>
  <c r="L276" i="5"/>
  <c r="L244" i="5"/>
  <c r="L382" i="5"/>
  <c r="L366" i="5"/>
  <c r="L350" i="5"/>
  <c r="L334" i="5"/>
  <c r="L318" i="5"/>
  <c r="L302" i="5"/>
  <c r="L286" i="5"/>
  <c r="L270" i="5"/>
  <c r="L254" i="5"/>
  <c r="L238" i="5"/>
  <c r="L222" i="5"/>
  <c r="L182" i="5"/>
  <c r="L150" i="5"/>
  <c r="L86" i="5"/>
  <c r="L22" i="5"/>
  <c r="L372" i="5"/>
  <c r="L317" i="5"/>
  <c r="L308" i="5"/>
  <c r="L267" i="5"/>
  <c r="L173" i="5"/>
  <c r="L29" i="5"/>
  <c r="L285" i="5"/>
  <c r="L269" i="5"/>
  <c r="L253" i="5"/>
  <c r="L237" i="5"/>
  <c r="L221" i="5"/>
  <c r="L85" i="5"/>
  <c r="L468" i="5"/>
  <c r="L460" i="5"/>
  <c r="L452" i="5"/>
  <c r="L444" i="5"/>
  <c r="L436" i="5"/>
  <c r="L428" i="5"/>
  <c r="L420" i="5"/>
  <c r="L412" i="5"/>
  <c r="L404" i="5"/>
  <c r="L396" i="5"/>
  <c r="L388" i="5"/>
  <c r="L379" i="5"/>
  <c r="L315" i="5"/>
  <c r="L275" i="5"/>
  <c r="L243" i="5"/>
  <c r="K109" i="5" l="1"/>
  <c r="K441" i="5"/>
  <c r="K264" i="5"/>
  <c r="K18" i="5"/>
  <c r="K162" i="5"/>
  <c r="K122" i="5"/>
  <c r="K456" i="5"/>
  <c r="K399" i="5"/>
  <c r="K79" i="5"/>
  <c r="K425" i="5"/>
  <c r="K78" i="5"/>
  <c r="K283" i="5"/>
  <c r="K93" i="5"/>
  <c r="K62" i="5"/>
  <c r="K205" i="5"/>
  <c r="K174" i="5"/>
  <c r="K87" i="5"/>
  <c r="K167" i="5"/>
  <c r="K231" i="5"/>
  <c r="K343" i="5"/>
  <c r="K168" i="5"/>
  <c r="K9" i="5"/>
  <c r="K185" i="5"/>
  <c r="K300" i="5"/>
  <c r="K170" i="5"/>
  <c r="C5" i="4"/>
  <c r="F14" i="4" s="1"/>
  <c r="C4" i="4"/>
  <c r="K239" i="5"/>
  <c r="K312" i="5"/>
  <c r="K303" i="5"/>
  <c r="K347" i="5"/>
  <c r="K396" i="5"/>
  <c r="K150" i="5"/>
  <c r="K316" i="5"/>
  <c r="K44" i="5"/>
  <c r="K245" i="5"/>
  <c r="K299" i="5"/>
  <c r="K262" i="5"/>
  <c r="K13" i="5"/>
  <c r="K397" i="5"/>
  <c r="K461" i="5"/>
  <c r="K390" i="5"/>
  <c r="K454" i="5"/>
  <c r="K47" i="5"/>
  <c r="K176" i="5"/>
  <c r="K94" i="5"/>
  <c r="K145" i="5"/>
  <c r="K103" i="5"/>
  <c r="K130" i="5"/>
  <c r="K152" i="5"/>
  <c r="K423" i="5"/>
  <c r="K192" i="5"/>
  <c r="K189" i="5"/>
  <c r="K137" i="5"/>
  <c r="K361" i="5"/>
  <c r="K58" i="5"/>
  <c r="K338" i="5"/>
  <c r="K460" i="5"/>
  <c r="K318" i="5"/>
  <c r="K108" i="5"/>
  <c r="K195" i="5"/>
  <c r="K3" i="5"/>
  <c r="K404" i="5"/>
  <c r="K173" i="5"/>
  <c r="K334" i="5"/>
  <c r="K164" i="5"/>
  <c r="K36" i="5"/>
  <c r="K59" i="5"/>
  <c r="K21" i="5"/>
  <c r="K363" i="5"/>
  <c r="K69" i="5"/>
  <c r="K469" i="5"/>
  <c r="K398" i="5"/>
  <c r="K462" i="5"/>
  <c r="K284" i="5"/>
  <c r="K200" i="5"/>
  <c r="K220" i="5"/>
  <c r="K169" i="5"/>
  <c r="K232" i="5"/>
  <c r="K154" i="5"/>
  <c r="K447" i="5"/>
  <c r="K216" i="5"/>
  <c r="K296" i="5"/>
  <c r="K177" i="5"/>
  <c r="K393" i="5"/>
  <c r="K90" i="5"/>
  <c r="K370" i="5"/>
  <c r="K2" i="5"/>
  <c r="K29" i="5"/>
  <c r="K172" i="5"/>
  <c r="K131" i="5"/>
  <c r="K67" i="5"/>
  <c r="K468" i="5"/>
  <c r="K182" i="5"/>
  <c r="K371" i="5"/>
  <c r="K100" i="5"/>
  <c r="K187" i="5"/>
  <c r="K123" i="5"/>
  <c r="K261" i="5"/>
  <c r="K278" i="5"/>
  <c r="K405" i="5"/>
  <c r="K412" i="5"/>
  <c r="K85" i="5"/>
  <c r="K267" i="5"/>
  <c r="K222" i="5"/>
  <c r="K350" i="5"/>
  <c r="K380" i="5"/>
  <c r="K156" i="5"/>
  <c r="K92" i="5"/>
  <c r="K28" i="5"/>
  <c r="K179" i="5"/>
  <c r="K115" i="5"/>
  <c r="K51" i="5"/>
  <c r="K53" i="5"/>
  <c r="K277" i="5"/>
  <c r="K381" i="5"/>
  <c r="K294" i="5"/>
  <c r="K125" i="5"/>
  <c r="K413" i="5"/>
  <c r="K324" i="5"/>
  <c r="K406" i="5"/>
  <c r="K470" i="5"/>
  <c r="K340" i="5"/>
  <c r="K224" i="5"/>
  <c r="K319" i="5"/>
  <c r="K233" i="5"/>
  <c r="K320" i="5"/>
  <c r="K210" i="5"/>
  <c r="K435" i="5"/>
  <c r="K219" i="5"/>
  <c r="K248" i="5"/>
  <c r="K364" i="5"/>
  <c r="K201" i="5"/>
  <c r="K457" i="5"/>
  <c r="K114" i="5"/>
  <c r="K418" i="5"/>
  <c r="K104" i="5"/>
  <c r="K5" i="5"/>
  <c r="K183" i="5"/>
  <c r="K41" i="5"/>
  <c r="K234" i="5"/>
  <c r="K301" i="5"/>
  <c r="K400" i="5"/>
  <c r="K178" i="5"/>
  <c r="K240" i="5"/>
  <c r="K66" i="5"/>
  <c r="K375" i="5"/>
  <c r="K161" i="5"/>
  <c r="K218" i="5"/>
  <c r="K221" i="5"/>
  <c r="K366" i="5"/>
  <c r="K212" i="5"/>
  <c r="K171" i="5"/>
  <c r="K43" i="5"/>
  <c r="K54" i="5"/>
  <c r="K14" i="5"/>
  <c r="K16" i="5"/>
  <c r="K265" i="5"/>
  <c r="K23" i="5"/>
  <c r="K427" i="5"/>
  <c r="K146" i="5"/>
  <c r="K17" i="5"/>
  <c r="K419" i="5"/>
  <c r="K268" i="5"/>
  <c r="K191" i="5"/>
  <c r="K65" i="5"/>
  <c r="K34" i="5"/>
  <c r="K428" i="5"/>
  <c r="K254" i="5"/>
  <c r="K140" i="5"/>
  <c r="K163" i="5"/>
  <c r="K149" i="5"/>
  <c r="K118" i="5"/>
  <c r="K429" i="5"/>
  <c r="K356" i="5"/>
  <c r="K467" i="5"/>
  <c r="K77" i="5"/>
  <c r="K344" i="5"/>
  <c r="K186" i="5"/>
  <c r="K50" i="5"/>
  <c r="K309" i="5"/>
  <c r="K39" i="5"/>
  <c r="K287" i="5"/>
  <c r="K89" i="5"/>
  <c r="K306" i="5"/>
  <c r="K455" i="5"/>
  <c r="K217" i="5"/>
  <c r="K314" i="5"/>
  <c r="K424" i="5"/>
  <c r="K274" i="5"/>
  <c r="K24" i="5"/>
  <c r="K385" i="5"/>
  <c r="K346" i="5"/>
  <c r="K315" i="5"/>
  <c r="K436" i="5"/>
  <c r="K253" i="5"/>
  <c r="K372" i="5"/>
  <c r="K270" i="5"/>
  <c r="K244" i="5"/>
  <c r="K196" i="5"/>
  <c r="K132" i="5"/>
  <c r="K68" i="5"/>
  <c r="K4" i="5"/>
  <c r="K155" i="5"/>
  <c r="K91" i="5"/>
  <c r="K27" i="5"/>
  <c r="K181" i="5"/>
  <c r="K101" i="5"/>
  <c r="K214" i="5"/>
  <c r="K342" i="5"/>
  <c r="K325" i="5"/>
  <c r="K437" i="5"/>
  <c r="K126" i="5"/>
  <c r="K430" i="5"/>
  <c r="K255" i="5"/>
  <c r="K88" i="5"/>
  <c r="K352" i="5"/>
  <c r="K73" i="5"/>
  <c r="K321" i="5"/>
  <c r="K26" i="5"/>
  <c r="K322" i="5"/>
  <c r="K110" i="5"/>
  <c r="K96" i="5"/>
  <c r="K368" i="5"/>
  <c r="K57" i="5"/>
  <c r="K273" i="5"/>
  <c r="K263" i="5"/>
  <c r="K226" i="5"/>
  <c r="K193" i="5"/>
  <c r="K133" i="5"/>
  <c r="K339" i="5"/>
  <c r="K292" i="5"/>
  <c r="K349" i="5"/>
  <c r="K102" i="5"/>
  <c r="K55" i="5"/>
  <c r="K143" i="5"/>
  <c r="K207" i="5"/>
  <c r="K295" i="5"/>
  <c r="K40" i="5"/>
  <c r="K135" i="5"/>
  <c r="K105" i="5"/>
  <c r="K433" i="5"/>
  <c r="K82" i="5"/>
  <c r="K354" i="5"/>
  <c r="K359" i="5"/>
  <c r="K313" i="5"/>
  <c r="K386" i="5"/>
  <c r="K464" i="5"/>
  <c r="K330" i="5"/>
  <c r="K208" i="5"/>
  <c r="K417" i="5"/>
  <c r="K410" i="5"/>
  <c r="K15" i="5"/>
  <c r="K271" i="5"/>
  <c r="K280" i="5"/>
  <c r="K10" i="5"/>
  <c r="K420" i="5"/>
  <c r="K238" i="5"/>
  <c r="K84" i="5"/>
  <c r="K107" i="5"/>
  <c r="K293" i="5"/>
  <c r="K141" i="5"/>
  <c r="K348" i="5"/>
  <c r="K387" i="5"/>
  <c r="K250" i="5"/>
  <c r="K272" i="5"/>
  <c r="K225" i="5"/>
  <c r="K357" i="5"/>
  <c r="K443" i="5"/>
  <c r="K119" i="5"/>
  <c r="K336" i="5"/>
  <c r="K266" i="5"/>
  <c r="K392" i="5"/>
  <c r="K440" i="5"/>
  <c r="K242" i="5"/>
  <c r="K360" i="5"/>
  <c r="K463" i="5"/>
  <c r="K281" i="5"/>
  <c r="K282" i="5"/>
  <c r="K275" i="5"/>
  <c r="K317" i="5"/>
  <c r="K204" i="5"/>
  <c r="K12" i="5"/>
  <c r="K35" i="5"/>
  <c r="K326" i="5"/>
  <c r="K70" i="5"/>
  <c r="K56" i="5"/>
  <c r="K297" i="5"/>
  <c r="K290" i="5"/>
  <c r="K249" i="5"/>
  <c r="K136" i="5"/>
  <c r="K355" i="5"/>
  <c r="K158" i="5"/>
  <c r="K199" i="5"/>
  <c r="K32" i="5"/>
  <c r="K353" i="5"/>
  <c r="K379" i="5"/>
  <c r="K269" i="5"/>
  <c r="K22" i="5"/>
  <c r="K286" i="5"/>
  <c r="K276" i="5"/>
  <c r="K188" i="5"/>
  <c r="K124" i="5"/>
  <c r="K60" i="5"/>
  <c r="K211" i="5"/>
  <c r="K147" i="5"/>
  <c r="K83" i="5"/>
  <c r="K19" i="5"/>
  <c r="K213" i="5"/>
  <c r="K157" i="5"/>
  <c r="K230" i="5"/>
  <c r="K358" i="5"/>
  <c r="K333" i="5"/>
  <c r="K445" i="5"/>
  <c r="K142" i="5"/>
  <c r="K438" i="5"/>
  <c r="K335" i="5"/>
  <c r="K112" i="5"/>
  <c r="K384" i="5"/>
  <c r="K97" i="5"/>
  <c r="K345" i="5"/>
  <c r="K74" i="5"/>
  <c r="K362" i="5"/>
  <c r="K351" i="5"/>
  <c r="K128" i="5"/>
  <c r="K448" i="5"/>
  <c r="K81" i="5"/>
  <c r="K305" i="5"/>
  <c r="K369" i="5"/>
  <c r="K258" i="5"/>
  <c r="K328" i="5"/>
  <c r="K166" i="5"/>
  <c r="K323" i="5"/>
  <c r="K228" i="5"/>
  <c r="K291" i="5"/>
  <c r="K30" i="5"/>
  <c r="K63" i="5"/>
  <c r="K151" i="5"/>
  <c r="K215" i="5"/>
  <c r="K311" i="5"/>
  <c r="K64" i="5"/>
  <c r="K260" i="5"/>
  <c r="K129" i="5"/>
  <c r="K8" i="5"/>
  <c r="K106" i="5"/>
  <c r="K378" i="5"/>
  <c r="K439" i="5"/>
  <c r="K377" i="5"/>
  <c r="K426" i="5"/>
  <c r="K241" i="5"/>
  <c r="K402" i="5"/>
  <c r="K376" i="5"/>
  <c r="K449" i="5"/>
  <c r="K434" i="5"/>
  <c r="K111" i="5"/>
  <c r="K134" i="5"/>
  <c r="K257" i="5"/>
  <c r="K243" i="5"/>
  <c r="K308" i="5"/>
  <c r="K148" i="5"/>
  <c r="K20" i="5"/>
  <c r="K117" i="5"/>
  <c r="K310" i="5"/>
  <c r="K421" i="5"/>
  <c r="K414" i="5"/>
  <c r="K256" i="5"/>
  <c r="K391" i="5"/>
  <c r="K403" i="5"/>
  <c r="K49" i="5"/>
  <c r="K395" i="5"/>
  <c r="K31" i="5"/>
  <c r="K279" i="5"/>
  <c r="K259" i="5"/>
  <c r="K289" i="5"/>
  <c r="K194" i="5"/>
  <c r="K237" i="5"/>
  <c r="K382" i="5"/>
  <c r="K76" i="5"/>
  <c r="K99" i="5"/>
  <c r="K45" i="5"/>
  <c r="K197" i="5"/>
  <c r="K422" i="5"/>
  <c r="K288" i="5"/>
  <c r="K451" i="5"/>
  <c r="K72" i="5"/>
  <c r="K25" i="5"/>
  <c r="K38" i="5"/>
  <c r="K365" i="5"/>
  <c r="K127" i="5"/>
  <c r="K408" i="5"/>
  <c r="K42" i="5"/>
  <c r="K444" i="5"/>
  <c r="K388" i="5"/>
  <c r="K452" i="5"/>
  <c r="K285" i="5"/>
  <c r="K86" i="5"/>
  <c r="K302" i="5"/>
  <c r="K307" i="5"/>
  <c r="K180" i="5"/>
  <c r="K116" i="5"/>
  <c r="K52" i="5"/>
  <c r="K203" i="5"/>
  <c r="K139" i="5"/>
  <c r="K75" i="5"/>
  <c r="K11" i="5"/>
  <c r="K229" i="5"/>
  <c r="K235" i="5"/>
  <c r="K246" i="5"/>
  <c r="K374" i="5"/>
  <c r="K389" i="5"/>
  <c r="K453" i="5"/>
  <c r="K198" i="5"/>
  <c r="K446" i="5"/>
  <c r="K367" i="5"/>
  <c r="K144" i="5"/>
  <c r="K432" i="5"/>
  <c r="K121" i="5"/>
  <c r="K409" i="5"/>
  <c r="K98" i="5"/>
  <c r="K394" i="5"/>
  <c r="K383" i="5"/>
  <c r="K160" i="5"/>
  <c r="K48" i="5"/>
  <c r="K113" i="5"/>
  <c r="K337" i="5"/>
  <c r="K431" i="5"/>
  <c r="K298" i="5"/>
  <c r="K415" i="5"/>
  <c r="K252" i="5"/>
  <c r="K251" i="5"/>
  <c r="K206" i="5"/>
  <c r="K227" i="5"/>
  <c r="K236" i="5"/>
  <c r="K71" i="5"/>
  <c r="K159" i="5"/>
  <c r="K223" i="5"/>
  <c r="K327" i="5"/>
  <c r="K120" i="5"/>
  <c r="K341" i="5"/>
  <c r="K153" i="5"/>
  <c r="K190" i="5"/>
  <c r="K138" i="5"/>
  <c r="K458" i="5"/>
  <c r="K80" i="5"/>
  <c r="K401" i="5"/>
  <c r="K466" i="5"/>
  <c r="K329" i="5"/>
  <c r="K450" i="5"/>
  <c r="K416" i="5"/>
  <c r="K373" i="5"/>
  <c r="K442" i="5"/>
  <c r="K6" i="5"/>
  <c r="F3" i="4" l="1"/>
  <c r="I3" i="4" s="1"/>
  <c r="C6" i="4"/>
  <c r="C7" i="4" s="1"/>
  <c r="F4" i="4" l="1"/>
  <c r="F21" i="4"/>
  <c r="F15" i="4"/>
  <c r="F16" i="4" s="1"/>
  <c r="F17" i="4" s="1"/>
  <c r="F5" i="4" l="1"/>
  <c r="F6" i="4" s="1"/>
  <c r="I5" i="4"/>
  <c r="F18" i="4"/>
  <c r="F19" i="4"/>
  <c r="F7" i="4" l="1"/>
  <c r="F8" i="4"/>
  <c r="F20" i="4"/>
  <c r="F22" i="4" s="1"/>
  <c r="F9" i="4" l="1"/>
  <c r="F11" i="4" s="1"/>
  <c r="I4" i="4"/>
  <c r="I16" i="4" s="1"/>
  <c r="I17" i="4" s="1"/>
  <c r="I20" i="4" s="1"/>
  <c r="I6" i="4" l="1"/>
  <c r="I18" i="4"/>
</calcChain>
</file>

<file path=xl/sharedStrings.xml><?xml version="1.0" encoding="utf-8"?>
<sst xmlns="http://schemas.openxmlformats.org/spreadsheetml/2006/main" count="1538" uniqueCount="869">
  <si>
    <t>Line item</t>
  </si>
  <si>
    <t>FY2024</t>
  </si>
  <si>
    <t>FY2023</t>
  </si>
  <si>
    <t>FY2022</t>
  </si>
  <si>
    <t>Restaurant revenue</t>
  </si>
  <si>
    <t>Franchise revenue</t>
  </si>
  <si>
    <t>Other revenue</t>
  </si>
  <si>
    <t>Total revenues</t>
  </si>
  <si>
    <t>Cost of sales</t>
  </si>
  <si>
    <t>Labor</t>
  </si>
  <si>
    <t>Other operating</t>
  </si>
  <si>
    <t>Occupancy</t>
  </si>
  <si>
    <t>Depreciation and amortization</t>
  </si>
  <si>
    <t>Selling, general, and administrative expenses</t>
  </si>
  <si>
    <t>Pre-opening costs</t>
  </si>
  <si>
    <t>Impairment and other charges (gains), net</t>
  </si>
  <si>
    <t>Total costs and expenses</t>
  </si>
  <si>
    <t>Income (loss) from operations</t>
  </si>
  <si>
    <t>Interest expense</t>
  </si>
  <si>
    <t>Interest (income) and other, net</t>
  </si>
  <si>
    <t>Total other expenses, net</t>
  </si>
  <si>
    <t>Loss before income taxes</t>
  </si>
  <si>
    <t>Income tax expense (benefit)</t>
  </si>
  <si>
    <t>Net loss</t>
  </si>
  <si>
    <t>Dec 29 2024</t>
  </si>
  <si>
    <t>Dec 31 2023</t>
  </si>
  <si>
    <t>Metric</t>
  </si>
  <si>
    <t>Restaurant contribution margin %</t>
  </si>
  <si>
    <t>Assets:</t>
  </si>
  <si>
    <t xml:space="preserve">   Current assets:</t>
  </si>
  <si>
    <t xml:space="preserve">      Cash and cash equivalents</t>
  </si>
  <si>
    <t xml:space="preserve">      Accounts receivable, net</t>
  </si>
  <si>
    <t xml:space="preserve">      Inventories</t>
  </si>
  <si>
    <t xml:space="preserve">      Prepaid expenses and other current assets</t>
  </si>
  <si>
    <t xml:space="preserve">      Restricted cash</t>
  </si>
  <si>
    <t xml:space="preserve">      Total current assets</t>
  </si>
  <si>
    <t xml:space="preserve">   Property and equipment, net</t>
  </si>
  <si>
    <t xml:space="preserve">   Operating lease assets, net</t>
  </si>
  <si>
    <t xml:space="preserve">   Intangible assets, net</t>
  </si>
  <si>
    <t xml:space="preserve">   Assets held for sale</t>
  </si>
  <si>
    <t xml:space="preserve">   Other assets, net</t>
  </si>
  <si>
    <t xml:space="preserve">   Total assets</t>
  </si>
  <si>
    <t>Liabilities and stockholders' equity:</t>
  </si>
  <si>
    <t xml:space="preserve">   Current liabilities:</t>
  </si>
  <si>
    <t xml:space="preserve">      Accounts payable</t>
  </si>
  <si>
    <t xml:space="preserve">      Accrued payroll and payroll-related liabilities</t>
  </si>
  <si>
    <t xml:space="preserve">      Unearned revenue</t>
  </si>
  <si>
    <t xml:space="preserve">      Current portion of operating lease liabilities</t>
  </si>
  <si>
    <t xml:space="preserve">      Accrued liabilities and other</t>
  </si>
  <si>
    <t xml:space="preserve">      Total current liabilities</t>
  </si>
  <si>
    <t xml:space="preserve">   Long-term debt</t>
  </si>
  <si>
    <t xml:space="preserve">   Long-term portion of operating lease liabilities</t>
  </si>
  <si>
    <t xml:space="preserve">   Other non-current liabilities</t>
  </si>
  <si>
    <t xml:space="preserve">   Total liabilities</t>
  </si>
  <si>
    <t xml:space="preserve">   Stockholders’ equity (deficit):</t>
  </si>
  <si>
    <t xml:space="preserve">      Total stockholders’ equity (deficit)</t>
  </si>
  <si>
    <t xml:space="preserve">   Total liabilities and stockholders’ equity (deficit)</t>
  </si>
  <si>
    <t>Net Loss</t>
  </si>
  <si>
    <t>Operating margin</t>
  </si>
  <si>
    <t>Lease share of gross obligations</t>
  </si>
  <si>
    <t>Avg sales per store ($000)</t>
  </si>
  <si>
    <t>% sales retained (transfer / recapture)</t>
  </si>
  <si>
    <t>Gross revenue removed ($000)</t>
  </si>
  <si>
    <t>Revenue recaptured ($000)</t>
  </si>
  <si>
    <t>Net revenue lost ($000)</t>
  </si>
  <si>
    <t>Contribution savings ($000)</t>
  </si>
  <si>
    <t>Overhead leakage ($000)</t>
  </si>
  <si>
    <t>Net EBITDA uplift (run-rate) ($000)</t>
  </si>
  <si>
    <t>One-time closure costs ($000)</t>
  </si>
  <si>
    <t>Payback (years)</t>
  </si>
  <si>
    <t xml:space="preserve">Closures </t>
  </si>
  <si>
    <t>Leakage</t>
  </si>
  <si>
    <t>One-time costs</t>
  </si>
  <si>
    <t>SG&amp;A as % of revenue</t>
  </si>
  <si>
    <t>EBITDA proxy = Restaurant contribution – SG&amp;A</t>
  </si>
  <si>
    <t>Near-term liquidity gap (Cash + Restricted Cash − Current Liabilities)</t>
  </si>
  <si>
    <t>Medium</t>
  </si>
  <si>
    <t>Ashland, OH</t>
  </si>
  <si>
    <t>469</t>
  </si>
  <si>
    <t>Ashland, MI</t>
  </si>
  <si>
    <t>468</t>
  </si>
  <si>
    <t>Low</t>
  </si>
  <si>
    <t>Auburn, IL</t>
  </si>
  <si>
    <t>467</t>
  </si>
  <si>
    <t>High</t>
  </si>
  <si>
    <t>Milford, CO</t>
  </si>
  <si>
    <t>466</t>
  </si>
  <si>
    <t>Dover, MI</t>
  </si>
  <si>
    <t>465</t>
  </si>
  <si>
    <t>464</t>
  </si>
  <si>
    <t>Milford, TX</t>
  </si>
  <si>
    <t>463</t>
  </si>
  <si>
    <t>Hudson, MA</t>
  </si>
  <si>
    <t>462</t>
  </si>
  <si>
    <t>Georgetown, CO</t>
  </si>
  <si>
    <t>461</t>
  </si>
  <si>
    <t>Hudson, MN</t>
  </si>
  <si>
    <t>460</t>
  </si>
  <si>
    <t>Springfield, PA</t>
  </si>
  <si>
    <t>459</t>
  </si>
  <si>
    <t>Oxford, MI</t>
  </si>
  <si>
    <t>458</t>
  </si>
  <si>
    <t>Salem, MA</t>
  </si>
  <si>
    <t>457</t>
  </si>
  <si>
    <t>Hudson, OH</t>
  </si>
  <si>
    <t>456</t>
  </si>
  <si>
    <t>Ashland, VA</t>
  </si>
  <si>
    <t>455</t>
  </si>
  <si>
    <t>Oxford, NC</t>
  </si>
  <si>
    <t>454</t>
  </si>
  <si>
    <t>Bristol, CA</t>
  </si>
  <si>
    <t>453</t>
  </si>
  <si>
    <t>Oxford, CO</t>
  </si>
  <si>
    <t>452</t>
  </si>
  <si>
    <t>Dover, WI</t>
  </si>
  <si>
    <t>451</t>
  </si>
  <si>
    <t>Milford, WA</t>
  </si>
  <si>
    <t>450</t>
  </si>
  <si>
    <t>Kingston, MA</t>
  </si>
  <si>
    <t>449</t>
  </si>
  <si>
    <t>Greenville, IL</t>
  </si>
  <si>
    <t>448</t>
  </si>
  <si>
    <t>447</t>
  </si>
  <si>
    <t>Centerville, TX</t>
  </si>
  <si>
    <t>446</t>
  </si>
  <si>
    <t>Newport, TN</t>
  </si>
  <si>
    <t>445</t>
  </si>
  <si>
    <t>Madison, MI</t>
  </si>
  <si>
    <t>444</t>
  </si>
  <si>
    <t>Springfield, OH</t>
  </si>
  <si>
    <t>443</t>
  </si>
  <si>
    <t>Clinton, MN</t>
  </si>
  <si>
    <t>442</t>
  </si>
  <si>
    <t>Centerville, MN</t>
  </si>
  <si>
    <t>441</t>
  </si>
  <si>
    <t>Ashland, OR</t>
  </si>
  <si>
    <t>440</t>
  </si>
  <si>
    <t>Fairview, VA</t>
  </si>
  <si>
    <t>439</t>
  </si>
  <si>
    <t>Auburn, OH</t>
  </si>
  <si>
    <t>438</t>
  </si>
  <si>
    <t>Bristol, TX</t>
  </si>
  <si>
    <t>437</t>
  </si>
  <si>
    <t>Madison, WI</t>
  </si>
  <si>
    <t>436</t>
  </si>
  <si>
    <t>435</t>
  </si>
  <si>
    <t>Dover, MA</t>
  </si>
  <si>
    <t>434</t>
  </si>
  <si>
    <t>Hudson, TN</t>
  </si>
  <si>
    <t>433</t>
  </si>
  <si>
    <t>Clinton, GA</t>
  </si>
  <si>
    <t>432</t>
  </si>
  <si>
    <t>Ashland, AZ</t>
  </si>
  <si>
    <t>431</t>
  </si>
  <si>
    <t>Auburn, CA</t>
  </si>
  <si>
    <t>430</t>
  </si>
  <si>
    <t>Salem, GA</t>
  </si>
  <si>
    <t>429</t>
  </si>
  <si>
    <t>Riverside, TX</t>
  </si>
  <si>
    <t>428</t>
  </si>
  <si>
    <t>Arlington, NY</t>
  </si>
  <si>
    <t>427</t>
  </si>
  <si>
    <t>Greenville, WA</t>
  </si>
  <si>
    <t>426</t>
  </si>
  <si>
    <t>Milford, MI</t>
  </si>
  <si>
    <t>425</t>
  </si>
  <si>
    <t>424</t>
  </si>
  <si>
    <t>Madison, CA</t>
  </si>
  <si>
    <t>423</t>
  </si>
  <si>
    <t>Salem, OH</t>
  </si>
  <si>
    <t>422</t>
  </si>
  <si>
    <t>Milford, MA</t>
  </si>
  <si>
    <t>421</t>
  </si>
  <si>
    <t>Georgetown, MA</t>
  </si>
  <si>
    <t>420</t>
  </si>
  <si>
    <t>Riverside, OH</t>
  </si>
  <si>
    <t>419</t>
  </si>
  <si>
    <t>Centerville, MA</t>
  </si>
  <si>
    <t>418</t>
  </si>
  <si>
    <t>Springfield, TX</t>
  </si>
  <si>
    <t>417</t>
  </si>
  <si>
    <t>Oxford, GA</t>
  </si>
  <si>
    <t>416</t>
  </si>
  <si>
    <t>Kingston, NY</t>
  </si>
  <si>
    <t>415</t>
  </si>
  <si>
    <t>Hudson, NC</t>
  </si>
  <si>
    <t>414</t>
  </si>
  <si>
    <t>Kingston, VA</t>
  </si>
  <si>
    <t>413</t>
  </si>
  <si>
    <t>Bristol, WA</t>
  </si>
  <si>
    <t>412</t>
  </si>
  <si>
    <t>Franklin, TN</t>
  </si>
  <si>
    <t>411</t>
  </si>
  <si>
    <t>Riverside, OR</t>
  </si>
  <si>
    <t>410</t>
  </si>
  <si>
    <t>Riverside, MN</t>
  </si>
  <si>
    <t>409</t>
  </si>
  <si>
    <t>Madison, NV</t>
  </si>
  <si>
    <t>408</t>
  </si>
  <si>
    <t>Arlington, WA</t>
  </si>
  <si>
    <t>407</t>
  </si>
  <si>
    <t>Springfield, AZ</t>
  </si>
  <si>
    <t>406</t>
  </si>
  <si>
    <t>Clinton, AZ</t>
  </si>
  <si>
    <t>405</t>
  </si>
  <si>
    <t>Riverside, CO</t>
  </si>
  <si>
    <t>404</t>
  </si>
  <si>
    <t>Salem, WA</t>
  </si>
  <si>
    <t>403</t>
  </si>
  <si>
    <t>402</t>
  </si>
  <si>
    <t>Greenville, AZ</t>
  </si>
  <si>
    <t>401</t>
  </si>
  <si>
    <t>Kingston, TX</t>
  </si>
  <si>
    <t>400</t>
  </si>
  <si>
    <t>Georgetown, NY</t>
  </si>
  <si>
    <t>399</t>
  </si>
  <si>
    <t>398</t>
  </si>
  <si>
    <t>Greenville, CO</t>
  </si>
  <si>
    <t>397</t>
  </si>
  <si>
    <t>Fairview, MI</t>
  </si>
  <si>
    <t>396</t>
  </si>
  <si>
    <t>Salem, NC</t>
  </si>
  <si>
    <t>395</t>
  </si>
  <si>
    <t>Springfield, MN</t>
  </si>
  <si>
    <t>394</t>
  </si>
  <si>
    <t>Oxford, WA</t>
  </si>
  <si>
    <t>393</t>
  </si>
  <si>
    <t>Springfield, NC</t>
  </si>
  <si>
    <t>392</t>
  </si>
  <si>
    <t>391</t>
  </si>
  <si>
    <t>Clinton, VA</t>
  </si>
  <si>
    <t>390</t>
  </si>
  <si>
    <t>Greenville, MA</t>
  </si>
  <si>
    <t>389</t>
  </si>
  <si>
    <t>Newport, PA</t>
  </si>
  <si>
    <t>388</t>
  </si>
  <si>
    <t>Milford, GA</t>
  </si>
  <si>
    <t>387</t>
  </si>
  <si>
    <t>Milford, WI</t>
  </si>
  <si>
    <t>386</t>
  </si>
  <si>
    <t>385</t>
  </si>
  <si>
    <t>Bristol, NC</t>
  </si>
  <si>
    <t>384</t>
  </si>
  <si>
    <t>Clinton, PA</t>
  </si>
  <si>
    <t>383</t>
  </si>
  <si>
    <t>Auburn, WA</t>
  </si>
  <si>
    <t>382</t>
  </si>
  <si>
    <t>Georgetown, WA</t>
  </si>
  <si>
    <t>381</t>
  </si>
  <si>
    <t>Arlington, CA</t>
  </si>
  <si>
    <t>380</t>
  </si>
  <si>
    <t>Georgetown, MI</t>
  </si>
  <si>
    <t>379</t>
  </si>
  <si>
    <t>Salem, MN</t>
  </si>
  <si>
    <t>378</t>
  </si>
  <si>
    <t>Clinton, IL</t>
  </si>
  <si>
    <t>377</t>
  </si>
  <si>
    <t>376</t>
  </si>
  <si>
    <t>Georgetown, AZ</t>
  </si>
  <si>
    <t>375</t>
  </si>
  <si>
    <t>Newport, MA</t>
  </si>
  <si>
    <t>374</t>
  </si>
  <si>
    <t>Fairview, MA</t>
  </si>
  <si>
    <t>373</t>
  </si>
  <si>
    <t>Clinton, NC</t>
  </si>
  <si>
    <t>372</t>
  </si>
  <si>
    <t>Milford, TN</t>
  </si>
  <si>
    <t>371</t>
  </si>
  <si>
    <t>Greenville, FL</t>
  </si>
  <si>
    <t>370</t>
  </si>
  <si>
    <t>Arlington, TN</t>
  </si>
  <si>
    <t>369</t>
  </si>
  <si>
    <t>Springfield, MA</t>
  </si>
  <si>
    <t>368</t>
  </si>
  <si>
    <t>Dover, IL</t>
  </si>
  <si>
    <t>367</t>
  </si>
  <si>
    <t>Ashland, CA</t>
  </si>
  <si>
    <t>366</t>
  </si>
  <si>
    <t>Riverside, FL</t>
  </si>
  <si>
    <t>365</t>
  </si>
  <si>
    <t>Centerville, OR</t>
  </si>
  <si>
    <t>364</t>
  </si>
  <si>
    <t>Greenville, WI</t>
  </si>
  <si>
    <t>363</t>
  </si>
  <si>
    <t>Fairview, CO</t>
  </si>
  <si>
    <t>362</t>
  </si>
  <si>
    <t>Riverside, WA</t>
  </si>
  <si>
    <t>361</t>
  </si>
  <si>
    <t>Clinton, WA</t>
  </si>
  <si>
    <t>360</t>
  </si>
  <si>
    <t>Hudson, WI</t>
  </si>
  <si>
    <t>359</t>
  </si>
  <si>
    <t>Georgetown, TX</t>
  </si>
  <si>
    <t>358</t>
  </si>
  <si>
    <t>357</t>
  </si>
  <si>
    <t>Auburn, AZ</t>
  </si>
  <si>
    <t>356</t>
  </si>
  <si>
    <t>355</t>
  </si>
  <si>
    <t>354</t>
  </si>
  <si>
    <t>353</t>
  </si>
  <si>
    <t>352</t>
  </si>
  <si>
    <t>Franklin, NY</t>
  </si>
  <si>
    <t>351</t>
  </si>
  <si>
    <t>Hudson, VA</t>
  </si>
  <si>
    <t>350</t>
  </si>
  <si>
    <t>Franklin, MI</t>
  </si>
  <si>
    <t>349</t>
  </si>
  <si>
    <t>Fairview, OR</t>
  </si>
  <si>
    <t>348</t>
  </si>
  <si>
    <t>347</t>
  </si>
  <si>
    <t>Milford, AZ</t>
  </si>
  <si>
    <t>346</t>
  </si>
  <si>
    <t>Clinton, OH</t>
  </si>
  <si>
    <t>345</t>
  </si>
  <si>
    <t>Fairview, WI</t>
  </si>
  <si>
    <t>344</t>
  </si>
  <si>
    <t>Oxford, OR</t>
  </si>
  <si>
    <t>343</t>
  </si>
  <si>
    <t>342</t>
  </si>
  <si>
    <t>Georgetown, GA</t>
  </si>
  <si>
    <t>341</t>
  </si>
  <si>
    <t>340</t>
  </si>
  <si>
    <t>339</t>
  </si>
  <si>
    <t>Centerville, MI</t>
  </si>
  <si>
    <t>338</t>
  </si>
  <si>
    <t>337</t>
  </si>
  <si>
    <t>Fairview, AZ</t>
  </si>
  <si>
    <t>336</t>
  </si>
  <si>
    <t>Kingston, GA</t>
  </si>
  <si>
    <t>335</t>
  </si>
  <si>
    <t>Hudson, WA</t>
  </si>
  <si>
    <t>334</t>
  </si>
  <si>
    <t>Arlington, VA</t>
  </si>
  <si>
    <t>333</t>
  </si>
  <si>
    <t>Kingston, NV</t>
  </si>
  <si>
    <t>332</t>
  </si>
  <si>
    <t>Ashland, CO</t>
  </si>
  <si>
    <t>331</t>
  </si>
  <si>
    <t>Fairview, GA</t>
  </si>
  <si>
    <t>330</t>
  </si>
  <si>
    <t>329</t>
  </si>
  <si>
    <t>Franklin, NV</t>
  </si>
  <si>
    <t>328</t>
  </si>
  <si>
    <t>Springfield, VA</t>
  </si>
  <si>
    <t>327</t>
  </si>
  <si>
    <t>Bristol, OH</t>
  </si>
  <si>
    <t>326</t>
  </si>
  <si>
    <t>Hudson, PA</t>
  </si>
  <si>
    <t>325</t>
  </si>
  <si>
    <t>Bristol, NY</t>
  </si>
  <si>
    <t>324</t>
  </si>
  <si>
    <t>Salem, PA</t>
  </si>
  <si>
    <t>323</t>
  </si>
  <si>
    <t>322</t>
  </si>
  <si>
    <t>Ashland, TN</t>
  </si>
  <si>
    <t>321</t>
  </si>
  <si>
    <t>Hudson, TX</t>
  </si>
  <si>
    <t>320</t>
  </si>
  <si>
    <t>319</t>
  </si>
  <si>
    <t>Georgetown, WI</t>
  </si>
  <si>
    <t>318</t>
  </si>
  <si>
    <t>317</t>
  </si>
  <si>
    <t>Kingston, WI</t>
  </si>
  <si>
    <t>316</t>
  </si>
  <si>
    <t>Greenville, GA</t>
  </si>
  <si>
    <t>315</t>
  </si>
  <si>
    <t>Hudson, NV</t>
  </si>
  <si>
    <t>314</t>
  </si>
  <si>
    <t>Kingston, IL</t>
  </si>
  <si>
    <t>313</t>
  </si>
  <si>
    <t>312</t>
  </si>
  <si>
    <t>311</t>
  </si>
  <si>
    <t>Auburn, CO</t>
  </si>
  <si>
    <t>310</t>
  </si>
  <si>
    <t>309</t>
  </si>
  <si>
    <t>Clinton, OR</t>
  </si>
  <si>
    <t>308</t>
  </si>
  <si>
    <t>307</t>
  </si>
  <si>
    <t>Milford, CA</t>
  </si>
  <si>
    <t>306</t>
  </si>
  <si>
    <t>Bristol, AZ</t>
  </si>
  <si>
    <t>305</t>
  </si>
  <si>
    <t>Newport, NY</t>
  </si>
  <si>
    <t>304</t>
  </si>
  <si>
    <t>Oxford, TN</t>
  </si>
  <si>
    <t>303</t>
  </si>
  <si>
    <t>302</t>
  </si>
  <si>
    <t>301</t>
  </si>
  <si>
    <t>Centerville, IL</t>
  </si>
  <si>
    <t>300</t>
  </si>
  <si>
    <t>Oxford, CA</t>
  </si>
  <si>
    <t>299</t>
  </si>
  <si>
    <t>Madison, PA</t>
  </si>
  <si>
    <t>298</t>
  </si>
  <si>
    <t>297</t>
  </si>
  <si>
    <t>296</t>
  </si>
  <si>
    <t>Riverside, TN</t>
  </si>
  <si>
    <t>295</t>
  </si>
  <si>
    <t>Riverside, GA</t>
  </si>
  <si>
    <t>294</t>
  </si>
  <si>
    <t>Madison, OH</t>
  </si>
  <si>
    <t>293</t>
  </si>
  <si>
    <t>Greenville, OH</t>
  </si>
  <si>
    <t>292</t>
  </si>
  <si>
    <t>Auburn, TN</t>
  </si>
  <si>
    <t>291</t>
  </si>
  <si>
    <t>290</t>
  </si>
  <si>
    <t>Arlington, OH</t>
  </si>
  <si>
    <t>289</t>
  </si>
  <si>
    <t>Fairview, NV</t>
  </si>
  <si>
    <t>288</t>
  </si>
  <si>
    <t>Madison, CO</t>
  </si>
  <si>
    <t>287</t>
  </si>
  <si>
    <t>Newport, IL</t>
  </si>
  <si>
    <t>286</t>
  </si>
  <si>
    <t>285</t>
  </si>
  <si>
    <t>284</t>
  </si>
  <si>
    <t>Riverside, WI</t>
  </si>
  <si>
    <t>283</t>
  </si>
  <si>
    <t>Oxford, MA</t>
  </si>
  <si>
    <t>282</t>
  </si>
  <si>
    <t>Franklin, MN</t>
  </si>
  <si>
    <t>281</t>
  </si>
  <si>
    <t>280</t>
  </si>
  <si>
    <t>279</t>
  </si>
  <si>
    <t>Auburn, FL</t>
  </si>
  <si>
    <t>278</t>
  </si>
  <si>
    <t>277</t>
  </si>
  <si>
    <t>Springfield, WA</t>
  </si>
  <si>
    <t>276</t>
  </si>
  <si>
    <t>Salem, CO</t>
  </si>
  <si>
    <t>275</t>
  </si>
  <si>
    <t>Dover, AZ</t>
  </si>
  <si>
    <t>274</t>
  </si>
  <si>
    <t>Newport, FL</t>
  </si>
  <si>
    <t>273</t>
  </si>
  <si>
    <t>272</t>
  </si>
  <si>
    <t>271</t>
  </si>
  <si>
    <t>Franklin, NC</t>
  </si>
  <si>
    <t>270</t>
  </si>
  <si>
    <t>269</t>
  </si>
  <si>
    <t>268</t>
  </si>
  <si>
    <t>267</t>
  </si>
  <si>
    <t>Bristol, MN</t>
  </si>
  <si>
    <t>266</t>
  </si>
  <si>
    <t>265</t>
  </si>
  <si>
    <t>264</t>
  </si>
  <si>
    <t>Newport, CA</t>
  </si>
  <si>
    <t>263</t>
  </si>
  <si>
    <t>Salem, MI</t>
  </si>
  <si>
    <t>262</t>
  </si>
  <si>
    <t>261</t>
  </si>
  <si>
    <t>Georgetown, VA</t>
  </si>
  <si>
    <t>260</t>
  </si>
  <si>
    <t>259</t>
  </si>
  <si>
    <t>Bristol, NV</t>
  </si>
  <si>
    <t>258</t>
  </si>
  <si>
    <t>Arlington, GA</t>
  </si>
  <si>
    <t>257</t>
  </si>
  <si>
    <t>Newport, CO</t>
  </si>
  <si>
    <t>256</t>
  </si>
  <si>
    <t>Bristol, IL</t>
  </si>
  <si>
    <t>255</t>
  </si>
  <si>
    <t>254</t>
  </si>
  <si>
    <t>253</t>
  </si>
  <si>
    <t>252</t>
  </si>
  <si>
    <t>Kingston, PA</t>
  </si>
  <si>
    <t>251</t>
  </si>
  <si>
    <t>Kingston, MI</t>
  </si>
  <si>
    <t>250</t>
  </si>
  <si>
    <t>Madison, MA</t>
  </si>
  <si>
    <t>249</t>
  </si>
  <si>
    <t>Oxford, OH</t>
  </si>
  <si>
    <t>248</t>
  </si>
  <si>
    <t>Fairview, TN</t>
  </si>
  <si>
    <t>247</t>
  </si>
  <si>
    <t>246</t>
  </si>
  <si>
    <t>Newport, MN</t>
  </si>
  <si>
    <t>245</t>
  </si>
  <si>
    <t>Springfield, FL</t>
  </si>
  <si>
    <t>244</t>
  </si>
  <si>
    <t>Clinton, MI</t>
  </si>
  <si>
    <t>243</t>
  </si>
  <si>
    <t>Auburn, NV</t>
  </si>
  <si>
    <t>242</t>
  </si>
  <si>
    <t>241</t>
  </si>
  <si>
    <t>Riverside, MA</t>
  </si>
  <si>
    <t>240</t>
  </si>
  <si>
    <t>Auburn, TX</t>
  </si>
  <si>
    <t>239</t>
  </si>
  <si>
    <t>238</t>
  </si>
  <si>
    <t>Riverside, NC</t>
  </si>
  <si>
    <t>237</t>
  </si>
  <si>
    <t>Milford, IL</t>
  </si>
  <si>
    <t>236</t>
  </si>
  <si>
    <t>Springfield, IL</t>
  </si>
  <si>
    <t>235</t>
  </si>
  <si>
    <t>Riverside, MI</t>
  </si>
  <si>
    <t>234</t>
  </si>
  <si>
    <t>233</t>
  </si>
  <si>
    <t>Ashland, NC</t>
  </si>
  <si>
    <t>232</t>
  </si>
  <si>
    <t>Franklin, CA</t>
  </si>
  <si>
    <t>231</t>
  </si>
  <si>
    <t>230</t>
  </si>
  <si>
    <t>229</t>
  </si>
  <si>
    <t>228</t>
  </si>
  <si>
    <t>Georgetown, NC</t>
  </si>
  <si>
    <t>227</t>
  </si>
  <si>
    <t>Oxford, PA</t>
  </si>
  <si>
    <t>226</t>
  </si>
  <si>
    <t>225</t>
  </si>
  <si>
    <t>224</t>
  </si>
  <si>
    <t>Fairview, TX</t>
  </si>
  <si>
    <t>223</t>
  </si>
  <si>
    <t>Newport, OH</t>
  </si>
  <si>
    <t>222</t>
  </si>
  <si>
    <t>Franklin, WA</t>
  </si>
  <si>
    <t>221</t>
  </si>
  <si>
    <t>220</t>
  </si>
  <si>
    <t>219</t>
  </si>
  <si>
    <t>218</t>
  </si>
  <si>
    <t>Arlington, TX</t>
  </si>
  <si>
    <t>217</t>
  </si>
  <si>
    <t>Dover, VA</t>
  </si>
  <si>
    <t>216</t>
  </si>
  <si>
    <t>Clinton, CA</t>
  </si>
  <si>
    <t>215</t>
  </si>
  <si>
    <t>Franklin, PA</t>
  </si>
  <si>
    <t>214</t>
  </si>
  <si>
    <t>213</t>
  </si>
  <si>
    <t>212</t>
  </si>
  <si>
    <t>Dover, OR</t>
  </si>
  <si>
    <t>211</t>
  </si>
  <si>
    <t>210</t>
  </si>
  <si>
    <t>209</t>
  </si>
  <si>
    <t>Bristol, FL</t>
  </si>
  <si>
    <t>208</t>
  </si>
  <si>
    <t>207</t>
  </si>
  <si>
    <t>Newport, VA</t>
  </si>
  <si>
    <t>206</t>
  </si>
  <si>
    <t>205</t>
  </si>
  <si>
    <t>204</t>
  </si>
  <si>
    <t>203</t>
  </si>
  <si>
    <t>202</t>
  </si>
  <si>
    <t>Clinton, WI</t>
  </si>
  <si>
    <t>201</t>
  </si>
  <si>
    <t>200</t>
  </si>
  <si>
    <t>Fairview, NC</t>
  </si>
  <si>
    <t>199</t>
  </si>
  <si>
    <t>198</t>
  </si>
  <si>
    <t>Centerville, PA</t>
  </si>
  <si>
    <t>197</t>
  </si>
  <si>
    <t>196</t>
  </si>
  <si>
    <t>195</t>
  </si>
  <si>
    <t>194</t>
  </si>
  <si>
    <t>Franklin, FL</t>
  </si>
  <si>
    <t>193</t>
  </si>
  <si>
    <t>Georgetown, NV</t>
  </si>
  <si>
    <t>192</t>
  </si>
  <si>
    <t>191</t>
  </si>
  <si>
    <t>190</t>
  </si>
  <si>
    <t>Milford, OR</t>
  </si>
  <si>
    <t>189</t>
  </si>
  <si>
    <t>Arlington, NV</t>
  </si>
  <si>
    <t>188</t>
  </si>
  <si>
    <t>187</t>
  </si>
  <si>
    <t>186</t>
  </si>
  <si>
    <t>Salem, FL</t>
  </si>
  <si>
    <t>185</t>
  </si>
  <si>
    <t>Salem, AZ</t>
  </si>
  <si>
    <t>184</t>
  </si>
  <si>
    <t>Centerville, FL</t>
  </si>
  <si>
    <t>183</t>
  </si>
  <si>
    <t>Newport, GA</t>
  </si>
  <si>
    <t>182</t>
  </si>
  <si>
    <t>Arlington, WI</t>
  </si>
  <si>
    <t>181</t>
  </si>
  <si>
    <t>Milford, NY</t>
  </si>
  <si>
    <t>180</t>
  </si>
  <si>
    <t>179</t>
  </si>
  <si>
    <t>178</t>
  </si>
  <si>
    <t>177</t>
  </si>
  <si>
    <t>Bristol, OR</t>
  </si>
  <si>
    <t>176</t>
  </si>
  <si>
    <t>175</t>
  </si>
  <si>
    <t>174</t>
  </si>
  <si>
    <t>173</t>
  </si>
  <si>
    <t>Dover, NC</t>
  </si>
  <si>
    <t>172</t>
  </si>
  <si>
    <t>Georgetown, OR</t>
  </si>
  <si>
    <t>171</t>
  </si>
  <si>
    <t>170</t>
  </si>
  <si>
    <t>169</t>
  </si>
  <si>
    <t>168</t>
  </si>
  <si>
    <t>167</t>
  </si>
  <si>
    <t>Newport, MI</t>
  </si>
  <si>
    <t>166</t>
  </si>
  <si>
    <t>165</t>
  </si>
  <si>
    <t>164</t>
  </si>
  <si>
    <t>Salem, NV</t>
  </si>
  <si>
    <t>163</t>
  </si>
  <si>
    <t>162</t>
  </si>
  <si>
    <t>161</t>
  </si>
  <si>
    <t>Auburn, OR</t>
  </si>
  <si>
    <t>160</t>
  </si>
  <si>
    <t>159</t>
  </si>
  <si>
    <t>158</t>
  </si>
  <si>
    <t>Newport, WI</t>
  </si>
  <si>
    <t>157</t>
  </si>
  <si>
    <t>Centerville, NC</t>
  </si>
  <si>
    <t>156</t>
  </si>
  <si>
    <t>155</t>
  </si>
  <si>
    <t>154</t>
  </si>
  <si>
    <t>153</t>
  </si>
  <si>
    <t>152</t>
  </si>
  <si>
    <t>Newport, OR</t>
  </si>
  <si>
    <t>151</t>
  </si>
  <si>
    <t>150</t>
  </si>
  <si>
    <t>Franklin, IL</t>
  </si>
  <si>
    <t>149</t>
  </si>
  <si>
    <t>148</t>
  </si>
  <si>
    <t>Clinton, NY</t>
  </si>
  <si>
    <t>147</t>
  </si>
  <si>
    <t>146</t>
  </si>
  <si>
    <t>145</t>
  </si>
  <si>
    <t>Franklin, TX</t>
  </si>
  <si>
    <t>144</t>
  </si>
  <si>
    <t>Kingston, OH</t>
  </si>
  <si>
    <t>143</t>
  </si>
  <si>
    <t>Kingston, FL</t>
  </si>
  <si>
    <t>142</t>
  </si>
  <si>
    <t>141</t>
  </si>
  <si>
    <t>Greenville, TN</t>
  </si>
  <si>
    <t>140</t>
  </si>
  <si>
    <t>Ashland, MA</t>
  </si>
  <si>
    <t>139</t>
  </si>
  <si>
    <t>138</t>
  </si>
  <si>
    <t>Greenville, VA</t>
  </si>
  <si>
    <t>137</t>
  </si>
  <si>
    <t>Auburn, WI</t>
  </si>
  <si>
    <t>136</t>
  </si>
  <si>
    <t>135</t>
  </si>
  <si>
    <t>134</t>
  </si>
  <si>
    <t>133</t>
  </si>
  <si>
    <t>132</t>
  </si>
  <si>
    <t>Arlington, OR</t>
  </si>
  <si>
    <t>131</t>
  </si>
  <si>
    <t>130</t>
  </si>
  <si>
    <t>129</t>
  </si>
  <si>
    <t>128</t>
  </si>
  <si>
    <t>Arlington, FL</t>
  </si>
  <si>
    <t>127</t>
  </si>
  <si>
    <t>Greenville, TX</t>
  </si>
  <si>
    <t>126</t>
  </si>
  <si>
    <t>Centerville, VA</t>
  </si>
  <si>
    <t>125</t>
  </si>
  <si>
    <t>124</t>
  </si>
  <si>
    <t>123</t>
  </si>
  <si>
    <t>122</t>
  </si>
  <si>
    <t>Greenville, NY</t>
  </si>
  <si>
    <t>121</t>
  </si>
  <si>
    <t>Newport, WA</t>
  </si>
  <si>
    <t>120</t>
  </si>
  <si>
    <t>119</t>
  </si>
  <si>
    <t>Fairview, MN</t>
  </si>
  <si>
    <t>118</t>
  </si>
  <si>
    <t>Milford, NV</t>
  </si>
  <si>
    <t>117</t>
  </si>
  <si>
    <t>Ashland, NY</t>
  </si>
  <si>
    <t>116</t>
  </si>
  <si>
    <t>Centerville, WA</t>
  </si>
  <si>
    <t>115</t>
  </si>
  <si>
    <t>114</t>
  </si>
  <si>
    <t>113</t>
  </si>
  <si>
    <t>Centerville, CO</t>
  </si>
  <si>
    <t>112</t>
  </si>
  <si>
    <t>Greenville, CA</t>
  </si>
  <si>
    <t>111</t>
  </si>
  <si>
    <t>Greenville, OR</t>
  </si>
  <si>
    <t>110</t>
  </si>
  <si>
    <t>109</t>
  </si>
  <si>
    <t>108</t>
  </si>
  <si>
    <t>Ashland, FL</t>
  </si>
  <si>
    <t>107</t>
  </si>
  <si>
    <t>106</t>
  </si>
  <si>
    <t>105</t>
  </si>
  <si>
    <t>104</t>
  </si>
  <si>
    <t>Newport, NC</t>
  </si>
  <si>
    <t>103</t>
  </si>
  <si>
    <t>102</t>
  </si>
  <si>
    <t>Milford, VA</t>
  </si>
  <si>
    <t>101</t>
  </si>
  <si>
    <t>Oxford, FL</t>
  </si>
  <si>
    <t>100</t>
  </si>
  <si>
    <t>099</t>
  </si>
  <si>
    <t>Hudson, MI</t>
  </si>
  <si>
    <t>098</t>
  </si>
  <si>
    <t>Riverside, NY</t>
  </si>
  <si>
    <t>097</t>
  </si>
  <si>
    <t>096</t>
  </si>
  <si>
    <t>095</t>
  </si>
  <si>
    <t>094</t>
  </si>
  <si>
    <t>093</t>
  </si>
  <si>
    <t>Arlington, MA</t>
  </si>
  <si>
    <t>092</t>
  </si>
  <si>
    <t>Madison, OR</t>
  </si>
  <si>
    <t>091</t>
  </si>
  <si>
    <t>090</t>
  </si>
  <si>
    <t>089</t>
  </si>
  <si>
    <t>088</t>
  </si>
  <si>
    <t>087</t>
  </si>
  <si>
    <t>086</t>
  </si>
  <si>
    <t>Georgetown, OH</t>
  </si>
  <si>
    <t>085</t>
  </si>
  <si>
    <t>084</t>
  </si>
  <si>
    <t>083</t>
  </si>
  <si>
    <t>Clinton, CO</t>
  </si>
  <si>
    <t>082</t>
  </si>
  <si>
    <t>081</t>
  </si>
  <si>
    <t>080</t>
  </si>
  <si>
    <t>Oxford, VA</t>
  </si>
  <si>
    <t>079</t>
  </si>
  <si>
    <t>078</t>
  </si>
  <si>
    <t>Bristol, TN</t>
  </si>
  <si>
    <t>077</t>
  </si>
  <si>
    <t>076</t>
  </si>
  <si>
    <t>075</t>
  </si>
  <si>
    <t>Dover, NV</t>
  </si>
  <si>
    <t>074</t>
  </si>
  <si>
    <t>Georgetown, TN</t>
  </si>
  <si>
    <t>073</t>
  </si>
  <si>
    <t>072</t>
  </si>
  <si>
    <t>071</t>
  </si>
  <si>
    <t>070</t>
  </si>
  <si>
    <t>069</t>
  </si>
  <si>
    <t>Hudson, GA</t>
  </si>
  <si>
    <t>068</t>
  </si>
  <si>
    <t>Kingston, AZ</t>
  </si>
  <si>
    <t>067</t>
  </si>
  <si>
    <t>066</t>
  </si>
  <si>
    <t>065</t>
  </si>
  <si>
    <t>064</t>
  </si>
  <si>
    <t>063</t>
  </si>
  <si>
    <t>062</t>
  </si>
  <si>
    <t>061</t>
  </si>
  <si>
    <t>Arlington, IL</t>
  </si>
  <si>
    <t>060</t>
  </si>
  <si>
    <t>Madison, WA</t>
  </si>
  <si>
    <t>059</t>
  </si>
  <si>
    <t>058</t>
  </si>
  <si>
    <t>057</t>
  </si>
  <si>
    <t>056</t>
  </si>
  <si>
    <t>055</t>
  </si>
  <si>
    <t>054</t>
  </si>
  <si>
    <t>Fairview, FL</t>
  </si>
  <si>
    <t>053</t>
  </si>
  <si>
    <t>Arlington, MN</t>
  </si>
  <si>
    <t>052</t>
  </si>
  <si>
    <t>051</t>
  </si>
  <si>
    <t>050</t>
  </si>
  <si>
    <t>049</t>
  </si>
  <si>
    <t>048</t>
  </si>
  <si>
    <t>047</t>
  </si>
  <si>
    <t>Ashland, IL</t>
  </si>
  <si>
    <t>046</t>
  </si>
  <si>
    <t>Kingston, OR</t>
  </si>
  <si>
    <t>045</t>
  </si>
  <si>
    <t>044</t>
  </si>
  <si>
    <t>043</t>
  </si>
  <si>
    <t>Oxford, AZ</t>
  </si>
  <si>
    <t>042</t>
  </si>
  <si>
    <t>041</t>
  </si>
  <si>
    <t>040</t>
  </si>
  <si>
    <t>039</t>
  </si>
  <si>
    <t>Fairview, OH</t>
  </si>
  <si>
    <t>038</t>
  </si>
  <si>
    <t>Franklin, VA</t>
  </si>
  <si>
    <t>037</t>
  </si>
  <si>
    <t>Ashland, NV</t>
  </si>
  <si>
    <t>036</t>
  </si>
  <si>
    <t>035</t>
  </si>
  <si>
    <t>034</t>
  </si>
  <si>
    <t>033</t>
  </si>
  <si>
    <t>032</t>
  </si>
  <si>
    <t>Springfield, GA</t>
  </si>
  <si>
    <t>031</t>
  </si>
  <si>
    <t>Springfield, CA</t>
  </si>
  <si>
    <t>030</t>
  </si>
  <si>
    <t>Salem, VA</t>
  </si>
  <si>
    <t>029</t>
  </si>
  <si>
    <t>Auburn, MA</t>
  </si>
  <si>
    <t>028</t>
  </si>
  <si>
    <t>Riverside, CA</t>
  </si>
  <si>
    <t>027</t>
  </si>
  <si>
    <t>026</t>
  </si>
  <si>
    <t>Madison, GA</t>
  </si>
  <si>
    <t>025</t>
  </si>
  <si>
    <t>Centerville, NV</t>
  </si>
  <si>
    <t>024</t>
  </si>
  <si>
    <t>023</t>
  </si>
  <si>
    <t>022</t>
  </si>
  <si>
    <t>021</t>
  </si>
  <si>
    <t>Ashland, WA</t>
  </si>
  <si>
    <t>020</t>
  </si>
  <si>
    <t>019</t>
  </si>
  <si>
    <t>018</t>
  </si>
  <si>
    <t>Riverside, VA</t>
  </si>
  <si>
    <t>017</t>
  </si>
  <si>
    <t>Milford, MN</t>
  </si>
  <si>
    <t>016</t>
  </si>
  <si>
    <t>015</t>
  </si>
  <si>
    <t>014</t>
  </si>
  <si>
    <t>013</t>
  </si>
  <si>
    <t>012</t>
  </si>
  <si>
    <t>011</t>
  </si>
  <si>
    <t>Hudson, OR</t>
  </si>
  <si>
    <t>010</t>
  </si>
  <si>
    <t>009</t>
  </si>
  <si>
    <t>Oxford, WI</t>
  </si>
  <si>
    <t>008</t>
  </si>
  <si>
    <t>007</t>
  </si>
  <si>
    <t>006</t>
  </si>
  <si>
    <t>005</t>
  </si>
  <si>
    <t>Kingston, TN</t>
  </si>
  <si>
    <t>004</t>
  </si>
  <si>
    <t>003</t>
  </si>
  <si>
    <t>002</t>
  </si>
  <si>
    <t>001</t>
  </si>
  <si>
    <t>Wave</t>
  </si>
  <si>
    <t>Closure decision</t>
  </si>
  <si>
    <t>Closure score (0-100)</t>
  </si>
  <si>
    <t>Trade-area overlap</t>
  </si>
  <si>
    <t>Months to lease expiry</t>
  </si>
  <si>
    <t>Lease expiry date</t>
  </si>
  <si>
    <t>Contribution margin %</t>
  </si>
  <si>
    <t>AUV percentile</t>
  </si>
  <si>
    <t>AUV ($m)</t>
  </si>
  <si>
    <t>City/State</t>
  </si>
  <si>
    <t>Store ID</t>
  </si>
  <si>
    <t>Restaurant to shutdown wave 1</t>
  </si>
  <si>
    <t>Restaurant to shutdown wave 2</t>
  </si>
  <si>
    <t>Total number of restaurants</t>
  </si>
  <si>
    <t>Total closures</t>
  </si>
  <si>
    <t>% footprint closed</t>
  </si>
  <si>
    <t>Total program impact</t>
  </si>
  <si>
    <t>Total Net EBITDA uplift</t>
  </si>
  <si>
    <t>Total one-time costs</t>
  </si>
  <si>
    <t>Total payback</t>
  </si>
  <si>
    <t>FY24 EBITDA proxy (baseline)</t>
  </si>
  <si>
    <t>EBITDA proxy (after closures)</t>
  </si>
  <si>
    <t>EBITDA Uplift – Closures Program (Run-Rate)</t>
  </si>
  <si>
    <t>EBITDA (Proxy) Margin – (Post-Closures)</t>
  </si>
  <si>
    <t>SG&amp;A savings</t>
  </si>
  <si>
    <t>SG&amp;A reduction from closing (%)</t>
  </si>
  <si>
    <t>Operating Performance Bridge (EBITDA Proxy + D&amp;A)</t>
  </si>
  <si>
    <t>A) Profitability</t>
  </si>
  <si>
    <t>B) Balance Sheet &amp; Liquidity</t>
  </si>
  <si>
    <t>C) Bottom Line</t>
  </si>
  <si>
    <t>Interest Coverage</t>
  </si>
  <si>
    <t xml:space="preserve">Restaurant contribution=Total revenues−(Cost of sales+Labor+Other operating+Occupancy) </t>
  </si>
  <si>
    <t>KPI Dashboard ($000)</t>
  </si>
  <si>
    <t>4-wall contribution=Restaurant Revenue−(COGS+Labor+Other Operating+Occupancy) ($000)</t>
  </si>
  <si>
    <t>Summary table from Store Permances ($000)</t>
  </si>
  <si>
    <t>Total Restructuring Program Impact (Wave 1 + Wave 2) ($000)</t>
  </si>
  <si>
    <t>Non-cash items / EBITDA reconciliation ($000)</t>
  </si>
  <si>
    <t>Wave 1  ($000)</t>
  </si>
  <si>
    <t>Wave 2 ($000)</t>
  </si>
  <si>
    <t>restructuring impact summary ($000)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</si>
</sst>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[$$-409]* #,##0.00_);_([$$-409]* \(#,##0.00\);_([$$-409]* &quot;-&quot;??_);_(@_)"/>
    <numFmt numFmtId="165" formatCode="_([$$-409]* #,##0_);_([$$-409]* \(#,##0\);_([$$-409]* &quot;-&quot;??_);_(@_)"/>
    <numFmt numFmtId="166" formatCode="#,##0;\(#,##0\)"/>
    <numFmt numFmtId="167" formatCode="0.000%"/>
    <numFmt numFmtId="168" formatCode="yyyy\-mm\-dd"/>
    <numFmt numFmtId="169" formatCode="0.0000"/>
    <numFmt numFmtId="170" formatCode="0.000"/>
    <numFmt numFmtId="171" formatCode="_([$$-409]* #,##0_);_([$$-409]* \(#,##0\);_([$$-409]* &quot;-&quot;_);_(@_)"/>
    <numFmt numFmtId="172" formatCode="#,##0.00;\(#,##0.00\)"/>
  </numFmts>
  <fonts count="10">
    <font>
      <sz val="11"/>
      <color theme="1"/>
      <name val="Calibri"/>
      <family val="2"/>
      <scheme val="minor"/>
    </font>
    <font>
      <b/>
      <sz val="11"/>
      <name val="Calibri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1"/>
      <name val="Arial Unicode MS"/>
    </font>
    <font>
      <b/>
      <sz val="10"/>
      <color theme="1"/>
      <name val="Arial Unicode MS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9" fontId="2" fillId="0" borderId="0"/>
    <xf numFmtId="0" fontId="6" fillId="0" borderId="0" applyNumberFormat="0" applyFill="0" applyBorder="0" applyAlignment="0" applyProtection="0"/>
  </cellStyleXfs>
  <cellXfs count="63">
    <xf numFmtId="0" fontId="0" fillId="0" borderId="0" xfId="0"/>
    <xf numFmtId="0" fontId="1" fillId="0" borderId="1" xfId="0" applyFont="1" applyBorder="1" applyAlignment="1">
      <alignment horizontal="center" vertical="top"/>
    </xf>
    <xf numFmtId="165" fontId="0" fillId="0" borderId="0" xfId="0" applyNumberFormat="1"/>
    <xf numFmtId="0" fontId="3" fillId="0" borderId="0" xfId="0" applyFont="1"/>
    <xf numFmtId="0" fontId="4" fillId="0" borderId="0" xfId="0" applyFont="1"/>
    <xf numFmtId="165" fontId="4" fillId="0" borderId="0" xfId="0" applyNumberFormat="1" applyFo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166" fontId="0" fillId="0" borderId="0" xfId="0" applyNumberFormat="1" applyAlignment="1">
      <alignment horizontal="right"/>
    </xf>
    <xf numFmtId="0" fontId="4" fillId="0" borderId="0" xfId="0" applyFont="1" applyAlignment="1">
      <alignment horizontal="right"/>
    </xf>
    <xf numFmtId="0" fontId="0" fillId="0" borderId="0" xfId="0" applyAlignment="1">
      <alignment vertical="center" wrapText="1"/>
    </xf>
    <xf numFmtId="164" fontId="0" fillId="0" borderId="0" xfId="0" applyNumberFormat="1"/>
    <xf numFmtId="0" fontId="8" fillId="0" borderId="0" xfId="0" applyFont="1" applyAlignment="1">
      <alignment vertical="center" wrapText="1"/>
    </xf>
    <xf numFmtId="164" fontId="8" fillId="0" borderId="0" xfId="0" applyNumberFormat="1" applyFont="1" applyAlignment="1">
      <alignment vertical="center" wrapText="1"/>
    </xf>
    <xf numFmtId="9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4" fillId="0" borderId="1" xfId="0" applyFont="1" applyBorder="1" applyAlignment="1">
      <alignment horizontal="center" vertical="top"/>
    </xf>
    <xf numFmtId="0" fontId="4" fillId="0" borderId="4" xfId="0" applyFont="1" applyBorder="1" applyAlignment="1">
      <alignment horizontal="center" vertical="top"/>
    </xf>
    <xf numFmtId="0" fontId="0" fillId="0" borderId="5" xfId="0" applyBorder="1"/>
    <xf numFmtId="0" fontId="4" fillId="0" borderId="6" xfId="0" applyFont="1" applyBorder="1" applyAlignment="1">
      <alignment horizontal="center" vertical="top"/>
    </xf>
    <xf numFmtId="164" fontId="0" fillId="0" borderId="5" xfId="0" applyNumberFormat="1" applyBorder="1"/>
    <xf numFmtId="164" fontId="0" fillId="0" borderId="5" xfId="0" applyNumberFormat="1" applyBorder="1" applyAlignment="1">
      <alignment vertical="center" wrapText="1"/>
    </xf>
    <xf numFmtId="0" fontId="3" fillId="0" borderId="6" xfId="0" applyFont="1" applyBorder="1"/>
    <xf numFmtId="0" fontId="3" fillId="0" borderId="8" xfId="0" applyFont="1" applyBorder="1" applyAlignment="1">
      <alignment vertical="center" wrapText="1"/>
    </xf>
    <xf numFmtId="2" fontId="9" fillId="0" borderId="8" xfId="0" applyNumberFormat="1" applyFont="1" applyBorder="1" applyAlignment="1">
      <alignment vertical="center" wrapText="1"/>
    </xf>
    <xf numFmtId="164" fontId="8" fillId="0" borderId="8" xfId="0" applyNumberFormat="1" applyFont="1" applyBorder="1" applyAlignment="1">
      <alignment vertical="center" wrapText="1"/>
    </xf>
    <xf numFmtId="164" fontId="0" fillId="0" borderId="8" xfId="0" applyNumberFormat="1" applyBorder="1"/>
    <xf numFmtId="0" fontId="0" fillId="2" borderId="0" xfId="0" applyFill="1" applyAlignment="1">
      <alignment vertical="center" wrapText="1"/>
    </xf>
    <xf numFmtId="164" fontId="8" fillId="2" borderId="0" xfId="0" applyNumberFormat="1" applyFont="1" applyFill="1" applyAlignment="1">
      <alignment vertical="center" wrapText="1"/>
    </xf>
    <xf numFmtId="9" fontId="0" fillId="0" borderId="5" xfId="0" applyNumberFormat="1" applyBorder="1"/>
    <xf numFmtId="164" fontId="0" fillId="0" borderId="7" xfId="0" applyNumberFormat="1" applyBorder="1"/>
    <xf numFmtId="0" fontId="3" fillId="2" borderId="2" xfId="0" applyFont="1" applyFill="1" applyBorder="1" applyAlignment="1">
      <alignment horizontal="center" vertical="center"/>
    </xf>
    <xf numFmtId="0" fontId="3" fillId="0" borderId="9" xfId="0" applyFont="1" applyBorder="1"/>
    <xf numFmtId="2" fontId="8" fillId="0" borderId="10" xfId="0" applyNumberFormat="1" applyFont="1" applyBorder="1" applyAlignment="1">
      <alignment vertical="center" wrapText="1"/>
    </xf>
    <xf numFmtId="10" fontId="0" fillId="0" borderId="5" xfId="1" applyNumberFormat="1" applyFont="1" applyBorder="1"/>
    <xf numFmtId="164" fontId="8" fillId="0" borderId="5" xfId="0" applyNumberFormat="1" applyFont="1" applyBorder="1" applyAlignment="1">
      <alignment vertical="center" wrapText="1"/>
    </xf>
    <xf numFmtId="9" fontId="0" fillId="0" borderId="5" xfId="0" applyNumberFormat="1" applyBorder="1" applyAlignment="1">
      <alignment vertical="center" wrapText="1"/>
    </xf>
    <xf numFmtId="0" fontId="7" fillId="0" borderId="4" xfId="0" applyFont="1" applyBorder="1"/>
    <xf numFmtId="0" fontId="4" fillId="0" borderId="11" xfId="0" applyFont="1" applyBorder="1"/>
    <xf numFmtId="164" fontId="0" fillId="0" borderId="12" xfId="0" applyNumberFormat="1" applyBorder="1"/>
    <xf numFmtId="0" fontId="4" fillId="2" borderId="3" xfId="0" applyFont="1" applyFill="1" applyBorder="1" applyAlignment="1">
      <alignment horizontal="center" vertical="center"/>
    </xf>
    <xf numFmtId="164" fontId="3" fillId="0" borderId="7" xfId="0" applyNumberFormat="1" applyFont="1" applyBorder="1"/>
    <xf numFmtId="0" fontId="0" fillId="0" borderId="13" xfId="0" applyBorder="1"/>
    <xf numFmtId="164" fontId="0" fillId="0" borderId="14" xfId="0" applyNumberFormat="1" applyBorder="1"/>
    <xf numFmtId="0" fontId="7" fillId="0" borderId="13" xfId="0" applyFont="1" applyBorder="1"/>
    <xf numFmtId="9" fontId="0" fillId="0" borderId="14" xfId="0" applyNumberFormat="1" applyBorder="1"/>
    <xf numFmtId="0" fontId="7" fillId="0" borderId="0" xfId="0" applyFont="1"/>
    <xf numFmtId="10" fontId="0" fillId="0" borderId="0" xfId="1" applyNumberFormat="1" applyFont="1" applyFill="1"/>
    <xf numFmtId="167" fontId="0" fillId="0" borderId="0" xfId="1" applyNumberFormat="1" applyFont="1" applyFill="1"/>
    <xf numFmtId="171" fontId="0" fillId="0" borderId="0" xfId="0" applyNumberFormat="1"/>
    <xf numFmtId="170" fontId="0" fillId="0" borderId="0" xfId="0" applyNumberFormat="1"/>
    <xf numFmtId="0" fontId="7" fillId="0" borderId="0" xfId="0" applyFont="1" applyAlignment="1">
      <alignment wrapText="1"/>
    </xf>
    <xf numFmtId="172" fontId="4" fillId="0" borderId="1" xfId="0" applyNumberFormat="1" applyFont="1" applyBorder="1" applyAlignment="1">
      <alignment horizontal="center" vertical="top" wrapText="1"/>
    </xf>
    <xf numFmtId="172" fontId="0" fillId="0" borderId="0" xfId="0" applyNumberFormat="1"/>
    <xf numFmtId="0" fontId="3" fillId="3" borderId="0" xfId="0" applyFont="1" applyFill="1" applyAlignment="1">
      <alignment horizontal="center"/>
    </xf>
    <xf numFmtId="0" fontId="6" fillId="2" borderId="2" xfId="3" applyFill="1" applyBorder="1" applyAlignment="1">
      <alignment horizontal="center" vertical="center"/>
    </xf>
    <xf numFmtId="0" fontId="6" fillId="2" borderId="3" xfId="3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</cellXfs>
  <cellStyles count="4">
    <cellStyle name="Hyperlink" xfId="3" builtinId="8"/>
    <cellStyle name="Normal" xfId="0" builtinId="0"/>
    <cellStyle name="Percent" xfId="1" builtinId="5"/>
    <cellStyle name="Percent 2" xfId="2" xr:uid="{71115EB8-F8DB-4663-A882-53F8C89451E8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110BD3C-1B79-489A-B950-072B24637A0F}">
  <we:reference id="WA200005502" version="1.0.0.12" store="Omex" storeType="OMEX"/>
  <we:alternateReferences>
    <we:reference id="WA200005502" version="1.0.0.12" store="WA200005502" storeType="OMEX"/>
  </we:alternateReferences>
  <we:properties>
    <we:property name="docId" value="&quot;tV8kp4UokKhxUl1T_SnK0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31"/>
  <sheetViews>
    <sheetView topLeftCell="A4" zoomScaleNormal="100" workbookViewId="0">
      <selection activeCell="A20" sqref="A20"/>
    </sheetView>
  </sheetViews>
  <sheetFormatPr defaultRowHeight="14.4"/>
  <cols>
    <col min="1" max="1" width="43.21875" bestFit="1" customWidth="1"/>
    <col min="2" max="3" width="11" bestFit="1" customWidth="1"/>
  </cols>
  <sheetData>
    <row r="1" spans="1:3">
      <c r="A1" s="6" t="s">
        <v>0</v>
      </c>
      <c r="B1" s="6" t="s">
        <v>24</v>
      </c>
      <c r="C1" s="6" t="s">
        <v>25</v>
      </c>
    </row>
    <row r="2" spans="1:3">
      <c r="A2" s="7" t="s">
        <v>28</v>
      </c>
      <c r="B2" s="8"/>
      <c r="C2" s="8"/>
    </row>
    <row r="3" spans="1:3">
      <c r="A3" s="7" t="s">
        <v>29</v>
      </c>
      <c r="B3" s="8"/>
      <c r="C3" s="8"/>
    </row>
    <row r="4" spans="1:3">
      <c r="A4" s="9" t="s">
        <v>30</v>
      </c>
      <c r="B4" s="10">
        <v>30651</v>
      </c>
      <c r="C4" s="10">
        <v>23634</v>
      </c>
    </row>
    <row r="5" spans="1:3">
      <c r="A5" s="9" t="s">
        <v>31</v>
      </c>
      <c r="B5" s="10">
        <v>19688</v>
      </c>
      <c r="C5" s="10">
        <v>21592</v>
      </c>
    </row>
    <row r="6" spans="1:3">
      <c r="A6" s="9" t="s">
        <v>32</v>
      </c>
      <c r="B6" s="10">
        <v>26737</v>
      </c>
      <c r="C6" s="10">
        <v>26839</v>
      </c>
    </row>
    <row r="7" spans="1:3">
      <c r="A7" s="9" t="s">
        <v>33</v>
      </c>
      <c r="B7" s="10">
        <v>13608</v>
      </c>
      <c r="C7" s="10">
        <v>11785</v>
      </c>
    </row>
    <row r="8" spans="1:3">
      <c r="A8" s="9" t="s">
        <v>34</v>
      </c>
      <c r="B8" s="10">
        <v>8750</v>
      </c>
      <c r="C8" s="10">
        <v>7931</v>
      </c>
    </row>
    <row r="9" spans="1:3">
      <c r="A9" s="7" t="s">
        <v>35</v>
      </c>
      <c r="B9" s="11">
        <f>SUM(B4:B8)</f>
        <v>99434</v>
      </c>
      <c r="C9" s="11">
        <f>SUM(C4:C8)</f>
        <v>91781</v>
      </c>
    </row>
    <row r="10" spans="1:3">
      <c r="A10" s="9" t="s">
        <v>36</v>
      </c>
      <c r="B10" s="10">
        <v>181224</v>
      </c>
      <c r="C10" s="10">
        <v>261258</v>
      </c>
    </row>
    <row r="11" spans="1:3">
      <c r="A11" s="9" t="s">
        <v>37</v>
      </c>
      <c r="B11" s="10">
        <v>331617</v>
      </c>
      <c r="C11" s="10">
        <v>361609</v>
      </c>
    </row>
    <row r="12" spans="1:3">
      <c r="A12" s="9" t="s">
        <v>38</v>
      </c>
      <c r="B12" s="10">
        <v>11064</v>
      </c>
      <c r="C12" s="10">
        <v>15491</v>
      </c>
    </row>
    <row r="13" spans="1:3">
      <c r="A13" s="9" t="s">
        <v>39</v>
      </c>
      <c r="B13" s="10">
        <v>4313</v>
      </c>
      <c r="C13" s="10">
        <v>0</v>
      </c>
    </row>
    <row r="14" spans="1:3">
      <c r="A14" s="9" t="s">
        <v>40</v>
      </c>
      <c r="B14" s="10">
        <v>13662</v>
      </c>
      <c r="C14" s="10">
        <v>11795</v>
      </c>
    </row>
    <row r="15" spans="1:3">
      <c r="A15" s="7" t="s">
        <v>41</v>
      </c>
      <c r="B15" s="11">
        <f>B9+SUM(B10:B14)</f>
        <v>641314</v>
      </c>
      <c r="C15" s="11">
        <f>C9+SUM(C10:C14)</f>
        <v>741934</v>
      </c>
    </row>
    <row r="16" spans="1:3">
      <c r="A16" s="9"/>
      <c r="B16" s="8"/>
      <c r="C16" s="8"/>
    </row>
    <row r="17" spans="1:3">
      <c r="A17" s="7" t="s">
        <v>42</v>
      </c>
      <c r="B17" s="8"/>
      <c r="C17" s="8"/>
    </row>
    <row r="18" spans="1:3">
      <c r="A18" s="7" t="s">
        <v>43</v>
      </c>
      <c r="B18" s="8"/>
      <c r="C18" s="8"/>
    </row>
    <row r="19" spans="1:3">
      <c r="A19" s="9" t="s">
        <v>44</v>
      </c>
      <c r="B19" s="10">
        <v>29783</v>
      </c>
      <c r="C19" s="10">
        <v>27726</v>
      </c>
    </row>
    <row r="20" spans="1:3">
      <c r="A20" s="9" t="s">
        <v>45</v>
      </c>
      <c r="B20" s="10">
        <v>39672</v>
      </c>
      <c r="C20" s="10">
        <v>32524</v>
      </c>
    </row>
    <row r="21" spans="1:3">
      <c r="A21" s="9" t="s">
        <v>46</v>
      </c>
      <c r="B21" s="10">
        <v>27083</v>
      </c>
      <c r="C21" s="10">
        <v>36067</v>
      </c>
    </row>
    <row r="22" spans="1:3">
      <c r="A22" s="9" t="s">
        <v>47</v>
      </c>
      <c r="B22" s="10">
        <v>50083</v>
      </c>
      <c r="C22" s="10">
        <v>43819</v>
      </c>
    </row>
    <row r="23" spans="1:3">
      <c r="A23" s="9" t="s">
        <v>48</v>
      </c>
      <c r="B23" s="10">
        <v>42931</v>
      </c>
      <c r="C23" s="10">
        <v>46201</v>
      </c>
    </row>
    <row r="24" spans="1:3">
      <c r="A24" s="7" t="s">
        <v>49</v>
      </c>
      <c r="B24" s="11">
        <f>SUM(B19:B23)</f>
        <v>189552</v>
      </c>
      <c r="C24" s="11">
        <f>SUM(C19:C23)</f>
        <v>186337</v>
      </c>
    </row>
    <row r="25" spans="1:3">
      <c r="A25" s="9" t="s">
        <v>50</v>
      </c>
      <c r="B25" s="10">
        <v>181641</v>
      </c>
      <c r="C25" s="10">
        <v>182594</v>
      </c>
    </row>
    <row r="26" spans="1:3">
      <c r="A26" s="9" t="s">
        <v>51</v>
      </c>
      <c r="B26" s="10">
        <v>345635</v>
      </c>
      <c r="C26" s="10">
        <v>383439</v>
      </c>
    </row>
    <row r="27" spans="1:3">
      <c r="A27" s="9" t="s">
        <v>52</v>
      </c>
      <c r="B27" s="10">
        <v>8755</v>
      </c>
      <c r="C27" s="10">
        <v>10006</v>
      </c>
    </row>
    <row r="28" spans="1:3">
      <c r="A28" s="7" t="s">
        <v>53</v>
      </c>
      <c r="B28" s="11">
        <f>B24+SUM(B25:B27)</f>
        <v>725583</v>
      </c>
      <c r="C28" s="11">
        <f>C24+SUM(C25:C27)</f>
        <v>762376</v>
      </c>
    </row>
    <row r="29" spans="1:3">
      <c r="A29" s="7" t="s">
        <v>54</v>
      </c>
      <c r="B29" s="8"/>
      <c r="C29" s="8"/>
    </row>
    <row r="30" spans="1:3">
      <c r="A30" s="7" t="s">
        <v>55</v>
      </c>
      <c r="B30" s="10">
        <v>-84269</v>
      </c>
      <c r="C30" s="10">
        <v>-20442</v>
      </c>
    </row>
    <row r="31" spans="1:3">
      <c r="A31" s="7" t="s">
        <v>56</v>
      </c>
      <c r="B31" s="8">
        <f>B28+B30</f>
        <v>641314</v>
      </c>
      <c r="C31" s="8">
        <f>C28+C30</f>
        <v>741934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D21"/>
  <sheetViews>
    <sheetView zoomScale="135" workbookViewId="0">
      <selection activeCell="B21" sqref="B21"/>
    </sheetView>
  </sheetViews>
  <sheetFormatPr defaultRowHeight="14.4"/>
  <cols>
    <col min="1" max="1" width="37.88671875" bestFit="1" customWidth="1"/>
    <col min="2" max="4" width="14.6640625" bestFit="1" customWidth="1"/>
  </cols>
  <sheetData>
    <row r="1" spans="1:4">
      <c r="A1" s="1" t="s">
        <v>0</v>
      </c>
      <c r="B1" s="1" t="s">
        <v>1</v>
      </c>
      <c r="C1" s="1" t="s">
        <v>2</v>
      </c>
      <c r="D1" s="1" t="s">
        <v>3</v>
      </c>
    </row>
    <row r="2" spans="1:4">
      <c r="A2" t="s">
        <v>4</v>
      </c>
      <c r="B2" s="2">
        <v>1224254</v>
      </c>
      <c r="C2" s="2">
        <v>1274294</v>
      </c>
      <c r="D2" s="2">
        <v>1230189</v>
      </c>
    </row>
    <row r="3" spans="1:4">
      <c r="A3" t="s">
        <v>5</v>
      </c>
      <c r="B3" s="2">
        <v>14941</v>
      </c>
      <c r="C3" s="2">
        <v>15867</v>
      </c>
      <c r="D3" s="2">
        <v>19306</v>
      </c>
    </row>
    <row r="4" spans="1:4">
      <c r="A4" t="s">
        <v>6</v>
      </c>
      <c r="B4" s="2">
        <v>9365</v>
      </c>
      <c r="C4" s="2">
        <v>12885</v>
      </c>
      <c r="D4" s="2">
        <v>16039</v>
      </c>
    </row>
    <row r="5" spans="1:4">
      <c r="A5" s="4" t="s">
        <v>7</v>
      </c>
      <c r="B5" s="5">
        <f>SUM(B2:B4)</f>
        <v>1248560</v>
      </c>
      <c r="C5" s="5">
        <f t="shared" ref="C5:D5" si="0">SUM(C2:C4)</f>
        <v>1303046</v>
      </c>
      <c r="D5" s="5">
        <f t="shared" si="0"/>
        <v>1265534</v>
      </c>
    </row>
    <row r="6" spans="1:4">
      <c r="A6" t="s">
        <v>8</v>
      </c>
      <c r="B6" s="2">
        <v>292392</v>
      </c>
      <c r="C6" s="2">
        <v>308962</v>
      </c>
      <c r="D6" s="2">
        <v>306509</v>
      </c>
    </row>
    <row r="7" spans="1:4">
      <c r="A7" t="s">
        <v>9</v>
      </c>
      <c r="B7" s="2">
        <v>479631</v>
      </c>
      <c r="C7" s="2">
        <v>473538</v>
      </c>
      <c r="D7" s="2">
        <v>440564</v>
      </c>
    </row>
    <row r="8" spans="1:4">
      <c r="A8" t="s">
        <v>10</v>
      </c>
      <c r="B8" s="2">
        <v>216242</v>
      </c>
      <c r="C8" s="2">
        <v>224999</v>
      </c>
      <c r="D8" s="2">
        <v>224704</v>
      </c>
    </row>
    <row r="9" spans="1:4">
      <c r="A9" t="s">
        <v>11</v>
      </c>
      <c r="B9" s="2">
        <v>103359</v>
      </c>
      <c r="C9" s="2">
        <v>102761</v>
      </c>
      <c r="D9" s="2">
        <v>98868</v>
      </c>
    </row>
    <row r="10" spans="1:4">
      <c r="A10" t="s">
        <v>12</v>
      </c>
      <c r="B10" s="2">
        <v>57729</v>
      </c>
      <c r="C10" s="2">
        <v>66190</v>
      </c>
      <c r="D10" s="2">
        <v>76245</v>
      </c>
    </row>
    <row r="11" spans="1:4">
      <c r="A11" t="s">
        <v>13</v>
      </c>
      <c r="B11" s="2">
        <v>118440</v>
      </c>
      <c r="C11" s="2">
        <v>124130</v>
      </c>
      <c r="D11" s="2">
        <v>136612</v>
      </c>
    </row>
    <row r="12" spans="1:4">
      <c r="A12" t="s">
        <v>14</v>
      </c>
      <c r="B12" s="2">
        <v>0</v>
      </c>
      <c r="C12" s="2">
        <v>587</v>
      </c>
      <c r="D12" s="2">
        <v>568</v>
      </c>
    </row>
    <row r="13" spans="1:4">
      <c r="A13" t="s">
        <v>15</v>
      </c>
      <c r="B13" s="2">
        <v>33848</v>
      </c>
      <c r="C13" s="2">
        <v>-2663</v>
      </c>
      <c r="D13" s="2">
        <v>38961</v>
      </c>
    </row>
    <row r="14" spans="1:4">
      <c r="A14" s="4" t="s">
        <v>16</v>
      </c>
      <c r="B14" s="5">
        <f>SUM(B6:B13)</f>
        <v>1301641</v>
      </c>
      <c r="C14" s="5">
        <f t="shared" ref="C14:D14" si="1">SUM(C6:C13)</f>
        <v>1298504</v>
      </c>
      <c r="D14" s="5">
        <f t="shared" si="1"/>
        <v>1323031</v>
      </c>
    </row>
    <row r="15" spans="1:4">
      <c r="A15" t="s">
        <v>17</v>
      </c>
      <c r="B15" s="2">
        <f>B5-B14</f>
        <v>-53081</v>
      </c>
      <c r="C15" s="2">
        <f t="shared" ref="C15:D15" si="2">C5-C14</f>
        <v>4542</v>
      </c>
      <c r="D15" s="2">
        <f t="shared" si="2"/>
        <v>-57497</v>
      </c>
    </row>
    <row r="16" spans="1:4">
      <c r="A16" t="s">
        <v>18</v>
      </c>
      <c r="B16" s="2">
        <v>25277</v>
      </c>
      <c r="C16" s="2">
        <v>26560</v>
      </c>
      <c r="D16" s="2">
        <v>20643</v>
      </c>
    </row>
    <row r="17" spans="1:4">
      <c r="A17" t="s">
        <v>19</v>
      </c>
      <c r="B17" s="2">
        <v>-727</v>
      </c>
      <c r="C17" s="2">
        <v>-1100</v>
      </c>
      <c r="D17" s="2">
        <v>-4</v>
      </c>
    </row>
    <row r="18" spans="1:4">
      <c r="A18" s="4" t="s">
        <v>20</v>
      </c>
      <c r="B18" s="5">
        <f>SUM(B16:B17)</f>
        <v>24550</v>
      </c>
      <c r="C18" s="5">
        <f t="shared" ref="C18:D18" si="3">SUM(C16:C17)</f>
        <v>25460</v>
      </c>
      <c r="D18" s="5">
        <f t="shared" si="3"/>
        <v>20639</v>
      </c>
    </row>
    <row r="19" spans="1:4">
      <c r="A19" t="s">
        <v>21</v>
      </c>
      <c r="B19" s="2">
        <f>-B18+B15</f>
        <v>-77631</v>
      </c>
      <c r="C19" s="2">
        <f t="shared" ref="C19:D19" si="4">-C18+C15</f>
        <v>-20918</v>
      </c>
      <c r="D19" s="2">
        <f t="shared" si="4"/>
        <v>-78136</v>
      </c>
    </row>
    <row r="20" spans="1:4">
      <c r="A20" t="s">
        <v>22</v>
      </c>
      <c r="B20" s="2">
        <v>-90</v>
      </c>
      <c r="C20" s="2">
        <v>310</v>
      </c>
      <c r="D20" s="2">
        <v>747</v>
      </c>
    </row>
    <row r="21" spans="1:4">
      <c r="A21" s="3" t="s">
        <v>23</v>
      </c>
      <c r="B21" s="5">
        <f>+B19-B20</f>
        <v>-77541</v>
      </c>
      <c r="C21" s="5">
        <f t="shared" ref="C21:D21" si="5">+C19-C20</f>
        <v>-21228</v>
      </c>
      <c r="D21" s="5">
        <f t="shared" si="5"/>
        <v>-78883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3EF23-998A-42F6-B039-38CEC47B566B}">
  <sheetPr codeName="Sheet3"/>
  <dimension ref="A1:L470"/>
  <sheetViews>
    <sheetView workbookViewId="0">
      <selection activeCell="F29" sqref="F29"/>
    </sheetView>
  </sheetViews>
  <sheetFormatPr defaultRowHeight="14.4"/>
  <cols>
    <col min="1" max="1" width="7.6640625" bestFit="1" customWidth="1"/>
    <col min="2" max="2" width="15" bestFit="1" customWidth="1"/>
    <col min="3" max="3" width="9.21875" bestFit="1" customWidth="1"/>
    <col min="4" max="4" width="13.6640625" bestFit="1" customWidth="1"/>
    <col min="5" max="5" width="11.88671875" style="56" customWidth="1"/>
    <col min="6" max="6" width="20.109375" bestFit="1" customWidth="1"/>
    <col min="7" max="7" width="15.5546875" bestFit="1" customWidth="1"/>
    <col min="8" max="8" width="20.21875" bestFit="1" customWidth="1"/>
    <col min="9" max="9" width="17" bestFit="1" customWidth="1"/>
    <col min="10" max="10" width="18.77734375" bestFit="1" customWidth="1"/>
    <col min="11" max="11" width="14.6640625" bestFit="1" customWidth="1"/>
    <col min="12" max="12" width="7.109375" bestFit="1" customWidth="1"/>
    <col min="13" max="14" width="28.88671875" bestFit="1" customWidth="1"/>
  </cols>
  <sheetData>
    <row r="1" spans="1:12" ht="30.6" customHeight="1">
      <c r="A1" s="19" t="s">
        <v>839</v>
      </c>
      <c r="B1" s="19" t="s">
        <v>838</v>
      </c>
      <c r="C1" s="19" t="s">
        <v>837</v>
      </c>
      <c r="D1" s="19" t="s">
        <v>836</v>
      </c>
      <c r="E1" s="55" t="s">
        <v>862</v>
      </c>
      <c r="F1" s="19" t="s">
        <v>835</v>
      </c>
      <c r="G1" s="19" t="s">
        <v>834</v>
      </c>
      <c r="H1" s="19" t="s">
        <v>833</v>
      </c>
      <c r="I1" s="19" t="s">
        <v>832</v>
      </c>
      <c r="J1" s="19" t="s">
        <v>831</v>
      </c>
      <c r="K1" s="19" t="s">
        <v>830</v>
      </c>
      <c r="L1" s="19" t="s">
        <v>829</v>
      </c>
    </row>
    <row r="2" spans="1:12">
      <c r="A2" t="s">
        <v>828</v>
      </c>
      <c r="B2" t="s">
        <v>488</v>
      </c>
      <c r="C2">
        <v>3.59</v>
      </c>
      <c r="D2" s="18">
        <f>_xlfn.RANK.EQ(C2,$C$2:$C$470,1)/COUNT($C$2:$C$470)</f>
        <v>0.95735607675906187</v>
      </c>
      <c r="E2" s="56">
        <v>434.42</v>
      </c>
      <c r="F2">
        <v>11.52</v>
      </c>
      <c r="G2" s="17">
        <v>46661</v>
      </c>
      <c r="H2">
        <v>33</v>
      </c>
      <c r="I2" t="s">
        <v>84</v>
      </c>
      <c r="J2">
        <f t="shared" ref="J2:J65" si="0">IF($D2&lt;=0.25,40,0)+IF($F2&lt;0,30,IF($F2&lt;2,20,IF($F2&lt;5,10,0)))+IF($H2&lt;=24,20,IF($H2&lt;=36,10,0))
+IF($I2="Low",10,IF($I2="Medium",5,0))</f>
        <v>10</v>
      </c>
      <c r="K2" t="str">
        <f t="shared" ref="K2:K65" si="1">IF(L2=$L$2, "","Close")</f>
        <v/>
      </c>
      <c r="L2" t="str">
        <f>IF(_xlfn.RANK.EQ($J2,$J$2:$J$470,0)&lt;=40,"Wave 1",
IF(_xlfn.RANK.EQ($J2,$J$2:$J$470,0)&lt;=70,"Wave 2",""))</f>
        <v/>
      </c>
    </row>
    <row r="3" spans="1:12">
      <c r="A3" t="s">
        <v>827</v>
      </c>
      <c r="B3" t="s">
        <v>301</v>
      </c>
      <c r="C3">
        <v>2.4</v>
      </c>
      <c r="D3" s="18">
        <f t="shared" ref="D3:D66" si="2">_xlfn.RANK.EQ(C3,$C$2:$C$470,1)/COUNT($C$2:$C$470)</f>
        <v>0.32622601279317698</v>
      </c>
      <c r="E3" s="56">
        <v>445.79</v>
      </c>
      <c r="F3">
        <v>15.06</v>
      </c>
      <c r="G3" s="17">
        <v>47119</v>
      </c>
      <c r="H3">
        <v>48</v>
      </c>
      <c r="I3" t="s">
        <v>76</v>
      </c>
      <c r="J3">
        <f t="shared" si="0"/>
        <v>5</v>
      </c>
      <c r="K3" t="str">
        <f t="shared" si="1"/>
        <v/>
      </c>
      <c r="L3" t="str">
        <f>IF(_xlfn.RANK.EQ($J3,$J$2:$J$470,0)&lt;=40,"Wave 1",
IF(_xlfn.RANK.EQ($J3,$J$2:$J$470,0)&lt;=70,"Wave 2",""))</f>
        <v/>
      </c>
    </row>
    <row r="4" spans="1:12">
      <c r="A4" t="s">
        <v>826</v>
      </c>
      <c r="B4" t="s">
        <v>316</v>
      </c>
      <c r="C4">
        <v>2.68</v>
      </c>
      <c r="D4" s="18">
        <f t="shared" si="2"/>
        <v>0.55010660980810233</v>
      </c>
      <c r="E4" s="56">
        <v>410.15</v>
      </c>
      <c r="F4">
        <v>13.13</v>
      </c>
      <c r="G4" s="17">
        <v>48153</v>
      </c>
      <c r="H4">
        <v>82</v>
      </c>
      <c r="I4" t="s">
        <v>81</v>
      </c>
      <c r="J4">
        <f t="shared" si="0"/>
        <v>10</v>
      </c>
      <c r="K4" t="str">
        <f t="shared" si="1"/>
        <v/>
      </c>
      <c r="L4" t="str">
        <f>IF(_xlfn.RANK.EQ($J4,$J$2:$J$470,0)&lt;=40,"Wave 1",
IF(_xlfn.RANK.EQ($J4,$J$2:$J$470,0)&lt;=70,"Wave 2",""))</f>
        <v/>
      </c>
    </row>
    <row r="5" spans="1:12">
      <c r="A5" t="s">
        <v>825</v>
      </c>
      <c r="B5" t="s">
        <v>824</v>
      </c>
      <c r="C5">
        <v>2.88</v>
      </c>
      <c r="D5" s="18">
        <f t="shared" si="2"/>
        <v>0.67377398720682302</v>
      </c>
      <c r="E5" s="56">
        <v>394.87</v>
      </c>
      <c r="F5">
        <v>9.8000000000000007</v>
      </c>
      <c r="G5" s="17">
        <v>48153</v>
      </c>
      <c r="H5">
        <v>82</v>
      </c>
      <c r="I5" t="s">
        <v>76</v>
      </c>
      <c r="J5">
        <f t="shared" si="0"/>
        <v>5</v>
      </c>
      <c r="K5" t="str">
        <f t="shared" si="1"/>
        <v/>
      </c>
      <c r="L5" t="str">
        <f>IF(_xlfn.RANK.EQ($J5,$J$2:$J$470,0)&lt;=40,"Wave 1",
IF(_xlfn.RANK.EQ($J5,$J$2:$J$470,0)&lt;=70,"Wave 2",""))</f>
        <v/>
      </c>
    </row>
    <row r="6" spans="1:12">
      <c r="A6" t="s">
        <v>823</v>
      </c>
      <c r="B6" t="s">
        <v>775</v>
      </c>
      <c r="C6">
        <v>2.23</v>
      </c>
      <c r="D6" s="18">
        <f t="shared" si="2"/>
        <v>0.21748400852878466</v>
      </c>
      <c r="E6" s="56">
        <v>237</v>
      </c>
      <c r="F6">
        <v>13.46</v>
      </c>
      <c r="G6" s="17">
        <v>47484</v>
      </c>
      <c r="H6">
        <v>60</v>
      </c>
      <c r="I6" t="s">
        <v>76</v>
      </c>
      <c r="J6">
        <f t="shared" si="0"/>
        <v>45</v>
      </c>
      <c r="K6" t="str">
        <f t="shared" si="1"/>
        <v>Close</v>
      </c>
      <c r="L6" t="str">
        <f>IF(_xlfn.RANK.EQ($J6,$J$2:$J$470,0)&lt;=40,"Wave 1",
IF(_xlfn.RANK.EQ($J6,$J$2:$J$470,0)&lt;=65,"Wave 2",""))</f>
        <v>Wave 2</v>
      </c>
    </row>
    <row r="7" spans="1:12">
      <c r="A7" t="s">
        <v>822</v>
      </c>
      <c r="B7" t="s">
        <v>238</v>
      </c>
      <c r="C7">
        <v>2.66</v>
      </c>
      <c r="D7" s="18">
        <f t="shared" si="2"/>
        <v>0.53304904051172708</v>
      </c>
      <c r="E7" s="56">
        <v>399.39</v>
      </c>
      <c r="F7">
        <v>7.29</v>
      </c>
      <c r="G7" s="17">
        <v>46997</v>
      </c>
      <c r="H7">
        <v>44</v>
      </c>
      <c r="I7" t="s">
        <v>81</v>
      </c>
      <c r="J7">
        <f t="shared" si="0"/>
        <v>10</v>
      </c>
      <c r="K7" t="str">
        <f t="shared" si="1"/>
        <v/>
      </c>
      <c r="L7" t="str">
        <f t="shared" ref="L7:L70" si="3">IF(_xlfn.RANK.EQ($J7,$J$2:$J$470,0)&lt;=40,"Wave 1",
IF(_xlfn.RANK.EQ($J7,$J$2:$J$470,0)&lt;=70,"Wave 2",""))</f>
        <v/>
      </c>
    </row>
    <row r="8" spans="1:12">
      <c r="A8" t="s">
        <v>821</v>
      </c>
      <c r="B8" t="s">
        <v>746</v>
      </c>
      <c r="C8">
        <v>2.66</v>
      </c>
      <c r="D8" s="18">
        <f t="shared" si="2"/>
        <v>0.53304904051172708</v>
      </c>
      <c r="E8" s="56">
        <v>405.49</v>
      </c>
      <c r="F8">
        <v>16.29</v>
      </c>
      <c r="G8" s="17">
        <v>49096</v>
      </c>
      <c r="H8">
        <v>113</v>
      </c>
      <c r="I8" t="s">
        <v>84</v>
      </c>
      <c r="J8">
        <f t="shared" si="0"/>
        <v>0</v>
      </c>
      <c r="K8" t="str">
        <f t="shared" si="1"/>
        <v/>
      </c>
      <c r="L8" t="str">
        <f t="shared" si="3"/>
        <v/>
      </c>
    </row>
    <row r="9" spans="1:12">
      <c r="A9" t="s">
        <v>820</v>
      </c>
      <c r="B9" t="s">
        <v>819</v>
      </c>
      <c r="C9">
        <v>1.69</v>
      </c>
      <c r="D9" s="18">
        <f t="shared" si="2"/>
        <v>4.6908315565031986E-2</v>
      </c>
      <c r="E9" s="56">
        <v>81.22</v>
      </c>
      <c r="F9">
        <v>17.920000000000002</v>
      </c>
      <c r="G9" s="17">
        <v>46692</v>
      </c>
      <c r="H9">
        <v>34</v>
      </c>
      <c r="I9" t="s">
        <v>81</v>
      </c>
      <c r="J9">
        <f t="shared" si="0"/>
        <v>60</v>
      </c>
      <c r="K9" t="str">
        <f t="shared" si="1"/>
        <v>Close</v>
      </c>
      <c r="L9" t="str">
        <f t="shared" si="3"/>
        <v>Wave 1</v>
      </c>
    </row>
    <row r="10" spans="1:12">
      <c r="A10" t="s">
        <v>818</v>
      </c>
      <c r="B10" t="s">
        <v>779</v>
      </c>
      <c r="C10">
        <v>3.22</v>
      </c>
      <c r="D10" s="18">
        <f t="shared" si="2"/>
        <v>0.86993603411513865</v>
      </c>
      <c r="E10" s="56">
        <v>411.27</v>
      </c>
      <c r="F10">
        <v>7.3</v>
      </c>
      <c r="G10" s="17">
        <v>47150</v>
      </c>
      <c r="H10">
        <v>49</v>
      </c>
      <c r="I10" t="s">
        <v>76</v>
      </c>
      <c r="J10">
        <f t="shared" si="0"/>
        <v>5</v>
      </c>
      <c r="K10" t="str">
        <f t="shared" si="1"/>
        <v/>
      </c>
      <c r="L10" t="str">
        <f t="shared" si="3"/>
        <v/>
      </c>
    </row>
    <row r="11" spans="1:12">
      <c r="A11" t="s">
        <v>817</v>
      </c>
      <c r="B11" t="s">
        <v>816</v>
      </c>
      <c r="C11">
        <v>2.99</v>
      </c>
      <c r="D11" s="18">
        <f t="shared" si="2"/>
        <v>0.75053304904051177</v>
      </c>
      <c r="E11" s="56">
        <v>307.12</v>
      </c>
      <c r="F11">
        <v>14.49</v>
      </c>
      <c r="G11" s="17">
        <v>46722</v>
      </c>
      <c r="H11">
        <v>35</v>
      </c>
      <c r="I11" t="s">
        <v>76</v>
      </c>
      <c r="J11">
        <f t="shared" si="0"/>
        <v>15</v>
      </c>
      <c r="K11" t="str">
        <f t="shared" si="1"/>
        <v/>
      </c>
      <c r="L11" t="str">
        <f t="shared" si="3"/>
        <v/>
      </c>
    </row>
    <row r="12" spans="1:12">
      <c r="A12" t="s">
        <v>815</v>
      </c>
      <c r="B12" t="s">
        <v>777</v>
      </c>
      <c r="C12">
        <v>2.3199999999999998</v>
      </c>
      <c r="D12" s="18">
        <f t="shared" si="2"/>
        <v>0.27292110874200426</v>
      </c>
      <c r="E12" s="56">
        <v>384.05</v>
      </c>
      <c r="F12">
        <v>8.14</v>
      </c>
      <c r="G12" s="17">
        <v>47788</v>
      </c>
      <c r="H12">
        <v>70</v>
      </c>
      <c r="I12" t="s">
        <v>76</v>
      </c>
      <c r="J12">
        <f t="shared" si="0"/>
        <v>5</v>
      </c>
      <c r="K12" t="str">
        <f t="shared" si="1"/>
        <v/>
      </c>
      <c r="L12" t="str">
        <f t="shared" si="3"/>
        <v/>
      </c>
    </row>
    <row r="13" spans="1:12">
      <c r="A13" t="s">
        <v>814</v>
      </c>
      <c r="B13" t="s">
        <v>286</v>
      </c>
      <c r="C13">
        <v>2.57</v>
      </c>
      <c r="D13" s="18">
        <f t="shared" si="2"/>
        <v>0.45415778251599148</v>
      </c>
      <c r="E13" s="56">
        <v>381.13</v>
      </c>
      <c r="F13">
        <v>17.420000000000002</v>
      </c>
      <c r="G13" s="17">
        <v>46661</v>
      </c>
      <c r="H13">
        <v>33</v>
      </c>
      <c r="I13" t="s">
        <v>84</v>
      </c>
      <c r="J13">
        <f t="shared" si="0"/>
        <v>10</v>
      </c>
      <c r="K13" t="str">
        <f t="shared" si="1"/>
        <v/>
      </c>
      <c r="L13" t="str">
        <f t="shared" si="3"/>
        <v/>
      </c>
    </row>
    <row r="14" spans="1:12">
      <c r="A14" t="s">
        <v>813</v>
      </c>
      <c r="B14" t="s">
        <v>205</v>
      </c>
      <c r="C14">
        <v>2.94</v>
      </c>
      <c r="D14" s="18">
        <f t="shared" si="2"/>
        <v>0.71855010660980811</v>
      </c>
      <c r="E14" s="56">
        <v>466.38</v>
      </c>
      <c r="F14">
        <v>16.670000000000002</v>
      </c>
      <c r="G14" s="17">
        <v>47818</v>
      </c>
      <c r="H14">
        <v>71</v>
      </c>
      <c r="I14" t="s">
        <v>76</v>
      </c>
      <c r="J14">
        <f t="shared" si="0"/>
        <v>5</v>
      </c>
      <c r="K14" t="str">
        <f t="shared" si="1"/>
        <v/>
      </c>
      <c r="L14" t="str">
        <f t="shared" si="3"/>
        <v/>
      </c>
    </row>
    <row r="15" spans="1:12">
      <c r="A15" t="s">
        <v>812</v>
      </c>
      <c r="B15" t="s">
        <v>270</v>
      </c>
      <c r="C15">
        <v>2.52</v>
      </c>
      <c r="D15" s="18">
        <f t="shared" si="2"/>
        <v>0.4115138592750533</v>
      </c>
      <c r="E15" s="56">
        <v>354.46</v>
      </c>
      <c r="F15">
        <v>11.56</v>
      </c>
      <c r="G15" s="17">
        <v>48245</v>
      </c>
      <c r="H15">
        <v>85</v>
      </c>
      <c r="I15" t="s">
        <v>81</v>
      </c>
      <c r="J15">
        <f t="shared" si="0"/>
        <v>10</v>
      </c>
      <c r="K15" t="str">
        <f t="shared" si="1"/>
        <v/>
      </c>
      <c r="L15" t="str">
        <f t="shared" si="3"/>
        <v/>
      </c>
    </row>
    <row r="16" spans="1:12">
      <c r="A16" t="s">
        <v>811</v>
      </c>
      <c r="B16" t="s">
        <v>713</v>
      </c>
      <c r="C16">
        <v>2.5299999999999998</v>
      </c>
      <c r="D16" s="18">
        <f t="shared" si="2"/>
        <v>0.41791044776119401</v>
      </c>
      <c r="E16" s="56">
        <v>401.01</v>
      </c>
      <c r="F16">
        <v>17.079999999999998</v>
      </c>
      <c r="G16" s="17">
        <v>47727</v>
      </c>
      <c r="H16">
        <v>68</v>
      </c>
      <c r="I16" t="s">
        <v>76</v>
      </c>
      <c r="J16">
        <f t="shared" si="0"/>
        <v>5</v>
      </c>
      <c r="K16" t="str">
        <f t="shared" si="1"/>
        <v/>
      </c>
      <c r="L16" t="str">
        <f t="shared" si="3"/>
        <v/>
      </c>
    </row>
    <row r="17" spans="1:12">
      <c r="A17" t="s">
        <v>810</v>
      </c>
      <c r="B17" t="s">
        <v>809</v>
      </c>
      <c r="C17">
        <v>1.86</v>
      </c>
      <c r="D17" s="18">
        <f t="shared" si="2"/>
        <v>8.7420042643923238E-2</v>
      </c>
      <c r="E17" s="56">
        <v>181.34</v>
      </c>
      <c r="F17">
        <v>10.66</v>
      </c>
      <c r="G17" s="17">
        <v>46357</v>
      </c>
      <c r="H17">
        <v>23</v>
      </c>
      <c r="I17" t="s">
        <v>76</v>
      </c>
      <c r="J17">
        <f t="shared" si="0"/>
        <v>65</v>
      </c>
      <c r="K17" t="str">
        <f t="shared" si="1"/>
        <v>Close</v>
      </c>
      <c r="L17" t="str">
        <f t="shared" si="3"/>
        <v>Wave 1</v>
      </c>
    </row>
    <row r="18" spans="1:12">
      <c r="A18" t="s">
        <v>808</v>
      </c>
      <c r="B18" t="s">
        <v>807</v>
      </c>
      <c r="C18">
        <v>2.97</v>
      </c>
      <c r="D18" s="18">
        <f t="shared" si="2"/>
        <v>0.73560767590618337</v>
      </c>
      <c r="E18" s="56">
        <v>392.3</v>
      </c>
      <c r="F18">
        <v>9.7100000000000009</v>
      </c>
      <c r="G18" s="17">
        <v>46784</v>
      </c>
      <c r="H18">
        <v>37</v>
      </c>
      <c r="I18" t="s">
        <v>81</v>
      </c>
      <c r="J18">
        <f t="shared" si="0"/>
        <v>10</v>
      </c>
      <c r="K18" t="str">
        <f t="shared" si="1"/>
        <v/>
      </c>
      <c r="L18" t="str">
        <f t="shared" si="3"/>
        <v/>
      </c>
    </row>
    <row r="19" spans="1:12">
      <c r="A19" t="s">
        <v>806</v>
      </c>
      <c r="B19" t="s">
        <v>100</v>
      </c>
      <c r="C19">
        <v>2.73</v>
      </c>
      <c r="D19" s="18">
        <f t="shared" si="2"/>
        <v>0.58208955223880599</v>
      </c>
      <c r="E19" s="56">
        <v>401.71</v>
      </c>
      <c r="F19">
        <v>10.039999999999999</v>
      </c>
      <c r="G19" s="17">
        <v>46539</v>
      </c>
      <c r="H19">
        <v>29</v>
      </c>
      <c r="I19" t="s">
        <v>76</v>
      </c>
      <c r="J19">
        <f t="shared" si="0"/>
        <v>15</v>
      </c>
      <c r="K19" t="str">
        <f t="shared" si="1"/>
        <v/>
      </c>
      <c r="L19" t="str">
        <f t="shared" si="3"/>
        <v/>
      </c>
    </row>
    <row r="20" spans="1:12">
      <c r="A20" t="s">
        <v>805</v>
      </c>
      <c r="B20" t="s">
        <v>755</v>
      </c>
      <c r="C20">
        <v>2.81</v>
      </c>
      <c r="D20" s="18">
        <f t="shared" si="2"/>
        <v>0.6204690831556503</v>
      </c>
      <c r="E20" s="56">
        <v>439.26</v>
      </c>
      <c r="F20">
        <v>11.97</v>
      </c>
      <c r="G20" s="17">
        <v>47027</v>
      </c>
      <c r="H20">
        <v>45</v>
      </c>
      <c r="I20" t="s">
        <v>81</v>
      </c>
      <c r="J20">
        <f t="shared" si="0"/>
        <v>10</v>
      </c>
      <c r="K20" t="str">
        <f t="shared" si="1"/>
        <v/>
      </c>
      <c r="L20" t="str">
        <f t="shared" si="3"/>
        <v/>
      </c>
    </row>
    <row r="21" spans="1:12">
      <c r="A21" t="s">
        <v>804</v>
      </c>
      <c r="B21" t="s">
        <v>803</v>
      </c>
      <c r="C21">
        <v>1.82</v>
      </c>
      <c r="D21" s="18">
        <f t="shared" si="2"/>
        <v>7.2494669509594878E-2</v>
      </c>
      <c r="E21" s="56">
        <v>153.51</v>
      </c>
      <c r="F21">
        <v>11.14</v>
      </c>
      <c r="G21" s="17">
        <v>46296</v>
      </c>
      <c r="H21">
        <v>21</v>
      </c>
      <c r="I21" t="s">
        <v>84</v>
      </c>
      <c r="J21">
        <f t="shared" si="0"/>
        <v>60</v>
      </c>
      <c r="K21" t="str">
        <f t="shared" si="1"/>
        <v>Close</v>
      </c>
      <c r="L21" t="str">
        <f t="shared" si="3"/>
        <v>Wave 1</v>
      </c>
    </row>
    <row r="22" spans="1:12">
      <c r="A22" t="s">
        <v>802</v>
      </c>
      <c r="B22" t="s">
        <v>156</v>
      </c>
      <c r="C22">
        <v>3.57</v>
      </c>
      <c r="D22" s="18">
        <f t="shared" si="2"/>
        <v>0.95095948827292109</v>
      </c>
      <c r="E22" s="56">
        <v>311.52999999999997</v>
      </c>
      <c r="F22">
        <v>13.29</v>
      </c>
      <c r="G22" s="17">
        <v>46447</v>
      </c>
      <c r="H22">
        <v>26</v>
      </c>
      <c r="I22" t="s">
        <v>81</v>
      </c>
      <c r="J22">
        <f t="shared" si="0"/>
        <v>20</v>
      </c>
      <c r="K22" t="str">
        <f t="shared" si="1"/>
        <v/>
      </c>
      <c r="L22" t="str">
        <f t="shared" si="3"/>
        <v/>
      </c>
    </row>
    <row r="23" spans="1:12">
      <c r="A23" t="s">
        <v>801</v>
      </c>
      <c r="B23" t="s">
        <v>616</v>
      </c>
      <c r="C23">
        <v>2.74</v>
      </c>
      <c r="D23" s="18">
        <f t="shared" si="2"/>
        <v>0.58848614072494665</v>
      </c>
      <c r="E23" s="56">
        <v>416.83</v>
      </c>
      <c r="F23">
        <v>9.83</v>
      </c>
      <c r="G23" s="17">
        <v>47119</v>
      </c>
      <c r="H23">
        <v>48</v>
      </c>
      <c r="I23" t="s">
        <v>81</v>
      </c>
      <c r="J23">
        <f t="shared" si="0"/>
        <v>10</v>
      </c>
      <c r="K23" t="str">
        <f t="shared" si="1"/>
        <v/>
      </c>
      <c r="L23" t="str">
        <f t="shared" si="3"/>
        <v/>
      </c>
    </row>
    <row r="24" spans="1:12">
      <c r="A24" t="s">
        <v>800</v>
      </c>
      <c r="B24" t="s">
        <v>651</v>
      </c>
      <c r="C24">
        <v>2.4500000000000002</v>
      </c>
      <c r="D24" s="18">
        <f t="shared" si="2"/>
        <v>0.35607675906183367</v>
      </c>
      <c r="E24" s="56">
        <v>452.2</v>
      </c>
      <c r="F24">
        <v>16.04</v>
      </c>
      <c r="G24" s="17">
        <v>48153</v>
      </c>
      <c r="H24">
        <v>82</v>
      </c>
      <c r="I24" t="s">
        <v>84</v>
      </c>
      <c r="J24">
        <f t="shared" si="0"/>
        <v>0</v>
      </c>
      <c r="K24" t="str">
        <f t="shared" si="1"/>
        <v/>
      </c>
      <c r="L24" t="str">
        <f t="shared" si="3"/>
        <v/>
      </c>
    </row>
    <row r="25" spans="1:12">
      <c r="A25" t="s">
        <v>799</v>
      </c>
      <c r="B25" t="s">
        <v>798</v>
      </c>
      <c r="C25">
        <v>3.78</v>
      </c>
      <c r="D25" s="18">
        <f t="shared" si="2"/>
        <v>0.98720682302771856</v>
      </c>
      <c r="E25" s="56">
        <v>420.25</v>
      </c>
      <c r="F25">
        <v>17.190000000000001</v>
      </c>
      <c r="G25" s="17">
        <v>48122</v>
      </c>
      <c r="H25">
        <v>81</v>
      </c>
      <c r="I25" t="s">
        <v>81</v>
      </c>
      <c r="J25">
        <f t="shared" si="0"/>
        <v>10</v>
      </c>
      <c r="K25" t="str">
        <f t="shared" si="1"/>
        <v/>
      </c>
      <c r="L25" t="str">
        <f t="shared" si="3"/>
        <v/>
      </c>
    </row>
    <row r="26" spans="1:12">
      <c r="A26" t="s">
        <v>797</v>
      </c>
      <c r="B26" t="s">
        <v>796</v>
      </c>
      <c r="C26">
        <v>2.64</v>
      </c>
      <c r="D26" s="18">
        <f t="shared" si="2"/>
        <v>0.51599147121535183</v>
      </c>
      <c r="E26" s="56">
        <v>517.29</v>
      </c>
      <c r="F26">
        <v>10.37</v>
      </c>
      <c r="G26" s="17">
        <v>46844</v>
      </c>
      <c r="H26">
        <v>39</v>
      </c>
      <c r="I26" t="s">
        <v>76</v>
      </c>
      <c r="J26">
        <f t="shared" si="0"/>
        <v>5</v>
      </c>
      <c r="K26" t="str">
        <f t="shared" si="1"/>
        <v/>
      </c>
      <c r="L26" t="str">
        <f t="shared" si="3"/>
        <v/>
      </c>
    </row>
    <row r="27" spans="1:12">
      <c r="A27" t="s">
        <v>795</v>
      </c>
      <c r="B27" t="s">
        <v>262</v>
      </c>
      <c r="C27">
        <v>1.86</v>
      </c>
      <c r="D27" s="18">
        <f t="shared" si="2"/>
        <v>8.7420042643923238E-2</v>
      </c>
      <c r="E27" s="56">
        <v>265.25</v>
      </c>
      <c r="F27">
        <v>6.18</v>
      </c>
      <c r="G27" s="17">
        <v>46784</v>
      </c>
      <c r="H27">
        <v>37</v>
      </c>
      <c r="I27" t="s">
        <v>84</v>
      </c>
      <c r="J27">
        <f t="shared" si="0"/>
        <v>40</v>
      </c>
      <c r="K27" t="str">
        <f t="shared" si="1"/>
        <v/>
      </c>
      <c r="L27" t="str">
        <f t="shared" si="3"/>
        <v/>
      </c>
    </row>
    <row r="28" spans="1:12">
      <c r="A28" t="s">
        <v>794</v>
      </c>
      <c r="B28" t="s">
        <v>793</v>
      </c>
      <c r="C28">
        <v>2.44</v>
      </c>
      <c r="D28" s="18">
        <f t="shared" si="2"/>
        <v>0.35181236673773986</v>
      </c>
      <c r="E28" s="56">
        <v>440.35</v>
      </c>
      <c r="F28">
        <v>15.86</v>
      </c>
      <c r="G28" s="17">
        <v>48549</v>
      </c>
      <c r="H28">
        <v>95</v>
      </c>
      <c r="I28" t="s">
        <v>76</v>
      </c>
      <c r="J28">
        <f t="shared" si="0"/>
        <v>5</v>
      </c>
      <c r="K28" t="str">
        <f t="shared" si="1"/>
        <v/>
      </c>
      <c r="L28" t="str">
        <f t="shared" si="3"/>
        <v/>
      </c>
    </row>
    <row r="29" spans="1:12">
      <c r="A29" t="s">
        <v>792</v>
      </c>
      <c r="B29" t="s">
        <v>791</v>
      </c>
      <c r="C29">
        <v>1.4</v>
      </c>
      <c r="D29" s="18">
        <f t="shared" si="2"/>
        <v>1.279317697228145E-2</v>
      </c>
      <c r="E29" s="56">
        <v>231.33</v>
      </c>
      <c r="F29">
        <v>17.72</v>
      </c>
      <c r="G29" s="17">
        <v>48792</v>
      </c>
      <c r="H29">
        <v>103</v>
      </c>
      <c r="I29" t="s">
        <v>84</v>
      </c>
      <c r="J29">
        <f t="shared" si="0"/>
        <v>40</v>
      </c>
      <c r="K29" t="str">
        <f t="shared" si="1"/>
        <v/>
      </c>
      <c r="L29" t="str">
        <f t="shared" si="3"/>
        <v/>
      </c>
    </row>
    <row r="30" spans="1:12">
      <c r="A30" t="s">
        <v>790</v>
      </c>
      <c r="B30" t="s">
        <v>789</v>
      </c>
      <c r="C30">
        <v>3.24</v>
      </c>
      <c r="D30" s="18">
        <f t="shared" si="2"/>
        <v>0.87633262260127931</v>
      </c>
      <c r="E30" s="56">
        <v>352.93</v>
      </c>
      <c r="F30">
        <v>11.87</v>
      </c>
      <c r="G30" s="17">
        <v>46935</v>
      </c>
      <c r="H30">
        <v>42</v>
      </c>
      <c r="I30" t="s">
        <v>81</v>
      </c>
      <c r="J30">
        <f t="shared" si="0"/>
        <v>10</v>
      </c>
      <c r="K30" t="str">
        <f t="shared" si="1"/>
        <v/>
      </c>
      <c r="L30" t="str">
        <f t="shared" si="3"/>
        <v/>
      </c>
    </row>
    <row r="31" spans="1:12">
      <c r="A31" t="s">
        <v>788</v>
      </c>
      <c r="B31" t="s">
        <v>787</v>
      </c>
      <c r="C31">
        <v>2.4300000000000002</v>
      </c>
      <c r="D31" s="18">
        <f t="shared" si="2"/>
        <v>0.34115138592750532</v>
      </c>
      <c r="E31" s="56">
        <v>377.92</v>
      </c>
      <c r="F31">
        <v>6.81</v>
      </c>
      <c r="G31" s="17">
        <v>46753</v>
      </c>
      <c r="H31">
        <v>36</v>
      </c>
      <c r="I31" t="s">
        <v>76</v>
      </c>
      <c r="J31">
        <f t="shared" si="0"/>
        <v>15</v>
      </c>
      <c r="K31" t="str">
        <f t="shared" si="1"/>
        <v/>
      </c>
      <c r="L31" t="str">
        <f t="shared" si="3"/>
        <v/>
      </c>
    </row>
    <row r="32" spans="1:12">
      <c r="A32" t="s">
        <v>786</v>
      </c>
      <c r="B32" t="s">
        <v>785</v>
      </c>
      <c r="C32">
        <v>2.25</v>
      </c>
      <c r="D32" s="18">
        <f t="shared" si="2"/>
        <v>0.22601279317697229</v>
      </c>
      <c r="E32" s="56">
        <v>149.47999999999999</v>
      </c>
      <c r="F32">
        <v>13.8</v>
      </c>
      <c r="G32" s="17">
        <v>46600</v>
      </c>
      <c r="H32">
        <v>31</v>
      </c>
      <c r="I32" t="s">
        <v>76</v>
      </c>
      <c r="J32">
        <f t="shared" si="0"/>
        <v>55</v>
      </c>
      <c r="K32" t="str">
        <f t="shared" si="1"/>
        <v>Close</v>
      </c>
      <c r="L32" t="str">
        <f t="shared" si="3"/>
        <v>Wave 1</v>
      </c>
    </row>
    <row r="33" spans="1:12">
      <c r="A33" t="s">
        <v>784</v>
      </c>
      <c r="B33" t="s">
        <v>162</v>
      </c>
      <c r="C33">
        <v>3.25</v>
      </c>
      <c r="D33" s="18">
        <f t="shared" si="2"/>
        <v>0.88272921108742008</v>
      </c>
      <c r="E33" s="56">
        <v>338.43</v>
      </c>
      <c r="F33">
        <v>19.46</v>
      </c>
      <c r="G33" s="17">
        <v>47119</v>
      </c>
      <c r="H33">
        <v>48</v>
      </c>
      <c r="I33" t="s">
        <v>81</v>
      </c>
      <c r="J33">
        <f t="shared" si="0"/>
        <v>10</v>
      </c>
      <c r="K33" t="str">
        <f t="shared" si="1"/>
        <v/>
      </c>
      <c r="L33" t="str">
        <f t="shared" si="3"/>
        <v/>
      </c>
    </row>
    <row r="34" spans="1:12">
      <c r="A34" t="s">
        <v>783</v>
      </c>
      <c r="B34" t="s">
        <v>189</v>
      </c>
      <c r="C34">
        <v>1.75</v>
      </c>
      <c r="D34" s="18">
        <f t="shared" si="2"/>
        <v>5.7569296375266525E-2</v>
      </c>
      <c r="E34" s="56">
        <v>178.84</v>
      </c>
      <c r="F34">
        <v>4.16</v>
      </c>
      <c r="G34" s="17">
        <v>47574</v>
      </c>
      <c r="H34">
        <v>63</v>
      </c>
      <c r="I34" t="s">
        <v>84</v>
      </c>
      <c r="J34">
        <f t="shared" si="0"/>
        <v>50</v>
      </c>
      <c r="K34" t="str">
        <f t="shared" si="1"/>
        <v>Close</v>
      </c>
      <c r="L34" t="str">
        <f t="shared" si="3"/>
        <v>Wave 1</v>
      </c>
    </row>
    <row r="35" spans="1:12">
      <c r="A35" t="s">
        <v>782</v>
      </c>
      <c r="B35" t="s">
        <v>564</v>
      </c>
      <c r="C35">
        <v>2.95</v>
      </c>
      <c r="D35" s="18">
        <f t="shared" si="2"/>
        <v>0.72281449893390193</v>
      </c>
      <c r="E35" s="56">
        <v>370.03</v>
      </c>
      <c r="F35">
        <v>14.75</v>
      </c>
      <c r="G35" s="17">
        <v>46722</v>
      </c>
      <c r="H35">
        <v>35</v>
      </c>
      <c r="I35" t="s">
        <v>76</v>
      </c>
      <c r="J35">
        <f t="shared" si="0"/>
        <v>15</v>
      </c>
      <c r="K35" t="str">
        <f t="shared" si="1"/>
        <v/>
      </c>
      <c r="L35" t="str">
        <f t="shared" si="3"/>
        <v/>
      </c>
    </row>
    <row r="36" spans="1:12">
      <c r="A36" t="s">
        <v>781</v>
      </c>
      <c r="B36" t="s">
        <v>536</v>
      </c>
      <c r="C36">
        <v>1.52</v>
      </c>
      <c r="D36" s="18">
        <f t="shared" si="2"/>
        <v>2.3454157782515993E-2</v>
      </c>
      <c r="E36" s="56">
        <v>183.78</v>
      </c>
      <c r="F36">
        <v>11.19</v>
      </c>
      <c r="G36" s="17">
        <v>47939</v>
      </c>
      <c r="H36">
        <v>75</v>
      </c>
      <c r="I36" t="s">
        <v>76</v>
      </c>
      <c r="J36">
        <f t="shared" si="0"/>
        <v>45</v>
      </c>
      <c r="K36" t="str">
        <f t="shared" si="1"/>
        <v>Close</v>
      </c>
      <c r="L36" t="str">
        <f t="shared" si="3"/>
        <v>Wave 2</v>
      </c>
    </row>
    <row r="37" spans="1:12">
      <c r="A37" t="s">
        <v>780</v>
      </c>
      <c r="B37" t="s">
        <v>779</v>
      </c>
      <c r="C37">
        <v>2.2999999999999998</v>
      </c>
      <c r="D37" s="18">
        <f t="shared" si="2"/>
        <v>0.26012793176972282</v>
      </c>
      <c r="E37" s="56">
        <v>320.86</v>
      </c>
      <c r="F37">
        <v>8.75</v>
      </c>
      <c r="G37" s="17">
        <v>46478</v>
      </c>
      <c r="H37">
        <v>27</v>
      </c>
      <c r="I37" t="s">
        <v>76</v>
      </c>
      <c r="J37">
        <f t="shared" si="0"/>
        <v>15</v>
      </c>
      <c r="K37" t="str">
        <f t="shared" si="1"/>
        <v/>
      </c>
      <c r="L37" t="str">
        <f t="shared" si="3"/>
        <v/>
      </c>
    </row>
    <row r="38" spans="1:12">
      <c r="A38" t="s">
        <v>778</v>
      </c>
      <c r="B38" t="s">
        <v>777</v>
      </c>
      <c r="C38">
        <v>2</v>
      </c>
      <c r="D38" s="18">
        <f t="shared" si="2"/>
        <v>0.13432835820895522</v>
      </c>
      <c r="E38" s="56">
        <v>207.52</v>
      </c>
      <c r="F38">
        <v>14.84</v>
      </c>
      <c r="G38" s="17">
        <v>47788</v>
      </c>
      <c r="H38">
        <v>70</v>
      </c>
      <c r="I38" t="s">
        <v>76</v>
      </c>
      <c r="J38">
        <f t="shared" si="0"/>
        <v>45</v>
      </c>
      <c r="K38" t="str">
        <f t="shared" si="1"/>
        <v>Close</v>
      </c>
      <c r="L38" t="str">
        <f t="shared" si="3"/>
        <v>Wave 2</v>
      </c>
    </row>
    <row r="39" spans="1:12">
      <c r="A39" t="s">
        <v>776</v>
      </c>
      <c r="B39" t="s">
        <v>775</v>
      </c>
      <c r="C39">
        <v>3.46</v>
      </c>
      <c r="D39" s="18">
        <f t="shared" si="2"/>
        <v>0.93816631130063965</v>
      </c>
      <c r="E39" s="56">
        <v>432.09</v>
      </c>
      <c r="F39">
        <v>6.76</v>
      </c>
      <c r="G39" s="17">
        <v>48731</v>
      </c>
      <c r="H39">
        <v>101</v>
      </c>
      <c r="I39" t="s">
        <v>81</v>
      </c>
      <c r="J39">
        <f t="shared" si="0"/>
        <v>10</v>
      </c>
      <c r="K39" t="str">
        <f t="shared" si="1"/>
        <v/>
      </c>
      <c r="L39" t="str">
        <f t="shared" si="3"/>
        <v/>
      </c>
    </row>
    <row r="40" spans="1:12">
      <c r="A40" t="s">
        <v>774</v>
      </c>
      <c r="B40" t="s">
        <v>532</v>
      </c>
      <c r="C40">
        <v>3.63</v>
      </c>
      <c r="D40" s="18">
        <f t="shared" si="2"/>
        <v>0.97014925373134331</v>
      </c>
      <c r="E40" s="56">
        <v>373.13</v>
      </c>
      <c r="F40">
        <v>13.94</v>
      </c>
      <c r="G40" s="17">
        <v>47453</v>
      </c>
      <c r="H40">
        <v>59</v>
      </c>
      <c r="I40" t="s">
        <v>81</v>
      </c>
      <c r="J40">
        <f t="shared" si="0"/>
        <v>10</v>
      </c>
      <c r="K40" t="str">
        <f t="shared" si="1"/>
        <v/>
      </c>
      <c r="L40" t="str">
        <f t="shared" si="3"/>
        <v/>
      </c>
    </row>
    <row r="41" spans="1:12">
      <c r="A41" t="s">
        <v>773</v>
      </c>
      <c r="B41" t="s">
        <v>447</v>
      </c>
      <c r="C41">
        <v>2.48</v>
      </c>
      <c r="D41" s="18">
        <f t="shared" si="2"/>
        <v>0.38379530916844351</v>
      </c>
      <c r="E41" s="56">
        <v>336.75</v>
      </c>
      <c r="F41">
        <v>18.510000000000002</v>
      </c>
      <c r="G41" s="17">
        <v>46569</v>
      </c>
      <c r="H41">
        <v>30</v>
      </c>
      <c r="I41" t="s">
        <v>81</v>
      </c>
      <c r="J41">
        <f t="shared" si="0"/>
        <v>20</v>
      </c>
      <c r="K41" t="str">
        <f t="shared" si="1"/>
        <v/>
      </c>
      <c r="L41" t="str">
        <f t="shared" si="3"/>
        <v/>
      </c>
    </row>
    <row r="42" spans="1:12">
      <c r="A42" t="s">
        <v>772</v>
      </c>
      <c r="B42" t="s">
        <v>568</v>
      </c>
      <c r="C42">
        <v>3.12</v>
      </c>
      <c r="D42" s="18">
        <f t="shared" si="2"/>
        <v>0.8272921108742004</v>
      </c>
      <c r="E42" s="56">
        <v>396.27</v>
      </c>
      <c r="F42">
        <v>13.4</v>
      </c>
      <c r="G42" s="17">
        <v>46997</v>
      </c>
      <c r="H42">
        <v>44</v>
      </c>
      <c r="I42" t="s">
        <v>81</v>
      </c>
      <c r="J42">
        <f t="shared" si="0"/>
        <v>10</v>
      </c>
      <c r="K42" t="str">
        <f t="shared" si="1"/>
        <v/>
      </c>
      <c r="L42" t="str">
        <f t="shared" si="3"/>
        <v/>
      </c>
    </row>
    <row r="43" spans="1:12">
      <c r="A43" t="s">
        <v>771</v>
      </c>
      <c r="B43" t="s">
        <v>770</v>
      </c>
      <c r="C43">
        <v>2.56</v>
      </c>
      <c r="D43" s="18">
        <f t="shared" si="2"/>
        <v>0.44562899786780386</v>
      </c>
      <c r="E43" s="56">
        <v>425.19</v>
      </c>
      <c r="F43">
        <v>8.66</v>
      </c>
      <c r="G43" s="17">
        <v>46813</v>
      </c>
      <c r="H43">
        <v>38</v>
      </c>
      <c r="I43" t="s">
        <v>76</v>
      </c>
      <c r="J43">
        <f t="shared" si="0"/>
        <v>5</v>
      </c>
      <c r="K43" t="str">
        <f t="shared" si="1"/>
        <v/>
      </c>
      <c r="L43" t="str">
        <f t="shared" si="3"/>
        <v/>
      </c>
    </row>
    <row r="44" spans="1:12">
      <c r="A44" t="s">
        <v>769</v>
      </c>
      <c r="B44" t="s">
        <v>354</v>
      </c>
      <c r="C44">
        <v>2.97</v>
      </c>
      <c r="D44" s="18">
        <f t="shared" si="2"/>
        <v>0.73560767590618337</v>
      </c>
      <c r="E44" s="56">
        <v>302.11</v>
      </c>
      <c r="F44">
        <v>4.59</v>
      </c>
      <c r="G44" s="17">
        <v>47604</v>
      </c>
      <c r="H44">
        <v>64</v>
      </c>
      <c r="I44" t="s">
        <v>81</v>
      </c>
      <c r="J44">
        <f t="shared" si="0"/>
        <v>20</v>
      </c>
      <c r="K44" t="str">
        <f t="shared" si="1"/>
        <v/>
      </c>
      <c r="L44" t="str">
        <f t="shared" si="3"/>
        <v/>
      </c>
    </row>
    <row r="45" spans="1:12">
      <c r="A45" t="s">
        <v>768</v>
      </c>
      <c r="B45" t="s">
        <v>532</v>
      </c>
      <c r="C45">
        <v>2.25</v>
      </c>
      <c r="D45" s="18">
        <f t="shared" si="2"/>
        <v>0.22601279317697229</v>
      </c>
      <c r="E45" s="56">
        <v>238.68</v>
      </c>
      <c r="F45">
        <v>6.83</v>
      </c>
      <c r="G45" s="17">
        <v>48427</v>
      </c>
      <c r="H45">
        <v>91</v>
      </c>
      <c r="I45" t="s">
        <v>84</v>
      </c>
      <c r="J45">
        <f t="shared" si="0"/>
        <v>40</v>
      </c>
      <c r="K45" t="str">
        <f t="shared" si="1"/>
        <v/>
      </c>
      <c r="L45" t="str">
        <f t="shared" si="3"/>
        <v/>
      </c>
    </row>
    <row r="46" spans="1:12">
      <c r="A46" t="s">
        <v>767</v>
      </c>
      <c r="B46" t="s">
        <v>766</v>
      </c>
      <c r="C46">
        <v>1.72</v>
      </c>
      <c r="D46" s="18">
        <f t="shared" si="2"/>
        <v>5.3304904051172705E-2</v>
      </c>
      <c r="E46" s="56">
        <v>54</v>
      </c>
      <c r="F46">
        <v>4.3099999999999996</v>
      </c>
      <c r="G46" s="17">
        <v>47939</v>
      </c>
      <c r="H46">
        <v>75</v>
      </c>
      <c r="I46" t="s">
        <v>81</v>
      </c>
      <c r="J46">
        <f t="shared" si="0"/>
        <v>60</v>
      </c>
      <c r="K46" t="str">
        <f t="shared" si="1"/>
        <v>Close</v>
      </c>
      <c r="L46" t="str">
        <f t="shared" si="3"/>
        <v>Wave 1</v>
      </c>
    </row>
    <row r="47" spans="1:12">
      <c r="A47" t="s">
        <v>765</v>
      </c>
      <c r="B47" t="s">
        <v>764</v>
      </c>
      <c r="C47">
        <v>1.67</v>
      </c>
      <c r="D47" s="18">
        <f t="shared" si="2"/>
        <v>4.0511727078891259E-2</v>
      </c>
      <c r="E47" s="56">
        <v>124.23</v>
      </c>
      <c r="F47">
        <v>19.8</v>
      </c>
      <c r="G47" s="17">
        <v>47453</v>
      </c>
      <c r="H47">
        <v>59</v>
      </c>
      <c r="I47" t="s">
        <v>81</v>
      </c>
      <c r="J47">
        <f t="shared" si="0"/>
        <v>50</v>
      </c>
      <c r="K47" t="str">
        <f t="shared" si="1"/>
        <v>Close</v>
      </c>
      <c r="L47" t="str">
        <f t="shared" si="3"/>
        <v>Wave 1</v>
      </c>
    </row>
    <row r="48" spans="1:12">
      <c r="A48" t="s">
        <v>763</v>
      </c>
      <c r="B48" t="s">
        <v>509</v>
      </c>
      <c r="C48">
        <v>2.87</v>
      </c>
      <c r="D48" s="18">
        <f t="shared" si="2"/>
        <v>0.66098081023454158</v>
      </c>
      <c r="E48" s="56">
        <v>392.32</v>
      </c>
      <c r="F48">
        <v>11.48</v>
      </c>
      <c r="G48" s="17">
        <v>46784</v>
      </c>
      <c r="H48">
        <v>37</v>
      </c>
      <c r="I48" t="s">
        <v>84</v>
      </c>
      <c r="J48">
        <f t="shared" si="0"/>
        <v>0</v>
      </c>
      <c r="K48" t="str">
        <f t="shared" si="1"/>
        <v/>
      </c>
      <c r="L48" t="str">
        <f t="shared" si="3"/>
        <v/>
      </c>
    </row>
    <row r="49" spans="1:12">
      <c r="A49" t="s">
        <v>762</v>
      </c>
      <c r="B49" t="s">
        <v>517</v>
      </c>
      <c r="C49">
        <v>3.9</v>
      </c>
      <c r="D49" s="18">
        <f t="shared" si="2"/>
        <v>0.99360341151385922</v>
      </c>
      <c r="E49" s="56">
        <v>376.56</v>
      </c>
      <c r="F49">
        <v>7.9</v>
      </c>
      <c r="G49" s="17">
        <v>46813</v>
      </c>
      <c r="H49">
        <v>38</v>
      </c>
      <c r="I49" t="s">
        <v>76</v>
      </c>
      <c r="J49">
        <f t="shared" si="0"/>
        <v>5</v>
      </c>
      <c r="K49" t="str">
        <f t="shared" si="1"/>
        <v/>
      </c>
      <c r="L49" t="str">
        <f t="shared" si="3"/>
        <v/>
      </c>
    </row>
    <row r="50" spans="1:12">
      <c r="A50" t="s">
        <v>761</v>
      </c>
      <c r="B50" t="s">
        <v>660</v>
      </c>
      <c r="C50">
        <v>2.81</v>
      </c>
      <c r="D50" s="18">
        <f t="shared" si="2"/>
        <v>0.6204690831556503</v>
      </c>
      <c r="E50" s="56">
        <v>435.22</v>
      </c>
      <c r="F50">
        <v>6.76</v>
      </c>
      <c r="G50" s="17">
        <v>47209</v>
      </c>
      <c r="H50">
        <v>51</v>
      </c>
      <c r="I50" t="s">
        <v>76</v>
      </c>
      <c r="J50">
        <f t="shared" si="0"/>
        <v>5</v>
      </c>
      <c r="K50" t="str">
        <f t="shared" si="1"/>
        <v/>
      </c>
      <c r="L50" t="str">
        <f t="shared" si="3"/>
        <v/>
      </c>
    </row>
    <row r="51" spans="1:12">
      <c r="A51" t="s">
        <v>760</v>
      </c>
      <c r="B51" t="s">
        <v>129</v>
      </c>
      <c r="C51">
        <v>2.37</v>
      </c>
      <c r="D51" s="18">
        <f t="shared" si="2"/>
        <v>0.30703624733475482</v>
      </c>
      <c r="E51" s="56">
        <v>465.16</v>
      </c>
      <c r="F51">
        <v>7.8</v>
      </c>
      <c r="G51" s="17">
        <v>49035</v>
      </c>
      <c r="H51">
        <v>111</v>
      </c>
      <c r="I51" t="s">
        <v>76</v>
      </c>
      <c r="J51">
        <f t="shared" si="0"/>
        <v>5</v>
      </c>
      <c r="K51" t="str">
        <f t="shared" si="1"/>
        <v/>
      </c>
      <c r="L51" t="str">
        <f t="shared" si="3"/>
        <v/>
      </c>
    </row>
    <row r="52" spans="1:12">
      <c r="A52" t="s">
        <v>759</v>
      </c>
      <c r="B52" t="s">
        <v>713</v>
      </c>
      <c r="C52">
        <v>3.71</v>
      </c>
      <c r="D52" s="18">
        <f t="shared" si="2"/>
        <v>0.98081023454157779</v>
      </c>
      <c r="E52" s="56">
        <v>394.04</v>
      </c>
      <c r="F52">
        <v>11.09</v>
      </c>
      <c r="G52" s="17">
        <v>48945</v>
      </c>
      <c r="H52">
        <v>108</v>
      </c>
      <c r="I52" t="s">
        <v>76</v>
      </c>
      <c r="J52">
        <f t="shared" si="0"/>
        <v>5</v>
      </c>
      <c r="K52" t="str">
        <f t="shared" si="1"/>
        <v/>
      </c>
      <c r="L52" t="str">
        <f t="shared" si="3"/>
        <v/>
      </c>
    </row>
    <row r="53" spans="1:12">
      <c r="A53" t="s">
        <v>758</v>
      </c>
      <c r="B53" t="s">
        <v>757</v>
      </c>
      <c r="C53">
        <v>2.79</v>
      </c>
      <c r="D53" s="18">
        <f t="shared" si="2"/>
        <v>0.60980810234541583</v>
      </c>
      <c r="E53" s="56">
        <v>447.07</v>
      </c>
      <c r="F53">
        <v>6.83</v>
      </c>
      <c r="G53" s="17">
        <v>49310</v>
      </c>
      <c r="H53">
        <v>120</v>
      </c>
      <c r="I53" t="s">
        <v>81</v>
      </c>
      <c r="J53">
        <f t="shared" si="0"/>
        <v>10</v>
      </c>
      <c r="K53" t="str">
        <f t="shared" si="1"/>
        <v/>
      </c>
      <c r="L53" t="str">
        <f t="shared" si="3"/>
        <v/>
      </c>
    </row>
    <row r="54" spans="1:12">
      <c r="A54" t="s">
        <v>756</v>
      </c>
      <c r="B54" t="s">
        <v>755</v>
      </c>
      <c r="C54">
        <v>2.72</v>
      </c>
      <c r="D54" s="18">
        <f t="shared" si="2"/>
        <v>0.57569296375266521</v>
      </c>
      <c r="E54" s="56">
        <v>518.1</v>
      </c>
      <c r="F54">
        <v>20.14</v>
      </c>
      <c r="G54" s="17">
        <v>47665</v>
      </c>
      <c r="H54">
        <v>66</v>
      </c>
      <c r="I54" t="s">
        <v>84</v>
      </c>
      <c r="J54">
        <f t="shared" si="0"/>
        <v>0</v>
      </c>
      <c r="K54" t="str">
        <f t="shared" si="1"/>
        <v/>
      </c>
      <c r="L54" t="str">
        <f t="shared" si="3"/>
        <v/>
      </c>
    </row>
    <row r="55" spans="1:12">
      <c r="A55" t="s">
        <v>754</v>
      </c>
      <c r="B55" t="s">
        <v>319</v>
      </c>
      <c r="C55">
        <v>2.8</v>
      </c>
      <c r="D55" s="18">
        <f t="shared" si="2"/>
        <v>0.61620469083155649</v>
      </c>
      <c r="E55" s="56">
        <v>449.32</v>
      </c>
      <c r="F55">
        <v>9.24</v>
      </c>
      <c r="G55" s="17">
        <v>47818</v>
      </c>
      <c r="H55">
        <v>71</v>
      </c>
      <c r="I55" t="s">
        <v>84</v>
      </c>
      <c r="J55">
        <f t="shared" si="0"/>
        <v>0</v>
      </c>
      <c r="K55" t="str">
        <f t="shared" si="1"/>
        <v/>
      </c>
      <c r="L55" t="str">
        <f t="shared" si="3"/>
        <v/>
      </c>
    </row>
    <row r="56" spans="1:12">
      <c r="A56" t="s">
        <v>753</v>
      </c>
      <c r="B56" t="s">
        <v>551</v>
      </c>
      <c r="C56">
        <v>2.59</v>
      </c>
      <c r="D56" s="18">
        <f t="shared" si="2"/>
        <v>0.46268656716417911</v>
      </c>
      <c r="E56" s="56">
        <v>352.76</v>
      </c>
      <c r="F56">
        <v>9.08</v>
      </c>
      <c r="G56" s="17">
        <v>46539</v>
      </c>
      <c r="H56">
        <v>29</v>
      </c>
      <c r="I56" t="s">
        <v>76</v>
      </c>
      <c r="J56">
        <f t="shared" si="0"/>
        <v>15</v>
      </c>
      <c r="K56" t="str">
        <f t="shared" si="1"/>
        <v/>
      </c>
      <c r="L56" t="str">
        <f t="shared" si="3"/>
        <v/>
      </c>
    </row>
    <row r="57" spans="1:12">
      <c r="A57" t="s">
        <v>752</v>
      </c>
      <c r="B57" t="s">
        <v>98</v>
      </c>
      <c r="C57">
        <v>2.4900000000000002</v>
      </c>
      <c r="D57" s="18">
        <f t="shared" si="2"/>
        <v>0.38592750533049042</v>
      </c>
      <c r="E57" s="56">
        <v>353.44</v>
      </c>
      <c r="F57">
        <v>13.98</v>
      </c>
      <c r="G57" s="17">
        <v>46753</v>
      </c>
      <c r="H57">
        <v>36</v>
      </c>
      <c r="I57" t="s">
        <v>81</v>
      </c>
      <c r="J57">
        <f t="shared" si="0"/>
        <v>20</v>
      </c>
      <c r="K57" t="str">
        <f t="shared" si="1"/>
        <v/>
      </c>
      <c r="L57" t="str">
        <f t="shared" si="3"/>
        <v/>
      </c>
    </row>
    <row r="58" spans="1:12">
      <c r="A58" t="s">
        <v>751</v>
      </c>
      <c r="B58" t="s">
        <v>522</v>
      </c>
      <c r="C58">
        <v>1.87</v>
      </c>
      <c r="D58" s="18">
        <f t="shared" si="2"/>
        <v>9.3816631130063971E-2</v>
      </c>
      <c r="E58" s="56">
        <v>116.26</v>
      </c>
      <c r="F58">
        <v>19.13</v>
      </c>
      <c r="G58" s="17">
        <v>46266</v>
      </c>
      <c r="H58">
        <v>20</v>
      </c>
      <c r="I58" t="s">
        <v>76</v>
      </c>
      <c r="J58">
        <f t="shared" si="0"/>
        <v>65</v>
      </c>
      <c r="K58" t="str">
        <f t="shared" si="1"/>
        <v>Close</v>
      </c>
      <c r="L58" t="str">
        <f t="shared" si="3"/>
        <v>Wave 1</v>
      </c>
    </row>
    <row r="59" spans="1:12">
      <c r="A59" t="s">
        <v>750</v>
      </c>
      <c r="B59" t="s">
        <v>730</v>
      </c>
      <c r="C59">
        <v>2.94</v>
      </c>
      <c r="D59" s="18">
        <f t="shared" si="2"/>
        <v>0.71855010660980811</v>
      </c>
      <c r="E59" s="56">
        <v>334.97</v>
      </c>
      <c r="F59">
        <v>18.559999999999999</v>
      </c>
      <c r="G59" s="17">
        <v>46722</v>
      </c>
      <c r="H59">
        <v>35</v>
      </c>
      <c r="I59" t="s">
        <v>81</v>
      </c>
      <c r="J59">
        <f t="shared" si="0"/>
        <v>20</v>
      </c>
      <c r="K59" t="str">
        <f t="shared" si="1"/>
        <v/>
      </c>
      <c r="L59" t="str">
        <f t="shared" si="3"/>
        <v/>
      </c>
    </row>
    <row r="60" spans="1:12">
      <c r="A60" t="s">
        <v>749</v>
      </c>
      <c r="B60" t="s">
        <v>748</v>
      </c>
      <c r="C60">
        <v>2.61</v>
      </c>
      <c r="D60" s="18">
        <f t="shared" si="2"/>
        <v>0.48400852878464817</v>
      </c>
      <c r="E60" s="56">
        <v>425.68</v>
      </c>
      <c r="F60">
        <v>10.4</v>
      </c>
      <c r="G60" s="17">
        <v>47150</v>
      </c>
      <c r="H60">
        <v>49</v>
      </c>
      <c r="I60" t="s">
        <v>81</v>
      </c>
      <c r="J60">
        <f t="shared" si="0"/>
        <v>10</v>
      </c>
      <c r="K60" t="str">
        <f t="shared" si="1"/>
        <v/>
      </c>
      <c r="L60" t="str">
        <f t="shared" si="3"/>
        <v/>
      </c>
    </row>
    <row r="61" spans="1:12">
      <c r="A61" t="s">
        <v>747</v>
      </c>
      <c r="B61" t="s">
        <v>746</v>
      </c>
      <c r="C61">
        <v>3.32</v>
      </c>
      <c r="D61" s="18">
        <f t="shared" si="2"/>
        <v>0.906183368869936</v>
      </c>
      <c r="E61" s="56">
        <v>494.22</v>
      </c>
      <c r="F61">
        <v>13.75</v>
      </c>
      <c r="G61" s="17">
        <v>47027</v>
      </c>
      <c r="H61">
        <v>45</v>
      </c>
      <c r="I61" t="s">
        <v>84</v>
      </c>
      <c r="J61">
        <f t="shared" si="0"/>
        <v>0</v>
      </c>
      <c r="K61" t="str">
        <f t="shared" si="1"/>
        <v/>
      </c>
      <c r="L61" t="str">
        <f t="shared" si="3"/>
        <v/>
      </c>
    </row>
    <row r="62" spans="1:12">
      <c r="A62" t="s">
        <v>745</v>
      </c>
      <c r="B62" t="s">
        <v>600</v>
      </c>
      <c r="C62">
        <v>2.46</v>
      </c>
      <c r="D62" s="18">
        <f t="shared" si="2"/>
        <v>0.3646055437100213</v>
      </c>
      <c r="E62" s="56">
        <v>298.29000000000002</v>
      </c>
      <c r="F62">
        <v>13.27</v>
      </c>
      <c r="G62" s="17">
        <v>46296</v>
      </c>
      <c r="H62">
        <v>21</v>
      </c>
      <c r="I62" t="s">
        <v>76</v>
      </c>
      <c r="J62">
        <f t="shared" si="0"/>
        <v>25</v>
      </c>
      <c r="K62" t="str">
        <f t="shared" si="1"/>
        <v/>
      </c>
      <c r="L62" t="str">
        <f t="shared" si="3"/>
        <v/>
      </c>
    </row>
    <row r="63" spans="1:12">
      <c r="A63" t="s">
        <v>744</v>
      </c>
      <c r="B63" t="s">
        <v>736</v>
      </c>
      <c r="C63">
        <v>1.61</v>
      </c>
      <c r="D63" s="18">
        <f t="shared" si="2"/>
        <v>2.9850746268656716E-2</v>
      </c>
      <c r="E63" s="56">
        <v>87.97</v>
      </c>
      <c r="F63">
        <v>14.98</v>
      </c>
      <c r="G63" s="17">
        <v>46235</v>
      </c>
      <c r="H63">
        <v>19</v>
      </c>
      <c r="I63" t="s">
        <v>81</v>
      </c>
      <c r="J63">
        <f t="shared" si="0"/>
        <v>70</v>
      </c>
      <c r="K63" t="str">
        <f t="shared" si="1"/>
        <v>Close</v>
      </c>
      <c r="L63" t="str">
        <f t="shared" si="3"/>
        <v>Wave 1</v>
      </c>
    </row>
    <row r="64" spans="1:12">
      <c r="A64" t="s">
        <v>743</v>
      </c>
      <c r="B64" t="s">
        <v>683</v>
      </c>
      <c r="C64">
        <v>2.61</v>
      </c>
      <c r="D64" s="18">
        <f t="shared" si="2"/>
        <v>0.48400852878464817</v>
      </c>
      <c r="E64" s="56">
        <v>445.65</v>
      </c>
      <c r="F64">
        <v>13.75</v>
      </c>
      <c r="G64" s="17">
        <v>47635</v>
      </c>
      <c r="H64">
        <v>65</v>
      </c>
      <c r="I64" t="s">
        <v>76</v>
      </c>
      <c r="J64">
        <f t="shared" si="0"/>
        <v>5</v>
      </c>
      <c r="K64" t="str">
        <f t="shared" si="1"/>
        <v/>
      </c>
      <c r="L64" t="str">
        <f t="shared" si="3"/>
        <v/>
      </c>
    </row>
    <row r="65" spans="1:12">
      <c r="A65" t="s">
        <v>742</v>
      </c>
      <c r="B65" t="s">
        <v>646</v>
      </c>
      <c r="C65">
        <v>3.59</v>
      </c>
      <c r="D65" s="18">
        <f t="shared" si="2"/>
        <v>0.95735607675906187</v>
      </c>
      <c r="E65" s="56">
        <v>326.47000000000003</v>
      </c>
      <c r="F65">
        <v>8.35</v>
      </c>
      <c r="G65" s="17">
        <v>46419</v>
      </c>
      <c r="H65">
        <v>25</v>
      </c>
      <c r="I65" t="s">
        <v>76</v>
      </c>
      <c r="J65">
        <f t="shared" si="0"/>
        <v>15</v>
      </c>
      <c r="K65" t="str">
        <f t="shared" si="1"/>
        <v/>
      </c>
      <c r="L65" t="str">
        <f t="shared" si="3"/>
        <v/>
      </c>
    </row>
    <row r="66" spans="1:12">
      <c r="A66" t="s">
        <v>741</v>
      </c>
      <c r="B66" t="s">
        <v>622</v>
      </c>
      <c r="C66">
        <v>2.4500000000000002</v>
      </c>
      <c r="D66" s="18">
        <f t="shared" si="2"/>
        <v>0.35607675906183367</v>
      </c>
      <c r="E66" s="56">
        <v>388.88</v>
      </c>
      <c r="F66">
        <v>6.93</v>
      </c>
      <c r="G66" s="17">
        <v>47818</v>
      </c>
      <c r="H66">
        <v>71</v>
      </c>
      <c r="I66" t="s">
        <v>76</v>
      </c>
      <c r="J66">
        <f t="shared" ref="J66:J129" si="4">IF($D66&lt;=0.25,40,0)+IF($F66&lt;0,30,IF($F66&lt;2,20,IF($F66&lt;5,10,0)))+IF($H66&lt;=24,20,IF($H66&lt;=36,10,0))
+IF($I66="Low",10,IF($I66="Medium",5,0))</f>
        <v>5</v>
      </c>
      <c r="K66" t="str">
        <f t="shared" ref="K66:K129" si="5">IF(L66=$L$2, "","Close")</f>
        <v/>
      </c>
      <c r="L66" t="str">
        <f t="shared" si="3"/>
        <v/>
      </c>
    </row>
    <row r="67" spans="1:12">
      <c r="A67" t="s">
        <v>740</v>
      </c>
      <c r="B67" t="s">
        <v>87</v>
      </c>
      <c r="C67">
        <v>2.17</v>
      </c>
      <c r="D67" s="18">
        <f t="shared" ref="D67:D130" si="6">_xlfn.RANK.EQ(C67,$C$2:$C$470,1)/COUNT($C$2:$C$470)</f>
        <v>0.18976545842217485</v>
      </c>
      <c r="E67" s="56">
        <v>222.58</v>
      </c>
      <c r="F67">
        <v>13.39</v>
      </c>
      <c r="G67" s="17">
        <v>47119</v>
      </c>
      <c r="H67">
        <v>48</v>
      </c>
      <c r="I67" t="s">
        <v>81</v>
      </c>
      <c r="J67">
        <f t="shared" si="4"/>
        <v>50</v>
      </c>
      <c r="K67" t="str">
        <f t="shared" si="5"/>
        <v>Close</v>
      </c>
      <c r="L67" t="str">
        <f t="shared" si="3"/>
        <v>Wave 1</v>
      </c>
    </row>
    <row r="68" spans="1:12">
      <c r="A68" t="s">
        <v>739</v>
      </c>
      <c r="B68" t="s">
        <v>738</v>
      </c>
      <c r="C68">
        <v>2</v>
      </c>
      <c r="D68" s="18">
        <f t="shared" si="6"/>
        <v>0.13432835820895522</v>
      </c>
      <c r="E68" s="56">
        <v>193.32</v>
      </c>
      <c r="F68">
        <v>7.27</v>
      </c>
      <c r="G68" s="17">
        <v>46722</v>
      </c>
      <c r="H68">
        <v>35</v>
      </c>
      <c r="I68" t="s">
        <v>76</v>
      </c>
      <c r="J68">
        <f t="shared" si="4"/>
        <v>55</v>
      </c>
      <c r="K68" t="str">
        <f t="shared" si="5"/>
        <v>Close</v>
      </c>
      <c r="L68" t="str">
        <f t="shared" si="3"/>
        <v>Wave 1</v>
      </c>
    </row>
    <row r="69" spans="1:12">
      <c r="A69" t="s">
        <v>737</v>
      </c>
      <c r="B69" t="s">
        <v>736</v>
      </c>
      <c r="C69">
        <v>2.08</v>
      </c>
      <c r="D69" s="18">
        <f t="shared" si="6"/>
        <v>0.16631130063965885</v>
      </c>
      <c r="E69" s="56">
        <v>215.23</v>
      </c>
      <c r="F69">
        <v>18.73</v>
      </c>
      <c r="G69" s="17">
        <v>46905</v>
      </c>
      <c r="H69">
        <v>41</v>
      </c>
      <c r="I69" t="s">
        <v>76</v>
      </c>
      <c r="J69">
        <f t="shared" si="4"/>
        <v>45</v>
      </c>
      <c r="K69" t="str">
        <f t="shared" si="5"/>
        <v>Close</v>
      </c>
      <c r="L69" t="str">
        <f t="shared" si="3"/>
        <v>Wave 2</v>
      </c>
    </row>
    <row r="70" spans="1:12">
      <c r="A70" t="s">
        <v>735</v>
      </c>
      <c r="B70" t="s">
        <v>693</v>
      </c>
      <c r="C70">
        <v>2.4900000000000002</v>
      </c>
      <c r="D70" s="18">
        <f t="shared" si="6"/>
        <v>0.38592750533049042</v>
      </c>
      <c r="E70" s="56">
        <v>450.22</v>
      </c>
      <c r="F70">
        <v>12.78</v>
      </c>
      <c r="G70" s="17">
        <v>47757</v>
      </c>
      <c r="H70">
        <v>69</v>
      </c>
      <c r="I70" t="s">
        <v>81</v>
      </c>
      <c r="J70">
        <f t="shared" si="4"/>
        <v>10</v>
      </c>
      <c r="K70" t="str">
        <f t="shared" si="5"/>
        <v/>
      </c>
      <c r="L70" t="str">
        <f t="shared" si="3"/>
        <v/>
      </c>
    </row>
    <row r="71" spans="1:12">
      <c r="A71" t="s">
        <v>734</v>
      </c>
      <c r="B71" t="s">
        <v>167</v>
      </c>
      <c r="C71">
        <v>2.0099999999999998</v>
      </c>
      <c r="D71" s="18">
        <f t="shared" si="6"/>
        <v>0.14072494669509594</v>
      </c>
      <c r="E71" s="56">
        <v>99.29</v>
      </c>
      <c r="F71">
        <v>7.98</v>
      </c>
      <c r="G71" s="17">
        <v>46784</v>
      </c>
      <c r="H71">
        <v>37</v>
      </c>
      <c r="I71" t="s">
        <v>81</v>
      </c>
      <c r="J71">
        <f t="shared" si="4"/>
        <v>50</v>
      </c>
      <c r="K71" t="str">
        <f t="shared" si="5"/>
        <v>Close</v>
      </c>
      <c r="L71" t="str">
        <f t="shared" ref="L71:L134" si="7">IF(_xlfn.RANK.EQ($J71,$J$2:$J$470,0)&lt;=40,"Wave 1",
IF(_xlfn.RANK.EQ($J71,$J$2:$J$470,0)&lt;=70,"Wave 2",""))</f>
        <v>Wave 1</v>
      </c>
    </row>
    <row r="72" spans="1:12">
      <c r="A72" t="s">
        <v>733</v>
      </c>
      <c r="B72" t="s">
        <v>665</v>
      </c>
      <c r="C72">
        <v>3.48</v>
      </c>
      <c r="D72" s="18">
        <f t="shared" si="6"/>
        <v>0.94243070362473347</v>
      </c>
      <c r="E72" s="56">
        <v>452.91</v>
      </c>
      <c r="F72">
        <v>11.15</v>
      </c>
      <c r="G72" s="17">
        <v>47574</v>
      </c>
      <c r="H72">
        <v>63</v>
      </c>
      <c r="I72" t="s">
        <v>84</v>
      </c>
      <c r="J72">
        <f t="shared" si="4"/>
        <v>0</v>
      </c>
      <c r="K72" t="str">
        <f t="shared" si="5"/>
        <v/>
      </c>
      <c r="L72" t="str">
        <f t="shared" si="7"/>
        <v/>
      </c>
    </row>
    <row r="73" spans="1:12">
      <c r="A73" t="s">
        <v>732</v>
      </c>
      <c r="B73" t="s">
        <v>483</v>
      </c>
      <c r="C73">
        <v>2.5</v>
      </c>
      <c r="D73" s="18">
        <f t="shared" si="6"/>
        <v>0.39658848614072495</v>
      </c>
      <c r="E73" s="56">
        <v>384.94</v>
      </c>
      <c r="F73">
        <v>10.32</v>
      </c>
      <c r="G73" s="17">
        <v>48274</v>
      </c>
      <c r="H73">
        <v>86</v>
      </c>
      <c r="I73" t="s">
        <v>76</v>
      </c>
      <c r="J73">
        <f t="shared" si="4"/>
        <v>5</v>
      </c>
      <c r="K73" t="str">
        <f t="shared" si="5"/>
        <v/>
      </c>
      <c r="L73" t="str">
        <f t="shared" si="7"/>
        <v/>
      </c>
    </row>
    <row r="74" spans="1:12">
      <c r="A74" t="s">
        <v>731</v>
      </c>
      <c r="B74" t="s">
        <v>730</v>
      </c>
      <c r="C74">
        <v>2.72</v>
      </c>
      <c r="D74" s="18">
        <f t="shared" si="6"/>
        <v>0.57569296375266521</v>
      </c>
      <c r="E74" s="56">
        <v>333.86</v>
      </c>
      <c r="F74">
        <v>12.01</v>
      </c>
      <c r="G74" s="17">
        <v>45870</v>
      </c>
      <c r="H74">
        <v>7</v>
      </c>
      <c r="I74" t="s">
        <v>76</v>
      </c>
      <c r="J74">
        <f t="shared" si="4"/>
        <v>25</v>
      </c>
      <c r="K74" t="str">
        <f t="shared" si="5"/>
        <v/>
      </c>
      <c r="L74" t="str">
        <f t="shared" si="7"/>
        <v/>
      </c>
    </row>
    <row r="75" spans="1:12">
      <c r="A75" t="s">
        <v>729</v>
      </c>
      <c r="B75" t="s">
        <v>728</v>
      </c>
      <c r="C75">
        <v>3.45</v>
      </c>
      <c r="D75" s="18">
        <f t="shared" si="6"/>
        <v>0.9360341151385928</v>
      </c>
      <c r="E75" s="56">
        <v>406.29</v>
      </c>
      <c r="F75">
        <v>16.86</v>
      </c>
      <c r="G75" s="17">
        <v>48731</v>
      </c>
      <c r="H75">
        <v>101</v>
      </c>
      <c r="I75" t="s">
        <v>81</v>
      </c>
      <c r="J75">
        <f t="shared" si="4"/>
        <v>10</v>
      </c>
      <c r="K75" t="str">
        <f t="shared" si="5"/>
        <v/>
      </c>
      <c r="L75" t="str">
        <f t="shared" si="7"/>
        <v/>
      </c>
    </row>
    <row r="76" spans="1:12">
      <c r="A76" t="s">
        <v>727</v>
      </c>
      <c r="B76" t="s">
        <v>698</v>
      </c>
      <c r="C76">
        <v>3.49</v>
      </c>
      <c r="D76" s="18">
        <f t="shared" si="6"/>
        <v>0.94456289978678043</v>
      </c>
      <c r="E76" s="56">
        <v>479.34</v>
      </c>
      <c r="F76">
        <v>6.1</v>
      </c>
      <c r="G76" s="17">
        <v>46784</v>
      </c>
      <c r="H76">
        <v>37</v>
      </c>
      <c r="I76" t="s">
        <v>76</v>
      </c>
      <c r="J76">
        <f t="shared" si="4"/>
        <v>5</v>
      </c>
      <c r="K76" t="str">
        <f t="shared" si="5"/>
        <v/>
      </c>
      <c r="L76" t="str">
        <f t="shared" si="7"/>
        <v/>
      </c>
    </row>
    <row r="77" spans="1:12">
      <c r="A77" t="s">
        <v>726</v>
      </c>
      <c r="B77" t="s">
        <v>185</v>
      </c>
      <c r="C77">
        <v>2.54</v>
      </c>
      <c r="D77" s="18">
        <f t="shared" si="6"/>
        <v>0.42430703624733473</v>
      </c>
      <c r="E77" s="56">
        <v>398.08</v>
      </c>
      <c r="F77">
        <v>4.2</v>
      </c>
      <c r="G77" s="17">
        <v>48245</v>
      </c>
      <c r="H77">
        <v>85</v>
      </c>
      <c r="I77" t="s">
        <v>76</v>
      </c>
      <c r="J77">
        <f t="shared" si="4"/>
        <v>15</v>
      </c>
      <c r="K77" t="str">
        <f t="shared" si="5"/>
        <v/>
      </c>
      <c r="L77" t="str">
        <f t="shared" si="7"/>
        <v/>
      </c>
    </row>
    <row r="78" spans="1:12">
      <c r="A78" t="s">
        <v>725</v>
      </c>
      <c r="B78" t="s">
        <v>724</v>
      </c>
      <c r="C78">
        <v>2.84</v>
      </c>
      <c r="D78" s="18">
        <f t="shared" si="6"/>
        <v>0.65031982942430699</v>
      </c>
      <c r="E78" s="56">
        <v>311.3</v>
      </c>
      <c r="F78">
        <v>14.12</v>
      </c>
      <c r="G78" s="17">
        <v>47119</v>
      </c>
      <c r="H78">
        <v>48</v>
      </c>
      <c r="I78" t="s">
        <v>81</v>
      </c>
      <c r="J78">
        <f t="shared" si="4"/>
        <v>10</v>
      </c>
      <c r="K78" t="str">
        <f t="shared" si="5"/>
        <v/>
      </c>
      <c r="L78" t="str">
        <f t="shared" si="7"/>
        <v/>
      </c>
    </row>
    <row r="79" spans="1:12">
      <c r="A79" t="s">
        <v>723</v>
      </c>
      <c r="B79" t="s">
        <v>651</v>
      </c>
      <c r="C79">
        <v>3.06</v>
      </c>
      <c r="D79" s="18">
        <f t="shared" si="6"/>
        <v>0.79104477611940294</v>
      </c>
      <c r="E79" s="56">
        <v>309.11</v>
      </c>
      <c r="F79">
        <v>11.8</v>
      </c>
      <c r="G79" s="17">
        <v>46143</v>
      </c>
      <c r="H79">
        <v>16</v>
      </c>
      <c r="I79" t="s">
        <v>76</v>
      </c>
      <c r="J79">
        <f t="shared" si="4"/>
        <v>25</v>
      </c>
      <c r="K79" t="str">
        <f t="shared" si="5"/>
        <v/>
      </c>
      <c r="L79" t="str">
        <f t="shared" si="7"/>
        <v/>
      </c>
    </row>
    <row r="80" spans="1:12">
      <c r="A80" t="s">
        <v>722</v>
      </c>
      <c r="B80" t="s">
        <v>721</v>
      </c>
      <c r="C80">
        <v>2.5499999999999998</v>
      </c>
      <c r="D80" s="18">
        <f t="shared" si="6"/>
        <v>0.43283582089552236</v>
      </c>
      <c r="E80" s="56">
        <v>355.33</v>
      </c>
      <c r="F80">
        <v>13.33</v>
      </c>
      <c r="G80" s="17">
        <v>46419</v>
      </c>
      <c r="H80">
        <v>25</v>
      </c>
      <c r="I80" t="s">
        <v>76</v>
      </c>
      <c r="J80">
        <f t="shared" si="4"/>
        <v>15</v>
      </c>
      <c r="K80" t="str">
        <f t="shared" si="5"/>
        <v/>
      </c>
      <c r="L80" t="str">
        <f t="shared" si="7"/>
        <v/>
      </c>
    </row>
    <row r="81" spans="1:12">
      <c r="A81" t="s">
        <v>720</v>
      </c>
      <c r="B81" t="s">
        <v>364</v>
      </c>
      <c r="C81">
        <v>1.68</v>
      </c>
      <c r="D81" s="18">
        <f t="shared" si="6"/>
        <v>4.4776119402985072E-2</v>
      </c>
      <c r="E81" s="56">
        <v>119.43</v>
      </c>
      <c r="F81">
        <v>14.6</v>
      </c>
      <c r="G81" s="17">
        <v>46296</v>
      </c>
      <c r="H81">
        <v>21</v>
      </c>
      <c r="I81" t="s">
        <v>84</v>
      </c>
      <c r="J81">
        <f t="shared" si="4"/>
        <v>60</v>
      </c>
      <c r="K81" t="str">
        <f t="shared" si="5"/>
        <v>Close</v>
      </c>
      <c r="L81" t="str">
        <f t="shared" si="7"/>
        <v>Wave 1</v>
      </c>
    </row>
    <row r="82" spans="1:12">
      <c r="A82" t="s">
        <v>719</v>
      </c>
      <c r="B82" t="s">
        <v>713</v>
      </c>
      <c r="C82">
        <v>3.02</v>
      </c>
      <c r="D82" s="18">
        <f t="shared" si="6"/>
        <v>0.77398720682302768</v>
      </c>
      <c r="E82" s="56">
        <v>434.96</v>
      </c>
      <c r="F82">
        <v>11.79</v>
      </c>
      <c r="G82" s="17">
        <v>46419</v>
      </c>
      <c r="H82">
        <v>25</v>
      </c>
      <c r="I82" t="s">
        <v>84</v>
      </c>
      <c r="J82">
        <f t="shared" si="4"/>
        <v>10</v>
      </c>
      <c r="K82" t="str">
        <f t="shared" si="5"/>
        <v/>
      </c>
      <c r="L82" t="str">
        <f t="shared" si="7"/>
        <v/>
      </c>
    </row>
    <row r="83" spans="1:12">
      <c r="A83" t="s">
        <v>718</v>
      </c>
      <c r="B83" t="s">
        <v>717</v>
      </c>
      <c r="C83">
        <v>3.15</v>
      </c>
      <c r="D83" s="18">
        <f t="shared" si="6"/>
        <v>0.83368869936034118</v>
      </c>
      <c r="E83" s="56">
        <v>428.34</v>
      </c>
      <c r="F83">
        <v>16.2</v>
      </c>
      <c r="G83" s="17">
        <v>46844</v>
      </c>
      <c r="H83">
        <v>39</v>
      </c>
      <c r="I83" t="s">
        <v>81</v>
      </c>
      <c r="J83">
        <f t="shared" si="4"/>
        <v>10</v>
      </c>
      <c r="K83" t="str">
        <f t="shared" si="5"/>
        <v/>
      </c>
      <c r="L83" t="str">
        <f t="shared" si="7"/>
        <v/>
      </c>
    </row>
    <row r="84" spans="1:12">
      <c r="A84" t="s">
        <v>716</v>
      </c>
      <c r="B84" t="s">
        <v>305</v>
      </c>
      <c r="C84">
        <v>2.89</v>
      </c>
      <c r="D84" s="18">
        <f t="shared" si="6"/>
        <v>0.68230277185501065</v>
      </c>
      <c r="E84" s="56">
        <v>254.94</v>
      </c>
      <c r="F84">
        <v>8.58</v>
      </c>
      <c r="G84" s="17">
        <v>46174</v>
      </c>
      <c r="H84">
        <v>17</v>
      </c>
      <c r="I84" t="s">
        <v>81</v>
      </c>
      <c r="J84">
        <f t="shared" si="4"/>
        <v>30</v>
      </c>
      <c r="K84" t="str">
        <f t="shared" si="5"/>
        <v/>
      </c>
      <c r="L84" t="str">
        <f t="shared" si="7"/>
        <v/>
      </c>
    </row>
    <row r="85" spans="1:12">
      <c r="A85" t="s">
        <v>715</v>
      </c>
      <c r="B85" t="s">
        <v>334</v>
      </c>
      <c r="C85">
        <v>2.15</v>
      </c>
      <c r="D85" s="18">
        <f t="shared" si="6"/>
        <v>0.18336886993603413</v>
      </c>
      <c r="E85" s="56">
        <v>166.27</v>
      </c>
      <c r="F85">
        <v>12.89</v>
      </c>
      <c r="G85" s="17">
        <v>48000</v>
      </c>
      <c r="H85">
        <v>77</v>
      </c>
      <c r="I85" t="s">
        <v>81</v>
      </c>
      <c r="J85">
        <f t="shared" si="4"/>
        <v>50</v>
      </c>
      <c r="K85" t="str">
        <f t="shared" si="5"/>
        <v>Close</v>
      </c>
      <c r="L85" t="str">
        <f t="shared" si="7"/>
        <v>Wave 1</v>
      </c>
    </row>
    <row r="86" spans="1:12">
      <c r="A86" t="s">
        <v>714</v>
      </c>
      <c r="B86" t="s">
        <v>713</v>
      </c>
      <c r="C86">
        <v>2.5499999999999998</v>
      </c>
      <c r="D86" s="18">
        <f t="shared" si="6"/>
        <v>0.43283582089552236</v>
      </c>
      <c r="E86" s="56">
        <v>453</v>
      </c>
      <c r="F86">
        <v>8.86</v>
      </c>
      <c r="G86" s="17">
        <v>47209</v>
      </c>
      <c r="H86">
        <v>51</v>
      </c>
      <c r="I86" t="s">
        <v>81</v>
      </c>
      <c r="J86">
        <f t="shared" si="4"/>
        <v>10</v>
      </c>
      <c r="K86" t="str">
        <f t="shared" si="5"/>
        <v/>
      </c>
      <c r="L86" t="str">
        <f t="shared" si="7"/>
        <v/>
      </c>
    </row>
    <row r="87" spans="1:12">
      <c r="A87" t="s">
        <v>712</v>
      </c>
      <c r="B87" t="s">
        <v>425</v>
      </c>
      <c r="C87">
        <v>2.34</v>
      </c>
      <c r="D87" s="18">
        <f t="shared" si="6"/>
        <v>0.28997867803837951</v>
      </c>
      <c r="E87" s="56">
        <v>448.78</v>
      </c>
      <c r="F87">
        <v>7.52</v>
      </c>
      <c r="G87" s="17">
        <v>48488</v>
      </c>
      <c r="H87">
        <v>93</v>
      </c>
      <c r="I87" t="s">
        <v>76</v>
      </c>
      <c r="J87">
        <f t="shared" si="4"/>
        <v>5</v>
      </c>
      <c r="K87" t="str">
        <f t="shared" si="5"/>
        <v/>
      </c>
      <c r="L87" t="str">
        <f t="shared" si="7"/>
        <v/>
      </c>
    </row>
    <row r="88" spans="1:12">
      <c r="A88" t="s">
        <v>711</v>
      </c>
      <c r="B88" t="s">
        <v>675</v>
      </c>
      <c r="C88">
        <v>2.5</v>
      </c>
      <c r="D88" s="18">
        <f t="shared" si="6"/>
        <v>0.39658848614072495</v>
      </c>
      <c r="E88" s="56">
        <v>415.84</v>
      </c>
      <c r="F88">
        <v>15.37</v>
      </c>
      <c r="G88" s="17">
        <v>48945</v>
      </c>
      <c r="H88">
        <v>108</v>
      </c>
      <c r="I88" t="s">
        <v>81</v>
      </c>
      <c r="J88">
        <f t="shared" si="4"/>
        <v>10</v>
      </c>
      <c r="K88" t="str">
        <f t="shared" si="5"/>
        <v/>
      </c>
      <c r="L88" t="str">
        <f t="shared" si="7"/>
        <v/>
      </c>
    </row>
    <row r="89" spans="1:12">
      <c r="A89" t="s">
        <v>710</v>
      </c>
      <c r="B89" t="s">
        <v>118</v>
      </c>
      <c r="C89">
        <v>3.37</v>
      </c>
      <c r="D89" s="18">
        <f t="shared" si="6"/>
        <v>0.91684434968017059</v>
      </c>
      <c r="E89" s="56">
        <v>399.04</v>
      </c>
      <c r="F89">
        <v>15.16</v>
      </c>
      <c r="G89" s="17">
        <v>48639</v>
      </c>
      <c r="H89">
        <v>98</v>
      </c>
      <c r="I89" t="s">
        <v>81</v>
      </c>
      <c r="J89">
        <f t="shared" si="4"/>
        <v>10</v>
      </c>
      <c r="K89" t="str">
        <f t="shared" si="5"/>
        <v/>
      </c>
      <c r="L89" t="str">
        <f t="shared" si="7"/>
        <v/>
      </c>
    </row>
    <row r="90" spans="1:12">
      <c r="A90" t="s">
        <v>709</v>
      </c>
      <c r="B90" t="s">
        <v>351</v>
      </c>
      <c r="C90">
        <v>3.5</v>
      </c>
      <c r="D90" s="18">
        <f t="shared" si="6"/>
        <v>0.94669509594882728</v>
      </c>
      <c r="E90" s="56">
        <v>364.97</v>
      </c>
      <c r="F90">
        <v>3.86</v>
      </c>
      <c r="G90" s="17">
        <v>48761</v>
      </c>
      <c r="H90">
        <v>102</v>
      </c>
      <c r="I90" t="s">
        <v>76</v>
      </c>
      <c r="J90">
        <f t="shared" si="4"/>
        <v>15</v>
      </c>
      <c r="K90" t="str">
        <f t="shared" si="5"/>
        <v/>
      </c>
      <c r="L90" t="str">
        <f t="shared" si="7"/>
        <v/>
      </c>
    </row>
    <row r="91" spans="1:12">
      <c r="A91" t="s">
        <v>708</v>
      </c>
      <c r="B91" t="s">
        <v>272</v>
      </c>
      <c r="C91">
        <v>3.03</v>
      </c>
      <c r="D91" s="18">
        <f t="shared" si="6"/>
        <v>0.77611940298507465</v>
      </c>
      <c r="E91" s="56">
        <v>429.14</v>
      </c>
      <c r="F91">
        <v>7.55</v>
      </c>
      <c r="G91" s="17">
        <v>48731</v>
      </c>
      <c r="H91">
        <v>101</v>
      </c>
      <c r="I91" t="s">
        <v>84</v>
      </c>
      <c r="J91">
        <f t="shared" si="4"/>
        <v>0</v>
      </c>
      <c r="K91" t="str">
        <f t="shared" si="5"/>
        <v/>
      </c>
      <c r="L91" t="str">
        <f t="shared" si="7"/>
        <v/>
      </c>
    </row>
    <row r="92" spans="1:12">
      <c r="A92" t="s">
        <v>707</v>
      </c>
      <c r="B92" t="s">
        <v>706</v>
      </c>
      <c r="C92">
        <v>2.96</v>
      </c>
      <c r="D92" s="18">
        <f t="shared" si="6"/>
        <v>0.73134328358208955</v>
      </c>
      <c r="E92" s="56">
        <v>351.53</v>
      </c>
      <c r="F92">
        <v>13.91</v>
      </c>
      <c r="G92" s="17">
        <v>45901</v>
      </c>
      <c r="H92">
        <v>8</v>
      </c>
      <c r="I92" t="s">
        <v>84</v>
      </c>
      <c r="J92">
        <f t="shared" si="4"/>
        <v>20</v>
      </c>
      <c r="K92" t="str">
        <f t="shared" si="5"/>
        <v/>
      </c>
      <c r="L92" t="str">
        <f t="shared" si="7"/>
        <v/>
      </c>
    </row>
    <row r="93" spans="1:12">
      <c r="A93" t="s">
        <v>705</v>
      </c>
      <c r="B93" t="s">
        <v>704</v>
      </c>
      <c r="C93">
        <v>3.03</v>
      </c>
      <c r="D93" s="18">
        <f t="shared" si="6"/>
        <v>0.77611940298507465</v>
      </c>
      <c r="E93" s="56">
        <v>353.43</v>
      </c>
      <c r="F93">
        <v>17.420000000000002</v>
      </c>
      <c r="G93" s="17">
        <v>46905</v>
      </c>
      <c r="H93">
        <v>41</v>
      </c>
      <c r="I93" t="s">
        <v>81</v>
      </c>
      <c r="J93">
        <f t="shared" si="4"/>
        <v>10</v>
      </c>
      <c r="K93" t="str">
        <f t="shared" si="5"/>
        <v/>
      </c>
      <c r="L93" t="str">
        <f t="shared" si="7"/>
        <v/>
      </c>
    </row>
    <row r="94" spans="1:12">
      <c r="A94" t="s">
        <v>703</v>
      </c>
      <c r="B94" t="s">
        <v>249</v>
      </c>
      <c r="C94">
        <v>2.65</v>
      </c>
      <c r="D94" s="18">
        <f t="shared" si="6"/>
        <v>0.52025586353944564</v>
      </c>
      <c r="E94" s="56">
        <v>406.98</v>
      </c>
      <c r="F94">
        <v>9.6</v>
      </c>
      <c r="G94" s="17">
        <v>47119</v>
      </c>
      <c r="H94">
        <v>48</v>
      </c>
      <c r="I94" t="s">
        <v>81</v>
      </c>
      <c r="J94">
        <f t="shared" si="4"/>
        <v>10</v>
      </c>
      <c r="K94" t="str">
        <f t="shared" si="5"/>
        <v/>
      </c>
      <c r="L94" t="str">
        <f t="shared" si="7"/>
        <v/>
      </c>
    </row>
    <row r="95" spans="1:12">
      <c r="A95" t="s">
        <v>702</v>
      </c>
      <c r="B95" t="s">
        <v>181</v>
      </c>
      <c r="C95">
        <v>2.62</v>
      </c>
      <c r="D95" s="18">
        <f t="shared" si="6"/>
        <v>0.49680170575692961</v>
      </c>
      <c r="E95" s="56">
        <v>444.15</v>
      </c>
      <c r="F95">
        <v>11.77</v>
      </c>
      <c r="G95" s="17">
        <v>46966</v>
      </c>
      <c r="H95">
        <v>43</v>
      </c>
      <c r="I95" t="s">
        <v>81</v>
      </c>
      <c r="J95">
        <f t="shared" si="4"/>
        <v>10</v>
      </c>
      <c r="K95" t="str">
        <f t="shared" si="5"/>
        <v/>
      </c>
      <c r="L95" t="str">
        <f t="shared" si="7"/>
        <v/>
      </c>
    </row>
    <row r="96" spans="1:12">
      <c r="A96" t="s">
        <v>701</v>
      </c>
      <c r="B96" t="s">
        <v>691</v>
      </c>
      <c r="C96">
        <v>2.29</v>
      </c>
      <c r="D96" s="18">
        <f t="shared" si="6"/>
        <v>0.25586353944562901</v>
      </c>
      <c r="E96" s="56">
        <v>429.97</v>
      </c>
      <c r="F96">
        <v>6.24</v>
      </c>
      <c r="G96" s="17">
        <v>48092</v>
      </c>
      <c r="H96">
        <v>80</v>
      </c>
      <c r="I96" t="s">
        <v>76</v>
      </c>
      <c r="J96">
        <f t="shared" si="4"/>
        <v>5</v>
      </c>
      <c r="K96" t="str">
        <f t="shared" si="5"/>
        <v/>
      </c>
      <c r="L96" t="str">
        <f t="shared" si="7"/>
        <v/>
      </c>
    </row>
    <row r="97" spans="1:12">
      <c r="A97" t="s">
        <v>700</v>
      </c>
      <c r="B97" t="s">
        <v>112</v>
      </c>
      <c r="C97">
        <v>2.63</v>
      </c>
      <c r="D97" s="18">
        <f t="shared" si="6"/>
        <v>0.50533049040511724</v>
      </c>
      <c r="E97" s="56">
        <v>431.88</v>
      </c>
      <c r="F97">
        <v>23.9</v>
      </c>
      <c r="G97" s="17">
        <v>47574</v>
      </c>
      <c r="H97">
        <v>63</v>
      </c>
      <c r="I97" t="s">
        <v>84</v>
      </c>
      <c r="J97">
        <f t="shared" si="4"/>
        <v>0</v>
      </c>
      <c r="K97" t="str">
        <f t="shared" si="5"/>
        <v/>
      </c>
      <c r="L97" t="str">
        <f t="shared" si="7"/>
        <v/>
      </c>
    </row>
    <row r="98" spans="1:12">
      <c r="A98" t="s">
        <v>699</v>
      </c>
      <c r="B98" t="s">
        <v>698</v>
      </c>
      <c r="C98">
        <v>3.9</v>
      </c>
      <c r="D98" s="18">
        <f t="shared" si="6"/>
        <v>0.99360341151385922</v>
      </c>
      <c r="E98" s="56">
        <v>369.1</v>
      </c>
      <c r="F98">
        <v>14.74</v>
      </c>
      <c r="G98" s="17">
        <v>47178</v>
      </c>
      <c r="H98">
        <v>50</v>
      </c>
      <c r="I98" t="s">
        <v>81</v>
      </c>
      <c r="J98">
        <f t="shared" si="4"/>
        <v>10</v>
      </c>
      <c r="K98" t="str">
        <f t="shared" si="5"/>
        <v/>
      </c>
      <c r="L98" t="str">
        <f t="shared" si="7"/>
        <v/>
      </c>
    </row>
    <row r="99" spans="1:12">
      <c r="A99" t="s">
        <v>697</v>
      </c>
      <c r="B99" t="s">
        <v>696</v>
      </c>
      <c r="C99">
        <v>3.14</v>
      </c>
      <c r="D99" s="18">
        <f t="shared" si="6"/>
        <v>0.83155650319829422</v>
      </c>
      <c r="E99" s="56">
        <v>375.85</v>
      </c>
      <c r="F99">
        <v>16.63</v>
      </c>
      <c r="G99" s="17">
        <v>46357</v>
      </c>
      <c r="H99">
        <v>23</v>
      </c>
      <c r="I99" t="s">
        <v>76</v>
      </c>
      <c r="J99">
        <f t="shared" si="4"/>
        <v>25</v>
      </c>
      <c r="K99" t="str">
        <f t="shared" si="5"/>
        <v/>
      </c>
      <c r="L99" t="str">
        <f t="shared" si="7"/>
        <v/>
      </c>
    </row>
    <row r="100" spans="1:12">
      <c r="A100" t="s">
        <v>695</v>
      </c>
      <c r="B100" t="s">
        <v>653</v>
      </c>
      <c r="C100">
        <v>2.4700000000000002</v>
      </c>
      <c r="D100" s="18">
        <f t="shared" si="6"/>
        <v>0.37526652452025588</v>
      </c>
      <c r="E100" s="56">
        <v>485.12</v>
      </c>
      <c r="F100">
        <v>15.56</v>
      </c>
      <c r="G100" s="17">
        <v>46966</v>
      </c>
      <c r="H100">
        <v>43</v>
      </c>
      <c r="I100" t="s">
        <v>76</v>
      </c>
      <c r="J100">
        <f t="shared" si="4"/>
        <v>5</v>
      </c>
      <c r="K100" t="str">
        <f t="shared" si="5"/>
        <v/>
      </c>
      <c r="L100" t="str">
        <f t="shared" si="7"/>
        <v/>
      </c>
    </row>
    <row r="101" spans="1:12">
      <c r="A101" t="s">
        <v>694</v>
      </c>
      <c r="B101" t="s">
        <v>693</v>
      </c>
      <c r="C101">
        <v>2.4</v>
      </c>
      <c r="D101" s="18">
        <f t="shared" si="6"/>
        <v>0.32622601279317698</v>
      </c>
      <c r="E101" s="56">
        <v>396.99</v>
      </c>
      <c r="F101">
        <v>16.8</v>
      </c>
      <c r="G101" s="17">
        <v>47757</v>
      </c>
      <c r="H101">
        <v>69</v>
      </c>
      <c r="I101" t="s">
        <v>76</v>
      </c>
      <c r="J101">
        <f t="shared" si="4"/>
        <v>5</v>
      </c>
      <c r="K101" t="str">
        <f t="shared" si="5"/>
        <v/>
      </c>
      <c r="L101" t="str">
        <f t="shared" si="7"/>
        <v/>
      </c>
    </row>
    <row r="102" spans="1:12">
      <c r="A102" t="s">
        <v>692</v>
      </c>
      <c r="B102" t="s">
        <v>691</v>
      </c>
      <c r="C102">
        <v>2.1800000000000002</v>
      </c>
      <c r="D102" s="18">
        <f t="shared" si="6"/>
        <v>0.19402985074626866</v>
      </c>
      <c r="E102" s="56">
        <v>194.06</v>
      </c>
      <c r="F102">
        <v>15.34</v>
      </c>
      <c r="G102" s="17">
        <v>47939</v>
      </c>
      <c r="H102">
        <v>75</v>
      </c>
      <c r="I102" t="s">
        <v>84</v>
      </c>
      <c r="J102">
        <f t="shared" si="4"/>
        <v>40</v>
      </c>
      <c r="K102" t="str">
        <f t="shared" si="5"/>
        <v/>
      </c>
      <c r="L102" t="str">
        <f t="shared" si="7"/>
        <v/>
      </c>
    </row>
    <row r="103" spans="1:12">
      <c r="A103" t="s">
        <v>690</v>
      </c>
      <c r="B103" t="s">
        <v>183</v>
      </c>
      <c r="C103">
        <v>2.87</v>
      </c>
      <c r="D103" s="18">
        <f t="shared" si="6"/>
        <v>0.66098081023454158</v>
      </c>
      <c r="E103" s="56">
        <v>329.87</v>
      </c>
      <c r="F103">
        <v>11.09</v>
      </c>
      <c r="G103" s="17">
        <v>46266</v>
      </c>
      <c r="H103">
        <v>20</v>
      </c>
      <c r="I103" t="s">
        <v>81</v>
      </c>
      <c r="J103">
        <f t="shared" si="4"/>
        <v>30</v>
      </c>
      <c r="K103" t="str">
        <f t="shared" si="5"/>
        <v/>
      </c>
      <c r="L103" t="str">
        <f t="shared" si="7"/>
        <v/>
      </c>
    </row>
    <row r="104" spans="1:12">
      <c r="A104" t="s">
        <v>689</v>
      </c>
      <c r="B104" t="s">
        <v>688</v>
      </c>
      <c r="C104">
        <v>2.88</v>
      </c>
      <c r="D104" s="18">
        <f t="shared" si="6"/>
        <v>0.67377398720682302</v>
      </c>
      <c r="E104" s="56">
        <v>413.55</v>
      </c>
      <c r="F104">
        <v>15.95</v>
      </c>
      <c r="G104" s="17">
        <v>46478</v>
      </c>
      <c r="H104">
        <v>27</v>
      </c>
      <c r="I104" t="s">
        <v>81</v>
      </c>
      <c r="J104">
        <f t="shared" si="4"/>
        <v>20</v>
      </c>
      <c r="K104" t="str">
        <f t="shared" si="5"/>
        <v/>
      </c>
      <c r="L104" t="str">
        <f t="shared" si="7"/>
        <v/>
      </c>
    </row>
    <row r="105" spans="1:12">
      <c r="A105" t="s">
        <v>687</v>
      </c>
      <c r="B105" t="s">
        <v>116</v>
      </c>
      <c r="C105">
        <v>1.87</v>
      </c>
      <c r="D105" s="18">
        <f t="shared" si="6"/>
        <v>9.3816631130063971E-2</v>
      </c>
      <c r="E105" s="56">
        <v>229.59</v>
      </c>
      <c r="F105">
        <v>12.96</v>
      </c>
      <c r="G105" s="17">
        <v>47362</v>
      </c>
      <c r="H105">
        <v>56</v>
      </c>
      <c r="I105" t="s">
        <v>76</v>
      </c>
      <c r="J105">
        <f t="shared" si="4"/>
        <v>45</v>
      </c>
      <c r="K105" t="str">
        <f t="shared" si="5"/>
        <v>Close</v>
      </c>
      <c r="L105" t="str">
        <f t="shared" si="7"/>
        <v>Wave 2</v>
      </c>
    </row>
    <row r="106" spans="1:12">
      <c r="A106" t="s">
        <v>686</v>
      </c>
      <c r="B106" t="s">
        <v>507</v>
      </c>
      <c r="C106">
        <v>2.93</v>
      </c>
      <c r="D106" s="18">
        <f t="shared" si="6"/>
        <v>0.70362473347547971</v>
      </c>
      <c r="E106" s="56">
        <v>397.69</v>
      </c>
      <c r="F106">
        <v>18.43</v>
      </c>
      <c r="G106" s="17">
        <v>47300</v>
      </c>
      <c r="H106">
        <v>54</v>
      </c>
      <c r="I106" t="s">
        <v>81</v>
      </c>
      <c r="J106">
        <f t="shared" si="4"/>
        <v>10</v>
      </c>
      <c r="K106" t="str">
        <f t="shared" si="5"/>
        <v/>
      </c>
      <c r="L106" t="str">
        <f t="shared" si="7"/>
        <v/>
      </c>
    </row>
    <row r="107" spans="1:12">
      <c r="A107" t="s">
        <v>685</v>
      </c>
      <c r="B107" t="s">
        <v>351</v>
      </c>
      <c r="C107">
        <v>2.35</v>
      </c>
      <c r="D107" s="18">
        <f t="shared" si="6"/>
        <v>0.3006396588486141</v>
      </c>
      <c r="E107" s="56">
        <v>359.64</v>
      </c>
      <c r="F107">
        <v>9.2899999999999991</v>
      </c>
      <c r="G107" s="17">
        <v>47392</v>
      </c>
      <c r="H107">
        <v>57</v>
      </c>
      <c r="I107" t="s">
        <v>81</v>
      </c>
      <c r="J107">
        <f t="shared" si="4"/>
        <v>10</v>
      </c>
      <c r="K107" t="str">
        <f t="shared" si="5"/>
        <v/>
      </c>
      <c r="L107" t="str">
        <f t="shared" si="7"/>
        <v/>
      </c>
    </row>
    <row r="108" spans="1:12">
      <c r="A108" t="s">
        <v>684</v>
      </c>
      <c r="B108" t="s">
        <v>683</v>
      </c>
      <c r="C108">
        <v>3.44</v>
      </c>
      <c r="D108" s="18">
        <f t="shared" si="6"/>
        <v>0.93390191897654584</v>
      </c>
      <c r="E108" s="56">
        <v>364.39</v>
      </c>
      <c r="F108">
        <v>10.16</v>
      </c>
      <c r="G108" s="17">
        <v>46722</v>
      </c>
      <c r="H108">
        <v>35</v>
      </c>
      <c r="I108" t="s">
        <v>76</v>
      </c>
      <c r="J108">
        <f t="shared" si="4"/>
        <v>15</v>
      </c>
      <c r="K108" t="str">
        <f t="shared" si="5"/>
        <v/>
      </c>
      <c r="L108" t="str">
        <f t="shared" si="7"/>
        <v/>
      </c>
    </row>
    <row r="109" spans="1:12">
      <c r="A109" t="s">
        <v>682</v>
      </c>
      <c r="B109" t="s">
        <v>662</v>
      </c>
      <c r="C109">
        <v>2.75</v>
      </c>
      <c r="D109" s="18">
        <f t="shared" si="6"/>
        <v>0.59488272921108742</v>
      </c>
      <c r="E109" s="56">
        <v>438.91</v>
      </c>
      <c r="F109">
        <v>15.58</v>
      </c>
      <c r="G109" s="17">
        <v>47300</v>
      </c>
      <c r="H109">
        <v>54</v>
      </c>
      <c r="I109" t="s">
        <v>76</v>
      </c>
      <c r="J109">
        <f t="shared" si="4"/>
        <v>5</v>
      </c>
      <c r="K109" t="str">
        <f t="shared" si="5"/>
        <v/>
      </c>
      <c r="L109" t="str">
        <f t="shared" si="7"/>
        <v/>
      </c>
    </row>
    <row r="110" spans="1:12">
      <c r="A110" t="s">
        <v>681</v>
      </c>
      <c r="B110" t="s">
        <v>270</v>
      </c>
      <c r="C110">
        <v>3.6</v>
      </c>
      <c r="D110" s="18">
        <f t="shared" si="6"/>
        <v>0.96162046908315568</v>
      </c>
      <c r="E110" s="56">
        <v>368.86</v>
      </c>
      <c r="F110">
        <v>18.36</v>
      </c>
      <c r="G110" s="17">
        <v>48245</v>
      </c>
      <c r="H110">
        <v>85</v>
      </c>
      <c r="I110" t="s">
        <v>81</v>
      </c>
      <c r="J110">
        <f t="shared" si="4"/>
        <v>10</v>
      </c>
      <c r="K110" t="str">
        <f t="shared" si="5"/>
        <v/>
      </c>
      <c r="L110" t="str">
        <f t="shared" si="7"/>
        <v/>
      </c>
    </row>
    <row r="111" spans="1:12">
      <c r="A111" t="s">
        <v>680</v>
      </c>
      <c r="B111" t="s">
        <v>679</v>
      </c>
      <c r="C111">
        <v>2.41</v>
      </c>
      <c r="D111" s="18">
        <f t="shared" si="6"/>
        <v>0.3347547974413646</v>
      </c>
      <c r="E111" s="56">
        <v>386.19</v>
      </c>
      <c r="F111">
        <v>13.25</v>
      </c>
      <c r="G111" s="17">
        <v>48305</v>
      </c>
      <c r="H111">
        <v>87</v>
      </c>
      <c r="I111" t="s">
        <v>81</v>
      </c>
      <c r="J111">
        <f t="shared" si="4"/>
        <v>10</v>
      </c>
      <c r="K111" t="str">
        <f t="shared" si="5"/>
        <v/>
      </c>
      <c r="L111" t="str">
        <f t="shared" si="7"/>
        <v/>
      </c>
    </row>
    <row r="112" spans="1:12">
      <c r="A112" t="s">
        <v>678</v>
      </c>
      <c r="B112" t="s">
        <v>677</v>
      </c>
      <c r="C112">
        <v>2.5</v>
      </c>
      <c r="D112" s="18">
        <f t="shared" si="6"/>
        <v>0.39658848614072495</v>
      </c>
      <c r="E112" s="56">
        <v>445.11</v>
      </c>
      <c r="F112">
        <v>9.39</v>
      </c>
      <c r="G112" s="17">
        <v>46631</v>
      </c>
      <c r="H112">
        <v>32</v>
      </c>
      <c r="I112" t="s">
        <v>84</v>
      </c>
      <c r="J112">
        <f t="shared" si="4"/>
        <v>10</v>
      </c>
      <c r="K112" t="str">
        <f t="shared" si="5"/>
        <v/>
      </c>
      <c r="L112" t="str">
        <f t="shared" si="7"/>
        <v/>
      </c>
    </row>
    <row r="113" spans="1:12">
      <c r="A113" t="s">
        <v>676</v>
      </c>
      <c r="B113" t="s">
        <v>675</v>
      </c>
      <c r="C113">
        <v>2.82</v>
      </c>
      <c r="D113" s="18">
        <f t="shared" si="6"/>
        <v>0.62686567164179108</v>
      </c>
      <c r="E113" s="56">
        <v>353.16</v>
      </c>
      <c r="F113">
        <v>12.06</v>
      </c>
      <c r="G113" s="17">
        <v>46874</v>
      </c>
      <c r="H113">
        <v>40</v>
      </c>
      <c r="I113" t="s">
        <v>76</v>
      </c>
      <c r="J113">
        <f t="shared" si="4"/>
        <v>5</v>
      </c>
      <c r="K113" t="str">
        <f t="shared" si="5"/>
        <v/>
      </c>
      <c r="L113" t="str">
        <f t="shared" si="7"/>
        <v/>
      </c>
    </row>
    <row r="114" spans="1:12">
      <c r="A114" t="s">
        <v>674</v>
      </c>
      <c r="B114" t="s">
        <v>316</v>
      </c>
      <c r="C114">
        <v>3.24</v>
      </c>
      <c r="D114" s="18">
        <f t="shared" si="6"/>
        <v>0.87633262260127931</v>
      </c>
      <c r="E114" s="56">
        <v>330.79</v>
      </c>
      <c r="F114">
        <v>10.36</v>
      </c>
      <c r="G114" s="17">
        <v>48366</v>
      </c>
      <c r="H114">
        <v>89</v>
      </c>
      <c r="I114" t="s">
        <v>81</v>
      </c>
      <c r="J114">
        <f t="shared" si="4"/>
        <v>10</v>
      </c>
      <c r="K114" t="str">
        <f t="shared" si="5"/>
        <v/>
      </c>
      <c r="L114" t="str">
        <f t="shared" si="7"/>
        <v/>
      </c>
    </row>
    <row r="115" spans="1:12">
      <c r="A115" t="s">
        <v>673</v>
      </c>
      <c r="B115" t="s">
        <v>390</v>
      </c>
      <c r="C115">
        <v>2.97</v>
      </c>
      <c r="D115" s="18">
        <f t="shared" si="6"/>
        <v>0.73560767590618337</v>
      </c>
      <c r="E115" s="56">
        <v>396.48</v>
      </c>
      <c r="F115">
        <v>21.14</v>
      </c>
      <c r="G115" s="17">
        <v>47027</v>
      </c>
      <c r="H115">
        <v>45</v>
      </c>
      <c r="I115" t="s">
        <v>76</v>
      </c>
      <c r="J115">
        <f t="shared" si="4"/>
        <v>5</v>
      </c>
      <c r="K115" t="str">
        <f t="shared" si="5"/>
        <v/>
      </c>
      <c r="L115" t="str">
        <f t="shared" si="7"/>
        <v/>
      </c>
    </row>
    <row r="116" spans="1:12">
      <c r="A116" t="s">
        <v>672</v>
      </c>
      <c r="B116" t="s">
        <v>671</v>
      </c>
      <c r="C116">
        <v>1.98</v>
      </c>
      <c r="D116" s="18">
        <f t="shared" si="6"/>
        <v>0.13006396588486141</v>
      </c>
      <c r="E116" s="56">
        <v>253.29</v>
      </c>
      <c r="F116">
        <v>16.64</v>
      </c>
      <c r="G116" s="17">
        <v>48519</v>
      </c>
      <c r="H116">
        <v>94</v>
      </c>
      <c r="I116" t="s">
        <v>84</v>
      </c>
      <c r="J116">
        <f t="shared" si="4"/>
        <v>40</v>
      </c>
      <c r="K116" t="str">
        <f t="shared" si="5"/>
        <v/>
      </c>
      <c r="L116" t="str">
        <f t="shared" si="7"/>
        <v/>
      </c>
    </row>
    <row r="117" spans="1:12">
      <c r="A117" t="s">
        <v>670</v>
      </c>
      <c r="B117" t="s">
        <v>669</v>
      </c>
      <c r="C117">
        <v>2.76</v>
      </c>
      <c r="D117" s="18">
        <f t="shared" si="6"/>
        <v>0.59914712153518124</v>
      </c>
      <c r="E117" s="56">
        <v>511.05</v>
      </c>
      <c r="F117">
        <v>18.29</v>
      </c>
      <c r="G117" s="17">
        <v>48092</v>
      </c>
      <c r="H117">
        <v>80</v>
      </c>
      <c r="I117" t="s">
        <v>76</v>
      </c>
      <c r="J117">
        <f t="shared" si="4"/>
        <v>5</v>
      </c>
      <c r="K117" t="str">
        <f t="shared" si="5"/>
        <v/>
      </c>
      <c r="L117" t="str">
        <f t="shared" si="7"/>
        <v/>
      </c>
    </row>
    <row r="118" spans="1:12">
      <c r="A118" t="s">
        <v>668</v>
      </c>
      <c r="B118" t="s">
        <v>667</v>
      </c>
      <c r="C118">
        <v>2.67</v>
      </c>
      <c r="D118" s="18">
        <f t="shared" si="6"/>
        <v>0.54157782515991471</v>
      </c>
      <c r="E118" s="56">
        <v>508.23</v>
      </c>
      <c r="F118">
        <v>13.96</v>
      </c>
      <c r="G118" s="17">
        <v>46966</v>
      </c>
      <c r="H118">
        <v>43</v>
      </c>
      <c r="I118" t="s">
        <v>84</v>
      </c>
      <c r="J118">
        <f t="shared" si="4"/>
        <v>0</v>
      </c>
      <c r="K118" t="str">
        <f t="shared" si="5"/>
        <v/>
      </c>
      <c r="L118" t="str">
        <f t="shared" si="7"/>
        <v/>
      </c>
    </row>
    <row r="119" spans="1:12">
      <c r="A119" t="s">
        <v>666</v>
      </c>
      <c r="B119" t="s">
        <v>665</v>
      </c>
      <c r="C119">
        <v>2.42</v>
      </c>
      <c r="D119" s="18">
        <f t="shared" si="6"/>
        <v>0.33688699360341151</v>
      </c>
      <c r="E119" s="56">
        <v>324.02</v>
      </c>
      <c r="F119">
        <v>10.1</v>
      </c>
      <c r="G119" s="17">
        <v>47209</v>
      </c>
      <c r="H119">
        <v>51</v>
      </c>
      <c r="I119" t="s">
        <v>81</v>
      </c>
      <c r="J119">
        <f t="shared" si="4"/>
        <v>10</v>
      </c>
      <c r="K119" t="str">
        <f t="shared" si="5"/>
        <v/>
      </c>
      <c r="L119" t="str">
        <f t="shared" si="7"/>
        <v/>
      </c>
    </row>
    <row r="120" spans="1:12">
      <c r="A120" t="s">
        <v>664</v>
      </c>
      <c r="B120" t="s">
        <v>290</v>
      </c>
      <c r="C120">
        <v>2.2999999999999998</v>
      </c>
      <c r="D120" s="18">
        <f t="shared" si="6"/>
        <v>0.26012793176972282</v>
      </c>
      <c r="E120" s="56">
        <v>461.6</v>
      </c>
      <c r="F120">
        <v>17.88</v>
      </c>
      <c r="G120" s="17">
        <v>47300</v>
      </c>
      <c r="H120">
        <v>54</v>
      </c>
      <c r="I120" t="s">
        <v>76</v>
      </c>
      <c r="J120">
        <f t="shared" si="4"/>
        <v>5</v>
      </c>
      <c r="K120" t="str">
        <f t="shared" si="5"/>
        <v/>
      </c>
      <c r="L120" t="str">
        <f t="shared" si="7"/>
        <v/>
      </c>
    </row>
    <row r="121" spans="1:12">
      <c r="A121" t="s">
        <v>663</v>
      </c>
      <c r="B121" t="s">
        <v>662</v>
      </c>
      <c r="C121">
        <v>3.62</v>
      </c>
      <c r="D121" s="18">
        <f t="shared" si="6"/>
        <v>0.9658848614072495</v>
      </c>
      <c r="E121" s="56">
        <v>446.59</v>
      </c>
      <c r="F121">
        <v>20.04</v>
      </c>
      <c r="G121" s="17">
        <v>46997</v>
      </c>
      <c r="H121">
        <v>44</v>
      </c>
      <c r="I121" t="s">
        <v>84</v>
      </c>
      <c r="J121">
        <f t="shared" si="4"/>
        <v>0</v>
      </c>
      <c r="K121" t="str">
        <f t="shared" si="5"/>
        <v/>
      </c>
      <c r="L121" t="str">
        <f t="shared" si="7"/>
        <v/>
      </c>
    </row>
    <row r="122" spans="1:12">
      <c r="A122" t="s">
        <v>661</v>
      </c>
      <c r="B122" t="s">
        <v>660</v>
      </c>
      <c r="C122">
        <v>2.4500000000000002</v>
      </c>
      <c r="D122" s="18">
        <f t="shared" si="6"/>
        <v>0.35607675906183367</v>
      </c>
      <c r="E122" s="56">
        <v>487.21</v>
      </c>
      <c r="F122">
        <v>15.22</v>
      </c>
      <c r="G122" s="17">
        <v>46905</v>
      </c>
      <c r="H122">
        <v>41</v>
      </c>
      <c r="I122" t="s">
        <v>84</v>
      </c>
      <c r="J122">
        <f t="shared" si="4"/>
        <v>0</v>
      </c>
      <c r="K122" t="str">
        <f t="shared" si="5"/>
        <v/>
      </c>
      <c r="L122" t="str">
        <f t="shared" si="7"/>
        <v/>
      </c>
    </row>
    <row r="123" spans="1:12">
      <c r="A123" t="s">
        <v>659</v>
      </c>
      <c r="B123" t="s">
        <v>133</v>
      </c>
      <c r="C123">
        <v>2.19</v>
      </c>
      <c r="D123" s="18">
        <f t="shared" si="6"/>
        <v>0.19829424307036247</v>
      </c>
      <c r="E123" s="56">
        <v>218.49</v>
      </c>
      <c r="F123">
        <v>12.49</v>
      </c>
      <c r="G123" s="17">
        <v>47239</v>
      </c>
      <c r="H123">
        <v>52</v>
      </c>
      <c r="I123" t="s">
        <v>81</v>
      </c>
      <c r="J123">
        <f t="shared" si="4"/>
        <v>50</v>
      </c>
      <c r="K123" t="str">
        <f t="shared" si="5"/>
        <v>Close</v>
      </c>
      <c r="L123" t="str">
        <f t="shared" si="7"/>
        <v>Wave 1</v>
      </c>
    </row>
    <row r="124" spans="1:12">
      <c r="A124" t="s">
        <v>658</v>
      </c>
      <c r="B124" t="s">
        <v>411</v>
      </c>
      <c r="C124">
        <v>3.01</v>
      </c>
      <c r="D124" s="18">
        <f t="shared" si="6"/>
        <v>0.76332622601279321</v>
      </c>
      <c r="E124" s="56">
        <v>291.02999999999997</v>
      </c>
      <c r="F124">
        <v>17.46</v>
      </c>
      <c r="G124" s="17">
        <v>46235</v>
      </c>
      <c r="H124">
        <v>19</v>
      </c>
      <c r="I124" t="s">
        <v>76</v>
      </c>
      <c r="J124">
        <f t="shared" si="4"/>
        <v>25</v>
      </c>
      <c r="K124" t="str">
        <f t="shared" si="5"/>
        <v/>
      </c>
      <c r="L124" t="str">
        <f t="shared" si="7"/>
        <v/>
      </c>
    </row>
    <row r="125" spans="1:12">
      <c r="A125" t="s">
        <v>657</v>
      </c>
      <c r="B125" t="s">
        <v>191</v>
      </c>
      <c r="C125">
        <v>2.73</v>
      </c>
      <c r="D125" s="18">
        <f t="shared" si="6"/>
        <v>0.58208955223880599</v>
      </c>
      <c r="E125" s="56">
        <v>244.13</v>
      </c>
      <c r="F125">
        <v>10.93</v>
      </c>
      <c r="G125" s="17">
        <v>46174</v>
      </c>
      <c r="H125">
        <v>17</v>
      </c>
      <c r="I125" t="s">
        <v>81</v>
      </c>
      <c r="J125">
        <f t="shared" si="4"/>
        <v>30</v>
      </c>
      <c r="K125" t="str">
        <f t="shared" si="5"/>
        <v/>
      </c>
      <c r="L125" t="str">
        <f t="shared" si="7"/>
        <v/>
      </c>
    </row>
    <row r="126" spans="1:12">
      <c r="A126" t="s">
        <v>656</v>
      </c>
      <c r="B126" t="s">
        <v>655</v>
      </c>
      <c r="C126">
        <v>2.62</v>
      </c>
      <c r="D126" s="18">
        <f t="shared" si="6"/>
        <v>0.49680170575692961</v>
      </c>
      <c r="E126" s="56">
        <v>380.01</v>
      </c>
      <c r="F126">
        <v>16.04</v>
      </c>
      <c r="G126" s="17">
        <v>46600</v>
      </c>
      <c r="H126">
        <v>31</v>
      </c>
      <c r="I126" t="s">
        <v>76</v>
      </c>
      <c r="J126">
        <f t="shared" si="4"/>
        <v>15</v>
      </c>
      <c r="K126" t="str">
        <f t="shared" si="5"/>
        <v/>
      </c>
      <c r="L126" t="str">
        <f t="shared" si="7"/>
        <v/>
      </c>
    </row>
    <row r="127" spans="1:12">
      <c r="A127" t="s">
        <v>654</v>
      </c>
      <c r="B127" t="s">
        <v>653</v>
      </c>
      <c r="C127">
        <v>3.09</v>
      </c>
      <c r="D127" s="18">
        <f t="shared" si="6"/>
        <v>0.8081023454157783</v>
      </c>
      <c r="E127" s="56">
        <v>270.5</v>
      </c>
      <c r="F127">
        <v>9.4</v>
      </c>
      <c r="G127" s="17">
        <v>46082</v>
      </c>
      <c r="H127">
        <v>14</v>
      </c>
      <c r="I127" t="s">
        <v>76</v>
      </c>
      <c r="J127">
        <f t="shared" si="4"/>
        <v>25</v>
      </c>
      <c r="K127" t="str">
        <f t="shared" si="5"/>
        <v/>
      </c>
      <c r="L127" t="str">
        <f t="shared" si="7"/>
        <v/>
      </c>
    </row>
    <row r="128" spans="1:12">
      <c r="A128" t="s">
        <v>652</v>
      </c>
      <c r="B128" t="s">
        <v>651</v>
      </c>
      <c r="C128">
        <v>2.93</v>
      </c>
      <c r="D128" s="18">
        <f t="shared" si="6"/>
        <v>0.70362473347547971</v>
      </c>
      <c r="E128" s="56">
        <v>400.47</v>
      </c>
      <c r="F128">
        <v>8.23</v>
      </c>
      <c r="G128" s="17">
        <v>46905</v>
      </c>
      <c r="H128">
        <v>41</v>
      </c>
      <c r="I128" t="s">
        <v>76</v>
      </c>
      <c r="J128">
        <f t="shared" si="4"/>
        <v>5</v>
      </c>
      <c r="K128" t="str">
        <f t="shared" si="5"/>
        <v/>
      </c>
      <c r="L128" t="str">
        <f t="shared" si="7"/>
        <v/>
      </c>
    </row>
    <row r="129" spans="1:12">
      <c r="A129" t="s">
        <v>650</v>
      </c>
      <c r="B129" t="s">
        <v>330</v>
      </c>
      <c r="C129">
        <v>2.86</v>
      </c>
      <c r="D129" s="18">
        <f t="shared" si="6"/>
        <v>0.65884861407249462</v>
      </c>
      <c r="E129" s="56">
        <v>276.5</v>
      </c>
      <c r="F129">
        <v>15.15</v>
      </c>
      <c r="G129" s="17">
        <v>46600</v>
      </c>
      <c r="H129">
        <v>31</v>
      </c>
      <c r="I129" t="s">
        <v>81</v>
      </c>
      <c r="J129">
        <f t="shared" si="4"/>
        <v>20</v>
      </c>
      <c r="K129" t="str">
        <f t="shared" si="5"/>
        <v/>
      </c>
      <c r="L129" t="str">
        <f t="shared" si="7"/>
        <v/>
      </c>
    </row>
    <row r="130" spans="1:12">
      <c r="A130" t="s">
        <v>649</v>
      </c>
      <c r="B130" t="s">
        <v>112</v>
      </c>
      <c r="C130">
        <v>3.19</v>
      </c>
      <c r="D130" s="18">
        <f t="shared" si="6"/>
        <v>0.85287846481876328</v>
      </c>
      <c r="E130" s="56">
        <v>370.47</v>
      </c>
      <c r="F130">
        <v>14.12</v>
      </c>
      <c r="G130" s="17">
        <v>47362</v>
      </c>
      <c r="H130">
        <v>56</v>
      </c>
      <c r="I130" t="s">
        <v>81</v>
      </c>
      <c r="J130">
        <f t="shared" ref="J130:J193" si="8">IF($D130&lt;=0.25,40,0)+IF($F130&lt;0,30,IF($F130&lt;2,20,IF($F130&lt;5,10,0)))+IF($H130&lt;=24,20,IF($H130&lt;=36,10,0))
+IF($I130="Low",10,IF($I130="Medium",5,0))</f>
        <v>10</v>
      </c>
      <c r="K130" t="str">
        <f t="shared" ref="K130:K193" si="9">IF(L130=$L$2, "","Close")</f>
        <v/>
      </c>
      <c r="L130" t="str">
        <f t="shared" si="7"/>
        <v/>
      </c>
    </row>
    <row r="131" spans="1:12">
      <c r="A131" t="s">
        <v>648</v>
      </c>
      <c r="B131" t="s">
        <v>286</v>
      </c>
      <c r="C131">
        <v>2.82</v>
      </c>
      <c r="D131" s="18">
        <f t="shared" ref="D131:D194" si="10">_xlfn.RANK.EQ(C131,$C$2:$C$470,1)/COUNT($C$2:$C$470)</f>
        <v>0.62686567164179108</v>
      </c>
      <c r="E131" s="56">
        <v>408.95</v>
      </c>
      <c r="F131">
        <v>21.17</v>
      </c>
      <c r="G131" s="17">
        <v>46569</v>
      </c>
      <c r="H131">
        <v>30</v>
      </c>
      <c r="I131" t="s">
        <v>84</v>
      </c>
      <c r="J131">
        <f t="shared" si="8"/>
        <v>10</v>
      </c>
      <c r="K131" t="str">
        <f t="shared" si="9"/>
        <v/>
      </c>
      <c r="L131" t="str">
        <f t="shared" si="7"/>
        <v/>
      </c>
    </row>
    <row r="132" spans="1:12">
      <c r="A132" t="s">
        <v>647</v>
      </c>
      <c r="B132" t="s">
        <v>646</v>
      </c>
      <c r="C132">
        <v>2.3199999999999998</v>
      </c>
      <c r="D132" s="18">
        <f t="shared" si="10"/>
        <v>0.27292110874200426</v>
      </c>
      <c r="E132" s="56">
        <v>402.46</v>
      </c>
      <c r="F132">
        <v>11.34</v>
      </c>
      <c r="G132" s="17">
        <v>47696</v>
      </c>
      <c r="H132">
        <v>67</v>
      </c>
      <c r="I132" t="s">
        <v>76</v>
      </c>
      <c r="J132">
        <f t="shared" si="8"/>
        <v>5</v>
      </c>
      <c r="K132" t="str">
        <f t="shared" si="9"/>
        <v/>
      </c>
      <c r="L132" t="str">
        <f t="shared" si="7"/>
        <v/>
      </c>
    </row>
    <row r="133" spans="1:12">
      <c r="A133" t="s">
        <v>645</v>
      </c>
      <c r="B133" t="s">
        <v>588</v>
      </c>
      <c r="C133">
        <v>2.46</v>
      </c>
      <c r="D133" s="18">
        <f t="shared" si="10"/>
        <v>0.3646055437100213</v>
      </c>
      <c r="E133" s="56">
        <v>259.68</v>
      </c>
      <c r="F133">
        <v>12.71</v>
      </c>
      <c r="G133" s="17">
        <v>46204</v>
      </c>
      <c r="H133">
        <v>18</v>
      </c>
      <c r="I133" t="s">
        <v>76</v>
      </c>
      <c r="J133">
        <f t="shared" si="8"/>
        <v>25</v>
      </c>
      <c r="K133" t="str">
        <f t="shared" si="9"/>
        <v/>
      </c>
      <c r="L133" t="str">
        <f t="shared" si="7"/>
        <v/>
      </c>
    </row>
    <row r="134" spans="1:12">
      <c r="A134" t="s">
        <v>644</v>
      </c>
      <c r="B134" t="s">
        <v>266</v>
      </c>
      <c r="C134">
        <v>2.37</v>
      </c>
      <c r="D134" s="18">
        <f t="shared" si="10"/>
        <v>0.30703624733475482</v>
      </c>
      <c r="E134" s="56">
        <v>336.69</v>
      </c>
      <c r="F134">
        <v>7.47</v>
      </c>
      <c r="G134" s="17">
        <v>46661</v>
      </c>
      <c r="H134">
        <v>33</v>
      </c>
      <c r="I134" t="s">
        <v>81</v>
      </c>
      <c r="J134">
        <f t="shared" si="8"/>
        <v>20</v>
      </c>
      <c r="K134" t="str">
        <f t="shared" si="9"/>
        <v/>
      </c>
      <c r="L134" t="str">
        <f t="shared" si="7"/>
        <v/>
      </c>
    </row>
    <row r="135" spans="1:12">
      <c r="A135" t="s">
        <v>643</v>
      </c>
      <c r="B135" t="s">
        <v>419</v>
      </c>
      <c r="C135">
        <v>2.78</v>
      </c>
      <c r="D135" s="18">
        <f t="shared" si="10"/>
        <v>0.60554371002132201</v>
      </c>
      <c r="E135" s="56">
        <v>309.70999999999998</v>
      </c>
      <c r="F135">
        <v>4.1900000000000004</v>
      </c>
      <c r="G135" s="17">
        <v>46327</v>
      </c>
      <c r="H135">
        <v>22</v>
      </c>
      <c r="I135" t="s">
        <v>76</v>
      </c>
      <c r="J135">
        <f t="shared" si="8"/>
        <v>35</v>
      </c>
      <c r="K135" t="str">
        <f t="shared" si="9"/>
        <v/>
      </c>
      <c r="L135" t="str">
        <f t="shared" ref="L135:L198" si="11">IF(_xlfn.RANK.EQ($J135,$J$2:$J$470,0)&lt;=40,"Wave 1",
IF(_xlfn.RANK.EQ($J135,$J$2:$J$470,0)&lt;=70,"Wave 2",""))</f>
        <v/>
      </c>
    </row>
    <row r="136" spans="1:12">
      <c r="A136" t="s">
        <v>642</v>
      </c>
      <c r="B136" t="s">
        <v>517</v>
      </c>
      <c r="C136">
        <v>2.0699999999999998</v>
      </c>
      <c r="D136" s="18">
        <f t="shared" si="10"/>
        <v>0.15991471215351813</v>
      </c>
      <c r="E136" s="56">
        <v>67.39</v>
      </c>
      <c r="F136">
        <v>4.59</v>
      </c>
      <c r="G136" s="17">
        <v>49126</v>
      </c>
      <c r="H136">
        <v>114</v>
      </c>
      <c r="I136" t="s">
        <v>81</v>
      </c>
      <c r="J136">
        <f t="shared" si="8"/>
        <v>60</v>
      </c>
      <c r="K136" t="str">
        <f t="shared" si="9"/>
        <v>Close</v>
      </c>
      <c r="L136" t="str">
        <f t="shared" si="11"/>
        <v>Wave 1</v>
      </c>
    </row>
    <row r="137" spans="1:12">
      <c r="A137" t="s">
        <v>641</v>
      </c>
      <c r="B137" t="s">
        <v>640</v>
      </c>
      <c r="C137">
        <v>1.65</v>
      </c>
      <c r="D137" s="18">
        <f t="shared" si="10"/>
        <v>3.8379530916844352E-2</v>
      </c>
      <c r="E137" s="56">
        <v>50.49</v>
      </c>
      <c r="F137">
        <v>14.68</v>
      </c>
      <c r="G137" s="17">
        <v>46174</v>
      </c>
      <c r="H137">
        <v>17</v>
      </c>
      <c r="I137" t="s">
        <v>81</v>
      </c>
      <c r="J137">
        <f t="shared" si="8"/>
        <v>70</v>
      </c>
      <c r="K137" t="str">
        <f t="shared" si="9"/>
        <v>Close</v>
      </c>
      <c r="L137" t="str">
        <f t="shared" si="11"/>
        <v>Wave 1</v>
      </c>
    </row>
    <row r="138" spans="1:12">
      <c r="A138" t="s">
        <v>639</v>
      </c>
      <c r="B138" t="s">
        <v>638</v>
      </c>
      <c r="C138">
        <v>2.71</v>
      </c>
      <c r="D138" s="18">
        <f t="shared" si="10"/>
        <v>0.56716417910447758</v>
      </c>
      <c r="E138" s="56">
        <v>412.81</v>
      </c>
      <c r="F138">
        <v>7.31</v>
      </c>
      <c r="G138" s="17">
        <v>47119</v>
      </c>
      <c r="H138">
        <v>48</v>
      </c>
      <c r="I138" t="s">
        <v>81</v>
      </c>
      <c r="J138">
        <f t="shared" si="8"/>
        <v>10</v>
      </c>
      <c r="K138" t="str">
        <f t="shared" si="9"/>
        <v/>
      </c>
      <c r="L138" t="str">
        <f t="shared" si="11"/>
        <v/>
      </c>
    </row>
    <row r="139" spans="1:12">
      <c r="A139" t="s">
        <v>637</v>
      </c>
      <c r="B139" t="s">
        <v>167</v>
      </c>
      <c r="C139">
        <v>1.92</v>
      </c>
      <c r="D139" s="18">
        <f t="shared" si="10"/>
        <v>0.11513859275053305</v>
      </c>
      <c r="E139" s="56">
        <v>190.55</v>
      </c>
      <c r="F139">
        <v>17.670000000000002</v>
      </c>
      <c r="G139" s="17">
        <v>47484</v>
      </c>
      <c r="H139">
        <v>60</v>
      </c>
      <c r="I139" t="s">
        <v>76</v>
      </c>
      <c r="J139">
        <f t="shared" si="8"/>
        <v>45</v>
      </c>
      <c r="K139" t="str">
        <f t="shared" si="9"/>
        <v>Close</v>
      </c>
      <c r="L139" t="str">
        <f t="shared" si="11"/>
        <v>Wave 2</v>
      </c>
    </row>
    <row r="140" spans="1:12">
      <c r="A140" t="s">
        <v>636</v>
      </c>
      <c r="B140" t="s">
        <v>635</v>
      </c>
      <c r="C140">
        <v>1.59</v>
      </c>
      <c r="D140" s="18">
        <f t="shared" si="10"/>
        <v>2.7718550106609809E-2</v>
      </c>
      <c r="E140" s="56">
        <v>34.950000000000003</v>
      </c>
      <c r="F140">
        <v>19</v>
      </c>
      <c r="G140" s="17">
        <v>45931</v>
      </c>
      <c r="H140">
        <v>9</v>
      </c>
      <c r="I140" t="s">
        <v>76</v>
      </c>
      <c r="J140">
        <f t="shared" si="8"/>
        <v>65</v>
      </c>
      <c r="K140" t="str">
        <f t="shared" si="9"/>
        <v>Close</v>
      </c>
      <c r="L140" t="str">
        <f t="shared" si="11"/>
        <v>Wave 1</v>
      </c>
    </row>
    <row r="141" spans="1:12">
      <c r="A141" t="s">
        <v>634</v>
      </c>
      <c r="B141" t="s">
        <v>633</v>
      </c>
      <c r="C141">
        <v>2.87</v>
      </c>
      <c r="D141" s="18">
        <f t="shared" si="10"/>
        <v>0.66098081023454158</v>
      </c>
      <c r="E141" s="56">
        <v>404.71</v>
      </c>
      <c r="F141">
        <v>11.32</v>
      </c>
      <c r="G141" s="17">
        <v>48305</v>
      </c>
      <c r="H141">
        <v>87</v>
      </c>
      <c r="I141" t="s">
        <v>76</v>
      </c>
      <c r="J141">
        <f t="shared" si="8"/>
        <v>5</v>
      </c>
      <c r="K141" t="str">
        <f t="shared" si="9"/>
        <v/>
      </c>
      <c r="L141" t="str">
        <f t="shared" si="11"/>
        <v/>
      </c>
    </row>
    <row r="142" spans="1:12">
      <c r="A142" t="s">
        <v>632</v>
      </c>
      <c r="B142" t="s">
        <v>430</v>
      </c>
      <c r="C142">
        <v>2.27</v>
      </c>
      <c r="D142" s="18">
        <f t="shared" si="10"/>
        <v>0.24307036247334754</v>
      </c>
      <c r="E142" s="56">
        <v>164</v>
      </c>
      <c r="F142">
        <v>20.059999999999999</v>
      </c>
      <c r="G142" s="17">
        <v>47788</v>
      </c>
      <c r="H142">
        <v>70</v>
      </c>
      <c r="I142" t="s">
        <v>81</v>
      </c>
      <c r="J142">
        <f t="shared" si="8"/>
        <v>50</v>
      </c>
      <c r="K142" t="str">
        <f t="shared" si="9"/>
        <v>Close</v>
      </c>
      <c r="L142" t="str">
        <f t="shared" si="11"/>
        <v>Wave 1</v>
      </c>
    </row>
    <row r="143" spans="1:12">
      <c r="A143" t="s">
        <v>631</v>
      </c>
      <c r="B143" t="s">
        <v>630</v>
      </c>
      <c r="C143">
        <v>2.93</v>
      </c>
      <c r="D143" s="18">
        <f t="shared" si="10"/>
        <v>0.70362473347547971</v>
      </c>
      <c r="E143" s="56">
        <v>332.97</v>
      </c>
      <c r="F143">
        <v>13.62</v>
      </c>
      <c r="G143" s="17">
        <v>46296</v>
      </c>
      <c r="H143">
        <v>21</v>
      </c>
      <c r="I143" t="s">
        <v>76</v>
      </c>
      <c r="J143">
        <f t="shared" si="8"/>
        <v>25</v>
      </c>
      <c r="K143" t="str">
        <f t="shared" si="9"/>
        <v/>
      </c>
      <c r="L143" t="str">
        <f t="shared" si="11"/>
        <v/>
      </c>
    </row>
    <row r="144" spans="1:12">
      <c r="A144" t="s">
        <v>629</v>
      </c>
      <c r="B144" t="s">
        <v>628</v>
      </c>
      <c r="C144">
        <v>2.37</v>
      </c>
      <c r="D144" s="18">
        <f t="shared" si="10"/>
        <v>0.30703624733475482</v>
      </c>
      <c r="E144" s="56">
        <v>408.57</v>
      </c>
      <c r="F144">
        <v>17.66</v>
      </c>
      <c r="G144" s="17">
        <v>46631</v>
      </c>
      <c r="H144">
        <v>32</v>
      </c>
      <c r="I144" t="s">
        <v>84</v>
      </c>
      <c r="J144">
        <f t="shared" si="8"/>
        <v>10</v>
      </c>
      <c r="K144" t="str">
        <f t="shared" si="9"/>
        <v/>
      </c>
      <c r="L144" t="str">
        <f t="shared" si="11"/>
        <v/>
      </c>
    </row>
    <row r="145" spans="1:12">
      <c r="A145" t="s">
        <v>627</v>
      </c>
      <c r="B145" t="s">
        <v>626</v>
      </c>
      <c r="C145">
        <v>2.04</v>
      </c>
      <c r="D145" s="18">
        <f t="shared" si="10"/>
        <v>0.1513859275053305</v>
      </c>
      <c r="E145" s="56">
        <v>140.87</v>
      </c>
      <c r="F145">
        <v>11.58</v>
      </c>
      <c r="G145" s="17">
        <v>47665</v>
      </c>
      <c r="H145">
        <v>66</v>
      </c>
      <c r="I145" t="s">
        <v>84</v>
      </c>
      <c r="J145">
        <f t="shared" si="8"/>
        <v>40</v>
      </c>
      <c r="K145" t="str">
        <f t="shared" si="9"/>
        <v/>
      </c>
      <c r="L145" t="str">
        <f t="shared" si="11"/>
        <v/>
      </c>
    </row>
    <row r="146" spans="1:12">
      <c r="A146" t="s">
        <v>625</v>
      </c>
      <c r="B146" t="s">
        <v>472</v>
      </c>
      <c r="C146">
        <v>1.98</v>
      </c>
      <c r="D146" s="18">
        <f t="shared" si="10"/>
        <v>0.13006396588486141</v>
      </c>
      <c r="E146" s="56">
        <v>139.56</v>
      </c>
      <c r="F146">
        <v>16.920000000000002</v>
      </c>
      <c r="G146" s="17">
        <v>46419</v>
      </c>
      <c r="H146">
        <v>25</v>
      </c>
      <c r="I146" t="s">
        <v>84</v>
      </c>
      <c r="J146">
        <f t="shared" si="8"/>
        <v>50</v>
      </c>
      <c r="K146" t="str">
        <f t="shared" si="9"/>
        <v>Close</v>
      </c>
      <c r="L146" t="str">
        <f t="shared" si="11"/>
        <v>Wave 1</v>
      </c>
    </row>
    <row r="147" spans="1:12">
      <c r="A147" t="s">
        <v>624</v>
      </c>
      <c r="B147" t="s">
        <v>260</v>
      </c>
      <c r="C147">
        <v>2.38</v>
      </c>
      <c r="D147" s="18">
        <f t="shared" si="10"/>
        <v>0.31769722814498935</v>
      </c>
      <c r="E147" s="56">
        <v>412.91</v>
      </c>
      <c r="F147">
        <v>8.36</v>
      </c>
      <c r="G147" s="17">
        <v>47239</v>
      </c>
      <c r="H147">
        <v>52</v>
      </c>
      <c r="I147" t="s">
        <v>81</v>
      </c>
      <c r="J147">
        <f t="shared" si="8"/>
        <v>10</v>
      </c>
      <c r="K147" t="str">
        <f t="shared" si="9"/>
        <v/>
      </c>
      <c r="L147" t="str">
        <f t="shared" si="11"/>
        <v/>
      </c>
    </row>
    <row r="148" spans="1:12">
      <c r="A148" t="s">
        <v>623</v>
      </c>
      <c r="B148" t="s">
        <v>622</v>
      </c>
      <c r="C148">
        <v>2.5099999999999998</v>
      </c>
      <c r="D148" s="18">
        <f t="shared" si="10"/>
        <v>0.40724946695095948</v>
      </c>
      <c r="E148" s="56">
        <v>367.97</v>
      </c>
      <c r="F148">
        <v>15.4</v>
      </c>
      <c r="G148" s="17">
        <v>46692</v>
      </c>
      <c r="H148">
        <v>34</v>
      </c>
      <c r="I148" t="s">
        <v>76</v>
      </c>
      <c r="J148">
        <f t="shared" si="8"/>
        <v>15</v>
      </c>
      <c r="K148" t="str">
        <f t="shared" si="9"/>
        <v/>
      </c>
      <c r="L148" t="str">
        <f t="shared" si="11"/>
        <v/>
      </c>
    </row>
    <row r="149" spans="1:12">
      <c r="A149" t="s">
        <v>621</v>
      </c>
      <c r="B149" t="s">
        <v>338</v>
      </c>
      <c r="C149">
        <v>2.21</v>
      </c>
      <c r="D149" s="18">
        <f t="shared" si="10"/>
        <v>0.2068230277185501</v>
      </c>
      <c r="E149" s="56">
        <v>185.63</v>
      </c>
      <c r="F149">
        <v>10.53</v>
      </c>
      <c r="G149" s="17">
        <v>46935</v>
      </c>
      <c r="H149">
        <v>42</v>
      </c>
      <c r="I149" t="s">
        <v>76</v>
      </c>
      <c r="J149">
        <f t="shared" si="8"/>
        <v>45</v>
      </c>
      <c r="K149" t="str">
        <f t="shared" si="9"/>
        <v>Close</v>
      </c>
      <c r="L149" t="str">
        <f t="shared" si="11"/>
        <v>Wave 2</v>
      </c>
    </row>
    <row r="150" spans="1:12">
      <c r="A150" t="s">
        <v>620</v>
      </c>
      <c r="B150" t="s">
        <v>619</v>
      </c>
      <c r="C150">
        <v>2.5099999999999998</v>
      </c>
      <c r="D150" s="18">
        <f t="shared" si="10"/>
        <v>0.40724946695095948</v>
      </c>
      <c r="E150" s="56">
        <v>292.33</v>
      </c>
      <c r="F150">
        <v>12.01</v>
      </c>
      <c r="G150" s="17">
        <v>46357</v>
      </c>
      <c r="H150">
        <v>23</v>
      </c>
      <c r="I150" t="s">
        <v>81</v>
      </c>
      <c r="J150">
        <f t="shared" si="8"/>
        <v>30</v>
      </c>
      <c r="K150" t="str">
        <f t="shared" si="9"/>
        <v/>
      </c>
      <c r="L150" t="str">
        <f t="shared" si="11"/>
        <v/>
      </c>
    </row>
    <row r="151" spans="1:12">
      <c r="A151" t="s">
        <v>618</v>
      </c>
      <c r="B151" t="s">
        <v>323</v>
      </c>
      <c r="C151">
        <v>1.82</v>
      </c>
      <c r="D151" s="18">
        <f t="shared" si="10"/>
        <v>7.2494669509594878E-2</v>
      </c>
      <c r="E151" s="56">
        <v>284.58999999999997</v>
      </c>
      <c r="F151">
        <v>15.44</v>
      </c>
      <c r="G151" s="17">
        <v>46997</v>
      </c>
      <c r="H151">
        <v>44</v>
      </c>
      <c r="I151" t="s">
        <v>76</v>
      </c>
      <c r="J151">
        <f t="shared" si="8"/>
        <v>45</v>
      </c>
      <c r="K151" t="str">
        <f t="shared" si="9"/>
        <v>Close</v>
      </c>
      <c r="L151" t="str">
        <f t="shared" si="11"/>
        <v>Wave 2</v>
      </c>
    </row>
    <row r="152" spans="1:12">
      <c r="A152" t="s">
        <v>617</v>
      </c>
      <c r="B152" t="s">
        <v>616</v>
      </c>
      <c r="C152">
        <v>2.67</v>
      </c>
      <c r="D152" s="18">
        <f t="shared" si="10"/>
        <v>0.54157782515991471</v>
      </c>
      <c r="E152" s="56">
        <v>502.59</v>
      </c>
      <c r="F152">
        <v>13.38</v>
      </c>
      <c r="G152" s="17">
        <v>47209</v>
      </c>
      <c r="H152">
        <v>51</v>
      </c>
      <c r="I152" t="s">
        <v>84</v>
      </c>
      <c r="J152">
        <f t="shared" si="8"/>
        <v>0</v>
      </c>
      <c r="K152" t="str">
        <f t="shared" si="9"/>
        <v/>
      </c>
      <c r="L152" t="str">
        <f t="shared" si="11"/>
        <v/>
      </c>
    </row>
    <row r="153" spans="1:12">
      <c r="A153" t="s">
        <v>615</v>
      </c>
      <c r="B153" t="s">
        <v>610</v>
      </c>
      <c r="C153">
        <v>1.67</v>
      </c>
      <c r="D153" s="18">
        <f t="shared" si="10"/>
        <v>4.0511727078891259E-2</v>
      </c>
      <c r="E153" s="56">
        <v>184.41</v>
      </c>
      <c r="F153">
        <v>12.27</v>
      </c>
      <c r="G153" s="17">
        <v>47150</v>
      </c>
      <c r="H153">
        <v>49</v>
      </c>
      <c r="I153" t="s">
        <v>76</v>
      </c>
      <c r="J153">
        <f t="shared" si="8"/>
        <v>45</v>
      </c>
      <c r="K153" t="str">
        <f t="shared" si="9"/>
        <v>Close</v>
      </c>
      <c r="L153" t="str">
        <f t="shared" si="11"/>
        <v>Wave 2</v>
      </c>
    </row>
    <row r="154" spans="1:12">
      <c r="A154" t="s">
        <v>614</v>
      </c>
      <c r="B154" t="s">
        <v>234</v>
      </c>
      <c r="C154">
        <v>2.5499999999999998</v>
      </c>
      <c r="D154" s="18">
        <f t="shared" si="10"/>
        <v>0.43283582089552236</v>
      </c>
      <c r="E154" s="56">
        <v>432.18</v>
      </c>
      <c r="F154">
        <v>15.88</v>
      </c>
      <c r="G154" s="17">
        <v>47484</v>
      </c>
      <c r="H154">
        <v>60</v>
      </c>
      <c r="I154" t="s">
        <v>76</v>
      </c>
      <c r="J154">
        <f t="shared" si="8"/>
        <v>5</v>
      </c>
      <c r="K154" t="str">
        <f t="shared" si="9"/>
        <v/>
      </c>
      <c r="L154" t="str">
        <f t="shared" si="11"/>
        <v/>
      </c>
    </row>
    <row r="155" spans="1:12">
      <c r="A155" t="s">
        <v>613</v>
      </c>
      <c r="B155" t="s">
        <v>177</v>
      </c>
      <c r="C155">
        <v>3.04</v>
      </c>
      <c r="D155" s="18">
        <f t="shared" si="10"/>
        <v>0.78251599147121531</v>
      </c>
      <c r="E155" s="56">
        <v>434.37</v>
      </c>
      <c r="F155">
        <v>16.21</v>
      </c>
      <c r="G155" s="17">
        <v>48122</v>
      </c>
      <c r="H155">
        <v>81</v>
      </c>
      <c r="I155" t="s">
        <v>81</v>
      </c>
      <c r="J155">
        <f t="shared" si="8"/>
        <v>10</v>
      </c>
      <c r="K155" t="str">
        <f t="shared" si="9"/>
        <v/>
      </c>
      <c r="L155" t="str">
        <f t="shared" si="11"/>
        <v/>
      </c>
    </row>
    <row r="156" spans="1:12">
      <c r="A156" t="s">
        <v>612</v>
      </c>
      <c r="B156" t="s">
        <v>141</v>
      </c>
      <c r="C156">
        <v>3.26</v>
      </c>
      <c r="D156" s="18">
        <f t="shared" si="10"/>
        <v>0.88912579957356075</v>
      </c>
      <c r="E156" s="56">
        <v>334.56</v>
      </c>
      <c r="F156">
        <v>6.37</v>
      </c>
      <c r="G156" s="17">
        <v>46631</v>
      </c>
      <c r="H156">
        <v>32</v>
      </c>
      <c r="I156" t="s">
        <v>81</v>
      </c>
      <c r="J156">
        <f t="shared" si="8"/>
        <v>20</v>
      </c>
      <c r="K156" t="str">
        <f t="shared" si="9"/>
        <v/>
      </c>
      <c r="L156" t="str">
        <f t="shared" si="11"/>
        <v/>
      </c>
    </row>
    <row r="157" spans="1:12">
      <c r="A157" t="s">
        <v>611</v>
      </c>
      <c r="B157" t="s">
        <v>610</v>
      </c>
      <c r="C157">
        <v>3.6</v>
      </c>
      <c r="D157" s="18">
        <f t="shared" si="10"/>
        <v>0.96162046908315568</v>
      </c>
      <c r="E157" s="56">
        <v>444.69</v>
      </c>
      <c r="F157">
        <v>15.12</v>
      </c>
      <c r="G157" s="17">
        <v>47027</v>
      </c>
      <c r="H157">
        <v>45</v>
      </c>
      <c r="I157" t="s">
        <v>76</v>
      </c>
      <c r="J157">
        <f t="shared" si="8"/>
        <v>5</v>
      </c>
      <c r="K157" t="str">
        <f t="shared" si="9"/>
        <v/>
      </c>
      <c r="L157" t="str">
        <f t="shared" si="11"/>
        <v/>
      </c>
    </row>
    <row r="158" spans="1:12">
      <c r="A158" t="s">
        <v>609</v>
      </c>
      <c r="B158" t="s">
        <v>608</v>
      </c>
      <c r="C158">
        <v>1.8</v>
      </c>
      <c r="D158" s="18">
        <f t="shared" si="10"/>
        <v>7.0362473347547971E-2</v>
      </c>
      <c r="E158" s="56">
        <v>201.45</v>
      </c>
      <c r="F158">
        <v>15.62</v>
      </c>
      <c r="G158" s="17">
        <v>48153</v>
      </c>
      <c r="H158">
        <v>82</v>
      </c>
      <c r="I158" t="s">
        <v>76</v>
      </c>
      <c r="J158">
        <f t="shared" si="8"/>
        <v>45</v>
      </c>
      <c r="K158" t="str">
        <f t="shared" si="9"/>
        <v>Close</v>
      </c>
      <c r="L158" t="str">
        <f t="shared" si="11"/>
        <v>Wave 2</v>
      </c>
    </row>
    <row r="159" spans="1:12">
      <c r="A159" t="s">
        <v>607</v>
      </c>
      <c r="B159" t="s">
        <v>407</v>
      </c>
      <c r="C159">
        <v>3.08</v>
      </c>
      <c r="D159" s="18">
        <f t="shared" si="10"/>
        <v>0.80170575692963753</v>
      </c>
      <c r="E159" s="56">
        <v>338.19</v>
      </c>
      <c r="F159">
        <v>9.2200000000000006</v>
      </c>
      <c r="G159" s="17">
        <v>46569</v>
      </c>
      <c r="H159">
        <v>30</v>
      </c>
      <c r="I159" t="s">
        <v>81</v>
      </c>
      <c r="J159">
        <f t="shared" si="8"/>
        <v>20</v>
      </c>
      <c r="K159" t="str">
        <f t="shared" si="9"/>
        <v/>
      </c>
      <c r="L159" t="str">
        <f t="shared" si="11"/>
        <v/>
      </c>
    </row>
    <row r="160" spans="1:12">
      <c r="A160" t="s">
        <v>606</v>
      </c>
      <c r="B160" t="s">
        <v>104</v>
      </c>
      <c r="C160">
        <v>3.32</v>
      </c>
      <c r="D160" s="18">
        <f t="shared" si="10"/>
        <v>0.906183368869936</v>
      </c>
      <c r="E160" s="56">
        <v>232.45</v>
      </c>
      <c r="F160">
        <v>14.34</v>
      </c>
      <c r="G160" s="17">
        <v>46447</v>
      </c>
      <c r="H160">
        <v>26</v>
      </c>
      <c r="I160" t="s">
        <v>81</v>
      </c>
      <c r="J160">
        <f t="shared" si="8"/>
        <v>20</v>
      </c>
      <c r="K160" t="str">
        <f t="shared" si="9"/>
        <v/>
      </c>
      <c r="L160" t="str">
        <f t="shared" si="11"/>
        <v/>
      </c>
    </row>
    <row r="161" spans="1:12">
      <c r="A161" t="s">
        <v>605</v>
      </c>
      <c r="B161" t="s">
        <v>604</v>
      </c>
      <c r="C161">
        <v>3.2</v>
      </c>
      <c r="D161" s="18">
        <f t="shared" si="10"/>
        <v>0.8571428571428571</v>
      </c>
      <c r="E161" s="56">
        <v>459.09</v>
      </c>
      <c r="F161">
        <v>6.64</v>
      </c>
      <c r="G161" s="17">
        <v>47088</v>
      </c>
      <c r="H161">
        <v>47</v>
      </c>
      <c r="I161" t="s">
        <v>81</v>
      </c>
      <c r="J161">
        <f t="shared" si="8"/>
        <v>10</v>
      </c>
      <c r="K161" t="str">
        <f t="shared" si="9"/>
        <v/>
      </c>
      <c r="L161" t="str">
        <f t="shared" si="11"/>
        <v/>
      </c>
    </row>
    <row r="162" spans="1:12">
      <c r="A162" t="s">
        <v>603</v>
      </c>
      <c r="B162" t="s">
        <v>532</v>
      </c>
      <c r="C162">
        <v>2.15</v>
      </c>
      <c r="D162" s="18">
        <f t="shared" si="10"/>
        <v>0.18336886993603413</v>
      </c>
      <c r="E162" s="56">
        <v>242.99</v>
      </c>
      <c r="F162">
        <v>19.079999999999998</v>
      </c>
      <c r="G162" s="17">
        <v>46844</v>
      </c>
      <c r="H162">
        <v>39</v>
      </c>
      <c r="I162" t="s">
        <v>76</v>
      </c>
      <c r="J162">
        <f t="shared" si="8"/>
        <v>45</v>
      </c>
      <c r="K162" t="str">
        <f t="shared" si="9"/>
        <v>Close</v>
      </c>
      <c r="L162" t="str">
        <f t="shared" si="11"/>
        <v>Wave 2</v>
      </c>
    </row>
    <row r="163" spans="1:12">
      <c r="A163" t="s">
        <v>602</v>
      </c>
      <c r="B163" t="s">
        <v>154</v>
      </c>
      <c r="C163">
        <v>2.89</v>
      </c>
      <c r="D163" s="18">
        <f t="shared" si="10"/>
        <v>0.68230277185501065</v>
      </c>
      <c r="E163" s="56">
        <v>314.49</v>
      </c>
      <c r="F163">
        <v>11.53</v>
      </c>
      <c r="G163" s="17">
        <v>46235</v>
      </c>
      <c r="H163">
        <v>19</v>
      </c>
      <c r="I163" t="s">
        <v>76</v>
      </c>
      <c r="J163">
        <f t="shared" si="8"/>
        <v>25</v>
      </c>
      <c r="K163" t="str">
        <f t="shared" si="9"/>
        <v/>
      </c>
      <c r="L163" t="str">
        <f t="shared" si="11"/>
        <v/>
      </c>
    </row>
    <row r="164" spans="1:12">
      <c r="A164" t="s">
        <v>601</v>
      </c>
      <c r="B164" t="s">
        <v>600</v>
      </c>
      <c r="C164">
        <v>3.68</v>
      </c>
      <c r="D164" s="18">
        <f t="shared" si="10"/>
        <v>0.97867803837953093</v>
      </c>
      <c r="E164" s="56">
        <v>509.43</v>
      </c>
      <c r="F164">
        <v>12.25</v>
      </c>
      <c r="G164" s="17">
        <v>47453</v>
      </c>
      <c r="H164">
        <v>59</v>
      </c>
      <c r="I164" t="s">
        <v>76</v>
      </c>
      <c r="J164">
        <f t="shared" si="8"/>
        <v>5</v>
      </c>
      <c r="K164" t="str">
        <f t="shared" si="9"/>
        <v/>
      </c>
      <c r="L164" t="str">
        <f t="shared" si="11"/>
        <v/>
      </c>
    </row>
    <row r="165" spans="1:12">
      <c r="A165" t="s">
        <v>599</v>
      </c>
      <c r="B165" t="s">
        <v>362</v>
      </c>
      <c r="C165">
        <v>1.84</v>
      </c>
      <c r="D165" s="18">
        <f t="shared" si="10"/>
        <v>8.1023454157782518E-2</v>
      </c>
      <c r="E165" s="56">
        <v>122.81</v>
      </c>
      <c r="F165">
        <v>17.989999999999998</v>
      </c>
      <c r="G165" s="17">
        <v>47209</v>
      </c>
      <c r="H165">
        <v>51</v>
      </c>
      <c r="I165" t="s">
        <v>81</v>
      </c>
      <c r="J165">
        <f t="shared" si="8"/>
        <v>50</v>
      </c>
      <c r="K165" t="str">
        <f t="shared" si="9"/>
        <v>Close</v>
      </c>
      <c r="L165" t="str">
        <f t="shared" si="11"/>
        <v>Wave 1</v>
      </c>
    </row>
    <row r="166" spans="1:12">
      <c r="A166" t="s">
        <v>598</v>
      </c>
      <c r="B166" t="s">
        <v>382</v>
      </c>
      <c r="C166">
        <v>2.92</v>
      </c>
      <c r="D166" s="18">
        <f t="shared" si="10"/>
        <v>0.69509594882729209</v>
      </c>
      <c r="E166" s="56">
        <v>342.17</v>
      </c>
      <c r="F166">
        <v>11.96</v>
      </c>
      <c r="G166" s="17">
        <v>47880</v>
      </c>
      <c r="H166">
        <v>73</v>
      </c>
      <c r="I166" t="s">
        <v>76</v>
      </c>
      <c r="J166">
        <f t="shared" si="8"/>
        <v>5</v>
      </c>
      <c r="K166" t="str">
        <f t="shared" si="9"/>
        <v/>
      </c>
      <c r="L166" t="str">
        <f t="shared" si="11"/>
        <v/>
      </c>
    </row>
    <row r="167" spans="1:12">
      <c r="A167" t="s">
        <v>597</v>
      </c>
      <c r="B167" t="s">
        <v>596</v>
      </c>
      <c r="C167">
        <v>3.27</v>
      </c>
      <c r="D167" s="18">
        <f t="shared" si="10"/>
        <v>0.89339019189765456</v>
      </c>
      <c r="E167" s="56">
        <v>332.32</v>
      </c>
      <c r="F167">
        <v>15.29</v>
      </c>
      <c r="G167" s="17">
        <v>46753</v>
      </c>
      <c r="H167">
        <v>36</v>
      </c>
      <c r="I167" t="s">
        <v>81</v>
      </c>
      <c r="J167">
        <f t="shared" si="8"/>
        <v>20</v>
      </c>
      <c r="K167" t="str">
        <f t="shared" si="9"/>
        <v/>
      </c>
      <c r="L167" t="str">
        <f t="shared" si="11"/>
        <v/>
      </c>
    </row>
    <row r="168" spans="1:12">
      <c r="A168" t="s">
        <v>595</v>
      </c>
      <c r="B168" t="s">
        <v>497</v>
      </c>
      <c r="C168">
        <v>2.2799999999999998</v>
      </c>
      <c r="D168" s="18">
        <f t="shared" si="10"/>
        <v>0.24946695095948826</v>
      </c>
      <c r="E168" s="56">
        <v>229.33</v>
      </c>
      <c r="F168">
        <v>7.89</v>
      </c>
      <c r="G168" s="17">
        <v>47150</v>
      </c>
      <c r="H168">
        <v>49</v>
      </c>
      <c r="I168" t="s">
        <v>84</v>
      </c>
      <c r="J168">
        <f t="shared" si="8"/>
        <v>40</v>
      </c>
      <c r="K168" t="str">
        <f t="shared" si="9"/>
        <v/>
      </c>
      <c r="L168" t="str">
        <f t="shared" si="11"/>
        <v/>
      </c>
    </row>
    <row r="169" spans="1:12">
      <c r="A169" t="s">
        <v>594</v>
      </c>
      <c r="B169" t="s">
        <v>133</v>
      </c>
      <c r="C169">
        <v>2.98</v>
      </c>
      <c r="D169" s="18">
        <f t="shared" si="10"/>
        <v>0.74626865671641796</v>
      </c>
      <c r="E169" s="56">
        <v>417.36</v>
      </c>
      <c r="F169">
        <v>10.039999999999999</v>
      </c>
      <c r="G169" s="17">
        <v>49188</v>
      </c>
      <c r="H169">
        <v>116</v>
      </c>
      <c r="I169" t="s">
        <v>81</v>
      </c>
      <c r="J169">
        <f t="shared" si="8"/>
        <v>10</v>
      </c>
      <c r="K169" t="str">
        <f t="shared" si="9"/>
        <v/>
      </c>
      <c r="L169" t="str">
        <f t="shared" si="11"/>
        <v/>
      </c>
    </row>
    <row r="170" spans="1:12">
      <c r="A170" t="s">
        <v>593</v>
      </c>
      <c r="B170" t="s">
        <v>500</v>
      </c>
      <c r="C170">
        <v>2.0699999999999998</v>
      </c>
      <c r="D170" s="18">
        <f t="shared" si="10"/>
        <v>0.15991471215351813</v>
      </c>
      <c r="E170" s="56">
        <v>237.19</v>
      </c>
      <c r="F170">
        <v>6.33</v>
      </c>
      <c r="G170" s="17">
        <v>48670</v>
      </c>
      <c r="H170">
        <v>99</v>
      </c>
      <c r="I170" t="s">
        <v>81</v>
      </c>
      <c r="J170">
        <f t="shared" si="8"/>
        <v>50</v>
      </c>
      <c r="K170" t="str">
        <f t="shared" si="9"/>
        <v>Close</v>
      </c>
      <c r="L170" t="str">
        <f t="shared" si="11"/>
        <v>Wave 1</v>
      </c>
    </row>
    <row r="171" spans="1:12">
      <c r="A171" t="s">
        <v>592</v>
      </c>
      <c r="B171" t="s">
        <v>214</v>
      </c>
      <c r="C171">
        <v>2.21</v>
      </c>
      <c r="D171" s="18">
        <f t="shared" si="10"/>
        <v>0.2068230277185501</v>
      </c>
      <c r="E171" s="56">
        <v>218.04</v>
      </c>
      <c r="F171">
        <v>11.66</v>
      </c>
      <c r="G171" s="17">
        <v>48061</v>
      </c>
      <c r="H171">
        <v>79</v>
      </c>
      <c r="I171" t="s">
        <v>84</v>
      </c>
      <c r="J171">
        <f t="shared" si="8"/>
        <v>40</v>
      </c>
      <c r="K171" t="str">
        <f t="shared" si="9"/>
        <v/>
      </c>
      <c r="L171" t="str">
        <f t="shared" si="11"/>
        <v/>
      </c>
    </row>
    <row r="172" spans="1:12">
      <c r="A172" t="s">
        <v>591</v>
      </c>
      <c r="B172" t="s">
        <v>590</v>
      </c>
      <c r="C172">
        <v>2.21</v>
      </c>
      <c r="D172" s="18">
        <f t="shared" si="10"/>
        <v>0.2068230277185501</v>
      </c>
      <c r="E172" s="56">
        <v>147.84</v>
      </c>
      <c r="F172">
        <v>17.239999999999998</v>
      </c>
      <c r="G172" s="17">
        <v>48214</v>
      </c>
      <c r="H172">
        <v>84</v>
      </c>
      <c r="I172" t="s">
        <v>81</v>
      </c>
      <c r="J172">
        <f t="shared" si="8"/>
        <v>50</v>
      </c>
      <c r="K172" t="str">
        <f t="shared" si="9"/>
        <v>Close</v>
      </c>
      <c r="L172" t="str">
        <f t="shared" si="11"/>
        <v>Wave 1</v>
      </c>
    </row>
    <row r="173" spans="1:12">
      <c r="A173" t="s">
        <v>589</v>
      </c>
      <c r="B173" t="s">
        <v>588</v>
      </c>
      <c r="C173">
        <v>2.77</v>
      </c>
      <c r="D173" s="18">
        <f t="shared" si="10"/>
        <v>0.60341151385927505</v>
      </c>
      <c r="E173" s="56">
        <v>438.88</v>
      </c>
      <c r="F173">
        <v>13.61</v>
      </c>
      <c r="G173" s="17">
        <v>47239</v>
      </c>
      <c r="H173">
        <v>52</v>
      </c>
      <c r="I173" t="s">
        <v>76</v>
      </c>
      <c r="J173">
        <f t="shared" si="8"/>
        <v>5</v>
      </c>
      <c r="K173" t="str">
        <f t="shared" si="9"/>
        <v/>
      </c>
      <c r="L173" t="str">
        <f t="shared" si="11"/>
        <v/>
      </c>
    </row>
    <row r="174" spans="1:12">
      <c r="A174" t="s">
        <v>587</v>
      </c>
      <c r="B174" t="s">
        <v>90</v>
      </c>
      <c r="C174">
        <v>2.61</v>
      </c>
      <c r="D174" s="18">
        <f t="shared" si="10"/>
        <v>0.48400852878464817</v>
      </c>
      <c r="E174" s="56">
        <v>298.89</v>
      </c>
      <c r="F174">
        <v>16.579999999999998</v>
      </c>
      <c r="G174" s="17">
        <v>46600</v>
      </c>
      <c r="H174">
        <v>31</v>
      </c>
      <c r="I174" t="s">
        <v>81</v>
      </c>
      <c r="J174">
        <f t="shared" si="8"/>
        <v>20</v>
      </c>
      <c r="K174" t="str">
        <f t="shared" si="9"/>
        <v/>
      </c>
      <c r="L174" t="str">
        <f t="shared" si="11"/>
        <v/>
      </c>
    </row>
    <row r="175" spans="1:12">
      <c r="A175" t="s">
        <v>586</v>
      </c>
      <c r="B175" t="s">
        <v>286</v>
      </c>
      <c r="C175">
        <v>3.18</v>
      </c>
      <c r="D175" s="18">
        <f t="shared" si="10"/>
        <v>0.84861407249466947</v>
      </c>
      <c r="E175" s="56">
        <v>439.71</v>
      </c>
      <c r="F175">
        <v>7.98</v>
      </c>
      <c r="G175" s="17">
        <v>48731</v>
      </c>
      <c r="H175">
        <v>101</v>
      </c>
      <c r="I175" t="s">
        <v>81</v>
      </c>
      <c r="J175">
        <f t="shared" si="8"/>
        <v>10</v>
      </c>
      <c r="K175" t="str">
        <f t="shared" si="9"/>
        <v/>
      </c>
      <c r="L175" t="str">
        <f t="shared" si="11"/>
        <v/>
      </c>
    </row>
    <row r="176" spans="1:12">
      <c r="A176" t="s">
        <v>585</v>
      </c>
      <c r="B176" t="s">
        <v>532</v>
      </c>
      <c r="C176">
        <v>2.14</v>
      </c>
      <c r="D176" s="18">
        <f t="shared" si="10"/>
        <v>0.17484008528784648</v>
      </c>
      <c r="E176" s="56">
        <v>182.85</v>
      </c>
      <c r="F176">
        <v>8.6300000000000008</v>
      </c>
      <c r="G176" s="17">
        <v>46753</v>
      </c>
      <c r="H176">
        <v>36</v>
      </c>
      <c r="I176" t="s">
        <v>76</v>
      </c>
      <c r="J176">
        <f t="shared" si="8"/>
        <v>55</v>
      </c>
      <c r="K176" t="str">
        <f t="shared" si="9"/>
        <v>Close</v>
      </c>
      <c r="L176" t="str">
        <f t="shared" si="11"/>
        <v>Wave 1</v>
      </c>
    </row>
    <row r="177" spans="1:12">
      <c r="A177" t="s">
        <v>584</v>
      </c>
      <c r="B177" t="s">
        <v>583</v>
      </c>
      <c r="C177">
        <v>2.59</v>
      </c>
      <c r="D177" s="18">
        <f t="shared" si="10"/>
        <v>0.46268656716417911</v>
      </c>
      <c r="E177" s="56">
        <v>369.09</v>
      </c>
      <c r="F177">
        <v>10.51</v>
      </c>
      <c r="G177" s="17">
        <v>49188</v>
      </c>
      <c r="H177">
        <v>116</v>
      </c>
      <c r="I177" t="s">
        <v>81</v>
      </c>
      <c r="J177">
        <f t="shared" si="8"/>
        <v>10</v>
      </c>
      <c r="K177" t="str">
        <f t="shared" si="9"/>
        <v/>
      </c>
      <c r="L177" t="str">
        <f t="shared" si="11"/>
        <v/>
      </c>
    </row>
    <row r="178" spans="1:12">
      <c r="A178" t="s">
        <v>582</v>
      </c>
      <c r="B178" t="s">
        <v>270</v>
      </c>
      <c r="C178">
        <v>3.19</v>
      </c>
      <c r="D178" s="18">
        <f t="shared" si="10"/>
        <v>0.85287846481876328</v>
      </c>
      <c r="E178" s="56">
        <v>321.33999999999997</v>
      </c>
      <c r="F178">
        <v>15.18</v>
      </c>
      <c r="G178" s="17">
        <v>47058</v>
      </c>
      <c r="H178">
        <v>46</v>
      </c>
      <c r="I178" t="s">
        <v>76</v>
      </c>
      <c r="J178">
        <f t="shared" si="8"/>
        <v>5</v>
      </c>
      <c r="K178" t="str">
        <f t="shared" si="9"/>
        <v/>
      </c>
      <c r="L178" t="str">
        <f t="shared" si="11"/>
        <v/>
      </c>
    </row>
    <row r="179" spans="1:12">
      <c r="A179" t="s">
        <v>581</v>
      </c>
      <c r="B179" t="s">
        <v>102</v>
      </c>
      <c r="C179">
        <v>2.97</v>
      </c>
      <c r="D179" s="18">
        <f t="shared" si="10"/>
        <v>0.73560767590618337</v>
      </c>
      <c r="E179" s="56">
        <v>374.74</v>
      </c>
      <c r="F179">
        <v>14.2</v>
      </c>
      <c r="G179" s="17">
        <v>47543</v>
      </c>
      <c r="H179">
        <v>62</v>
      </c>
      <c r="I179" t="s">
        <v>81</v>
      </c>
      <c r="J179">
        <f t="shared" si="8"/>
        <v>10</v>
      </c>
      <c r="K179" t="str">
        <f t="shared" si="9"/>
        <v/>
      </c>
      <c r="L179" t="str">
        <f t="shared" si="11"/>
        <v/>
      </c>
    </row>
    <row r="180" spans="1:12">
      <c r="A180" t="s">
        <v>580</v>
      </c>
      <c r="B180" t="s">
        <v>249</v>
      </c>
      <c r="C180">
        <v>1.93</v>
      </c>
      <c r="D180" s="18">
        <f t="shared" si="10"/>
        <v>0.1257995735607676</v>
      </c>
      <c r="E180" s="56">
        <v>220.09</v>
      </c>
      <c r="F180">
        <v>12.53</v>
      </c>
      <c r="G180" s="17">
        <v>47939</v>
      </c>
      <c r="H180">
        <v>75</v>
      </c>
      <c r="I180" t="s">
        <v>76</v>
      </c>
      <c r="J180">
        <f t="shared" si="8"/>
        <v>45</v>
      </c>
      <c r="K180" t="str">
        <f t="shared" si="9"/>
        <v>Close</v>
      </c>
      <c r="L180" t="str">
        <f t="shared" si="11"/>
        <v>Wave 2</v>
      </c>
    </row>
    <row r="181" spans="1:12">
      <c r="A181" t="s">
        <v>579</v>
      </c>
      <c r="B181" t="s">
        <v>578</v>
      </c>
      <c r="C181">
        <v>3.03</v>
      </c>
      <c r="D181" s="18">
        <f t="shared" si="10"/>
        <v>0.77611940298507465</v>
      </c>
      <c r="E181" s="56">
        <v>464.68</v>
      </c>
      <c r="F181">
        <v>15.4</v>
      </c>
      <c r="G181" s="17">
        <v>46905</v>
      </c>
      <c r="H181">
        <v>41</v>
      </c>
      <c r="I181" t="s">
        <v>81</v>
      </c>
      <c r="J181">
        <f t="shared" si="8"/>
        <v>10</v>
      </c>
      <c r="K181" t="str">
        <f t="shared" si="9"/>
        <v/>
      </c>
      <c r="L181" t="str">
        <f t="shared" si="11"/>
        <v/>
      </c>
    </row>
    <row r="182" spans="1:12">
      <c r="A182" t="s">
        <v>577</v>
      </c>
      <c r="B182" t="s">
        <v>576</v>
      </c>
      <c r="C182">
        <v>2.4</v>
      </c>
      <c r="D182" s="18">
        <f t="shared" si="10"/>
        <v>0.32622601279317698</v>
      </c>
      <c r="E182" s="56">
        <v>426.58</v>
      </c>
      <c r="F182">
        <v>11.92</v>
      </c>
      <c r="G182" s="17">
        <v>47818</v>
      </c>
      <c r="H182">
        <v>71</v>
      </c>
      <c r="I182" t="s">
        <v>76</v>
      </c>
      <c r="J182">
        <f t="shared" si="8"/>
        <v>5</v>
      </c>
      <c r="K182" t="str">
        <f t="shared" si="9"/>
        <v/>
      </c>
      <c r="L182" t="str">
        <f t="shared" si="11"/>
        <v/>
      </c>
    </row>
    <row r="183" spans="1:12">
      <c r="A183" t="s">
        <v>575</v>
      </c>
      <c r="B183" t="s">
        <v>574</v>
      </c>
      <c r="C183">
        <v>2.87</v>
      </c>
      <c r="D183" s="18">
        <f t="shared" si="10"/>
        <v>0.66098081023454158</v>
      </c>
      <c r="E183" s="56">
        <v>416.42</v>
      </c>
      <c r="F183">
        <v>12.5</v>
      </c>
      <c r="G183" s="17">
        <v>49035</v>
      </c>
      <c r="H183">
        <v>111</v>
      </c>
      <c r="I183" t="s">
        <v>76</v>
      </c>
      <c r="J183">
        <f t="shared" si="8"/>
        <v>5</v>
      </c>
      <c r="K183" t="str">
        <f t="shared" si="9"/>
        <v/>
      </c>
      <c r="L183" t="str">
        <f t="shared" si="11"/>
        <v/>
      </c>
    </row>
    <row r="184" spans="1:12">
      <c r="A184" t="s">
        <v>573</v>
      </c>
      <c r="B184" t="s">
        <v>572</v>
      </c>
      <c r="C184">
        <v>2.83</v>
      </c>
      <c r="D184" s="18">
        <f t="shared" si="10"/>
        <v>0.6353944562899787</v>
      </c>
      <c r="E184" s="56">
        <v>360.43</v>
      </c>
      <c r="F184">
        <v>18.47</v>
      </c>
      <c r="G184" s="17">
        <v>46508</v>
      </c>
      <c r="H184">
        <v>28</v>
      </c>
      <c r="I184" t="s">
        <v>84</v>
      </c>
      <c r="J184">
        <f t="shared" si="8"/>
        <v>10</v>
      </c>
      <c r="K184" t="str">
        <f t="shared" si="9"/>
        <v/>
      </c>
      <c r="L184" t="str">
        <f t="shared" si="11"/>
        <v/>
      </c>
    </row>
    <row r="185" spans="1:12">
      <c r="A185" t="s">
        <v>571</v>
      </c>
      <c r="B185" t="s">
        <v>570</v>
      </c>
      <c r="C185">
        <v>3.33</v>
      </c>
      <c r="D185" s="18">
        <f t="shared" si="10"/>
        <v>0.91044776119402981</v>
      </c>
      <c r="E185" s="56">
        <v>381.42</v>
      </c>
      <c r="F185">
        <v>9.9600000000000009</v>
      </c>
      <c r="G185" s="17">
        <v>47515</v>
      </c>
      <c r="H185">
        <v>61</v>
      </c>
      <c r="I185" t="s">
        <v>76</v>
      </c>
      <c r="J185">
        <f t="shared" si="8"/>
        <v>5</v>
      </c>
      <c r="K185" t="str">
        <f t="shared" si="9"/>
        <v/>
      </c>
      <c r="L185" t="str">
        <f t="shared" si="11"/>
        <v/>
      </c>
    </row>
    <row r="186" spans="1:12">
      <c r="A186" t="s">
        <v>569</v>
      </c>
      <c r="B186" t="s">
        <v>568</v>
      </c>
      <c r="C186">
        <v>2.72</v>
      </c>
      <c r="D186" s="18">
        <f t="shared" si="10"/>
        <v>0.57569296375266521</v>
      </c>
      <c r="E186" s="56">
        <v>327.10000000000002</v>
      </c>
      <c r="F186">
        <v>13.42</v>
      </c>
      <c r="G186" s="17">
        <v>46722</v>
      </c>
      <c r="H186">
        <v>35</v>
      </c>
      <c r="I186" t="s">
        <v>81</v>
      </c>
      <c r="J186">
        <f t="shared" si="8"/>
        <v>20</v>
      </c>
      <c r="K186" t="str">
        <f t="shared" si="9"/>
        <v/>
      </c>
      <c r="L186" t="str">
        <f t="shared" si="11"/>
        <v/>
      </c>
    </row>
    <row r="187" spans="1:12">
      <c r="A187" t="s">
        <v>567</v>
      </c>
      <c r="B187" t="s">
        <v>133</v>
      </c>
      <c r="C187">
        <v>1.64</v>
      </c>
      <c r="D187" s="18">
        <f t="shared" si="10"/>
        <v>3.6247334754797439E-2</v>
      </c>
      <c r="E187" s="56">
        <v>135.22</v>
      </c>
      <c r="F187">
        <v>19.850000000000001</v>
      </c>
      <c r="G187" s="17">
        <v>47818</v>
      </c>
      <c r="H187">
        <v>71</v>
      </c>
      <c r="I187" t="s">
        <v>76</v>
      </c>
      <c r="J187">
        <f t="shared" si="8"/>
        <v>45</v>
      </c>
      <c r="K187" t="str">
        <f t="shared" si="9"/>
        <v>Close</v>
      </c>
      <c r="L187" t="str">
        <f t="shared" si="11"/>
        <v>Wave 2</v>
      </c>
    </row>
    <row r="188" spans="1:12">
      <c r="A188" t="s">
        <v>566</v>
      </c>
      <c r="B188" t="s">
        <v>245</v>
      </c>
      <c r="C188">
        <v>1.91</v>
      </c>
      <c r="D188" s="18">
        <f t="shared" si="10"/>
        <v>0.11300639658848614</v>
      </c>
      <c r="E188" s="56">
        <v>172.26</v>
      </c>
      <c r="F188">
        <v>13.06</v>
      </c>
      <c r="G188" s="17">
        <v>47635</v>
      </c>
      <c r="H188">
        <v>65</v>
      </c>
      <c r="I188" t="s">
        <v>76</v>
      </c>
      <c r="J188">
        <f t="shared" si="8"/>
        <v>45</v>
      </c>
      <c r="K188" t="str">
        <f t="shared" si="9"/>
        <v>Close</v>
      </c>
      <c r="L188" t="str">
        <f t="shared" si="11"/>
        <v>Wave 2</v>
      </c>
    </row>
    <row r="189" spans="1:12">
      <c r="A189" t="s">
        <v>565</v>
      </c>
      <c r="B189" t="s">
        <v>564</v>
      </c>
      <c r="C189">
        <v>3.06</v>
      </c>
      <c r="D189" s="18">
        <f t="shared" si="10"/>
        <v>0.79104477611940294</v>
      </c>
      <c r="E189" s="56">
        <v>349.19</v>
      </c>
      <c r="F189">
        <v>15.78</v>
      </c>
      <c r="G189" s="17">
        <v>46784</v>
      </c>
      <c r="H189">
        <v>37</v>
      </c>
      <c r="I189" t="s">
        <v>76</v>
      </c>
      <c r="J189">
        <f t="shared" si="8"/>
        <v>5</v>
      </c>
      <c r="K189" t="str">
        <f t="shared" si="9"/>
        <v/>
      </c>
      <c r="L189" t="str">
        <f t="shared" si="11"/>
        <v/>
      </c>
    </row>
    <row r="190" spans="1:12">
      <c r="A190" t="s">
        <v>563</v>
      </c>
      <c r="B190" t="s">
        <v>562</v>
      </c>
      <c r="C190">
        <v>2.52</v>
      </c>
      <c r="D190" s="18">
        <f t="shared" si="10"/>
        <v>0.4115138592750533</v>
      </c>
      <c r="E190" s="56">
        <v>386.96</v>
      </c>
      <c r="F190">
        <v>9.8699999999999992</v>
      </c>
      <c r="G190" s="17">
        <v>47119</v>
      </c>
      <c r="H190">
        <v>48</v>
      </c>
      <c r="I190" t="s">
        <v>81</v>
      </c>
      <c r="J190">
        <f t="shared" si="8"/>
        <v>10</v>
      </c>
      <c r="K190" t="str">
        <f t="shared" si="9"/>
        <v/>
      </c>
      <c r="L190" t="str">
        <f t="shared" si="11"/>
        <v/>
      </c>
    </row>
    <row r="191" spans="1:12">
      <c r="A191" t="s">
        <v>561</v>
      </c>
      <c r="B191" t="s">
        <v>193</v>
      </c>
      <c r="C191">
        <v>3.29</v>
      </c>
      <c r="D191" s="18">
        <f t="shared" si="10"/>
        <v>0.89552238805970152</v>
      </c>
      <c r="E191" s="56">
        <v>327.92</v>
      </c>
      <c r="F191">
        <v>21.4</v>
      </c>
      <c r="G191" s="17">
        <v>48183</v>
      </c>
      <c r="H191">
        <v>83</v>
      </c>
      <c r="I191" t="s">
        <v>81</v>
      </c>
      <c r="J191">
        <f t="shared" si="8"/>
        <v>10</v>
      </c>
      <c r="K191" t="str">
        <f t="shared" si="9"/>
        <v/>
      </c>
      <c r="L191" t="str">
        <f t="shared" si="11"/>
        <v/>
      </c>
    </row>
    <row r="192" spans="1:12">
      <c r="A192" t="s">
        <v>560</v>
      </c>
      <c r="B192" t="s">
        <v>380</v>
      </c>
      <c r="C192">
        <v>2.81</v>
      </c>
      <c r="D192" s="18">
        <f t="shared" si="10"/>
        <v>0.6204690831556503</v>
      </c>
      <c r="E192" s="56">
        <v>382.78</v>
      </c>
      <c r="F192">
        <v>2.48</v>
      </c>
      <c r="G192" s="17">
        <v>47362</v>
      </c>
      <c r="H192">
        <v>56</v>
      </c>
      <c r="I192" t="s">
        <v>76</v>
      </c>
      <c r="J192">
        <f t="shared" si="8"/>
        <v>15</v>
      </c>
      <c r="K192" t="str">
        <f t="shared" si="9"/>
        <v/>
      </c>
      <c r="L192" t="str">
        <f t="shared" si="11"/>
        <v/>
      </c>
    </row>
    <row r="193" spans="1:12">
      <c r="A193" t="s">
        <v>559</v>
      </c>
      <c r="B193" t="s">
        <v>558</v>
      </c>
      <c r="C193">
        <v>2.25</v>
      </c>
      <c r="D193" s="18">
        <f t="shared" si="10"/>
        <v>0.22601279317697229</v>
      </c>
      <c r="E193" s="56">
        <v>274</v>
      </c>
      <c r="F193">
        <v>7.5</v>
      </c>
      <c r="G193" s="17">
        <v>47392</v>
      </c>
      <c r="H193">
        <v>57</v>
      </c>
      <c r="I193" t="s">
        <v>76</v>
      </c>
      <c r="J193">
        <f t="shared" si="8"/>
        <v>45</v>
      </c>
      <c r="K193" t="str">
        <f t="shared" si="9"/>
        <v>Close</v>
      </c>
      <c r="L193" t="str">
        <f t="shared" si="11"/>
        <v>Wave 2</v>
      </c>
    </row>
    <row r="194" spans="1:12">
      <c r="A194" t="s">
        <v>557</v>
      </c>
      <c r="B194" t="s">
        <v>556</v>
      </c>
      <c r="C194">
        <v>3.26</v>
      </c>
      <c r="D194" s="18">
        <f t="shared" si="10"/>
        <v>0.88912579957356075</v>
      </c>
      <c r="E194" s="56">
        <v>390.24</v>
      </c>
      <c r="F194">
        <v>7.86</v>
      </c>
      <c r="G194" s="17">
        <v>47515</v>
      </c>
      <c r="H194">
        <v>61</v>
      </c>
      <c r="I194" t="s">
        <v>81</v>
      </c>
      <c r="J194">
        <f t="shared" ref="J194:J257" si="12">IF($D194&lt;=0.25,40,0)+IF($F194&lt;0,30,IF($F194&lt;2,20,IF($F194&lt;5,10,0)))+IF($H194&lt;=24,20,IF($H194&lt;=36,10,0))
+IF($I194="Low",10,IF($I194="Medium",5,0))</f>
        <v>10</v>
      </c>
      <c r="K194" t="str">
        <f t="shared" ref="K194:K257" si="13">IF(L194=$L$2, "","Close")</f>
        <v/>
      </c>
      <c r="L194" t="str">
        <f t="shared" si="11"/>
        <v/>
      </c>
    </row>
    <row r="195" spans="1:12">
      <c r="A195" t="s">
        <v>555</v>
      </c>
      <c r="B195" t="s">
        <v>112</v>
      </c>
      <c r="C195">
        <v>2.2200000000000002</v>
      </c>
      <c r="D195" s="18">
        <f t="shared" ref="D195:D258" si="14">_xlfn.RANK.EQ(C195,$C$2:$C$470,1)/COUNT($C$2:$C$470)</f>
        <v>0.21321961620469082</v>
      </c>
      <c r="E195" s="56">
        <v>155.47999999999999</v>
      </c>
      <c r="F195">
        <v>19.89</v>
      </c>
      <c r="G195" s="17">
        <v>46419</v>
      </c>
      <c r="H195">
        <v>25</v>
      </c>
      <c r="I195" t="s">
        <v>81</v>
      </c>
      <c r="J195">
        <f t="shared" si="12"/>
        <v>60</v>
      </c>
      <c r="K195" t="str">
        <f t="shared" si="13"/>
        <v>Close</v>
      </c>
      <c r="L195" t="str">
        <f t="shared" si="11"/>
        <v>Wave 1</v>
      </c>
    </row>
    <row r="196" spans="1:12">
      <c r="A196" t="s">
        <v>554</v>
      </c>
      <c r="B196" t="s">
        <v>212</v>
      </c>
      <c r="C196">
        <v>1.53</v>
      </c>
      <c r="D196" s="18">
        <f t="shared" si="14"/>
        <v>2.5586353944562899E-2</v>
      </c>
      <c r="E196" s="56">
        <v>172.51</v>
      </c>
      <c r="F196">
        <v>14.19</v>
      </c>
      <c r="G196" s="17">
        <v>46813</v>
      </c>
      <c r="H196">
        <v>38</v>
      </c>
      <c r="I196" t="s">
        <v>81</v>
      </c>
      <c r="J196">
        <f t="shared" si="12"/>
        <v>50</v>
      </c>
      <c r="K196" t="str">
        <f t="shared" si="13"/>
        <v>Close</v>
      </c>
      <c r="L196" t="str">
        <f t="shared" si="11"/>
        <v>Wave 1</v>
      </c>
    </row>
    <row r="197" spans="1:12">
      <c r="A197" t="s">
        <v>553</v>
      </c>
      <c r="B197" t="s">
        <v>290</v>
      </c>
      <c r="C197">
        <v>3.8</v>
      </c>
      <c r="D197" s="18">
        <f t="shared" si="14"/>
        <v>0.98933901918976541</v>
      </c>
      <c r="E197" s="56">
        <v>422.24</v>
      </c>
      <c r="F197">
        <v>11.42</v>
      </c>
      <c r="G197" s="17">
        <v>46844</v>
      </c>
      <c r="H197">
        <v>39</v>
      </c>
      <c r="I197" t="s">
        <v>76</v>
      </c>
      <c r="J197">
        <f t="shared" si="12"/>
        <v>5</v>
      </c>
      <c r="K197" t="str">
        <f t="shared" si="13"/>
        <v/>
      </c>
      <c r="L197" t="str">
        <f t="shared" si="11"/>
        <v/>
      </c>
    </row>
    <row r="198" spans="1:12">
      <c r="A198" t="s">
        <v>552</v>
      </c>
      <c r="B198" t="s">
        <v>551</v>
      </c>
      <c r="C198">
        <v>1.61</v>
      </c>
      <c r="D198" s="18">
        <f t="shared" si="14"/>
        <v>2.9850746268656716E-2</v>
      </c>
      <c r="E198" s="56">
        <v>26.58</v>
      </c>
      <c r="F198">
        <v>6.83</v>
      </c>
      <c r="G198" s="17">
        <v>46266</v>
      </c>
      <c r="H198">
        <v>20</v>
      </c>
      <c r="I198" t="s">
        <v>81</v>
      </c>
      <c r="J198">
        <f t="shared" si="12"/>
        <v>70</v>
      </c>
      <c r="K198" t="str">
        <f t="shared" si="13"/>
        <v>Close</v>
      </c>
      <c r="L198" t="str">
        <f t="shared" si="11"/>
        <v>Wave 1</v>
      </c>
    </row>
    <row r="199" spans="1:12">
      <c r="A199" t="s">
        <v>550</v>
      </c>
      <c r="B199" t="s">
        <v>179</v>
      </c>
      <c r="C199">
        <v>3.01</v>
      </c>
      <c r="D199" s="18">
        <f t="shared" si="14"/>
        <v>0.76332622601279321</v>
      </c>
      <c r="E199" s="56">
        <v>467.24</v>
      </c>
      <c r="F199">
        <v>14.24</v>
      </c>
      <c r="G199" s="17">
        <v>47178</v>
      </c>
      <c r="H199">
        <v>50</v>
      </c>
      <c r="I199" t="s">
        <v>84</v>
      </c>
      <c r="J199">
        <f t="shared" si="12"/>
        <v>0</v>
      </c>
      <c r="K199" t="str">
        <f t="shared" si="13"/>
        <v/>
      </c>
      <c r="L199" t="str">
        <f t="shared" ref="L199:L262" si="15">IF(_xlfn.RANK.EQ($J199,$J$2:$J$470,0)&lt;=40,"Wave 1",
IF(_xlfn.RANK.EQ($J199,$J$2:$J$470,0)&lt;=70,"Wave 2",""))</f>
        <v/>
      </c>
    </row>
    <row r="200" spans="1:12">
      <c r="A200" t="s">
        <v>549</v>
      </c>
      <c r="B200" t="s">
        <v>548</v>
      </c>
      <c r="C200">
        <v>3.18</v>
      </c>
      <c r="D200" s="18">
        <f t="shared" si="14"/>
        <v>0.84861407249466947</v>
      </c>
      <c r="E200" s="56">
        <v>437.08</v>
      </c>
      <c r="F200">
        <v>13.11</v>
      </c>
      <c r="G200" s="17">
        <v>48853</v>
      </c>
      <c r="H200">
        <v>105</v>
      </c>
      <c r="I200" t="s">
        <v>84</v>
      </c>
      <c r="J200">
        <f t="shared" si="12"/>
        <v>0</v>
      </c>
      <c r="K200" t="str">
        <f t="shared" si="13"/>
        <v/>
      </c>
      <c r="L200" t="str">
        <f t="shared" si="15"/>
        <v/>
      </c>
    </row>
    <row r="201" spans="1:12">
      <c r="A201" t="s">
        <v>547</v>
      </c>
      <c r="B201" t="s">
        <v>421</v>
      </c>
      <c r="C201">
        <v>2.74</v>
      </c>
      <c r="D201" s="18">
        <f t="shared" si="14"/>
        <v>0.58848614072494665</v>
      </c>
      <c r="E201" s="56">
        <v>275.14999999999998</v>
      </c>
      <c r="F201">
        <v>9.48</v>
      </c>
      <c r="G201" s="17">
        <v>46054</v>
      </c>
      <c r="H201">
        <v>13</v>
      </c>
      <c r="I201" t="s">
        <v>81</v>
      </c>
      <c r="J201">
        <f t="shared" si="12"/>
        <v>30</v>
      </c>
      <c r="K201" t="str">
        <f t="shared" si="13"/>
        <v/>
      </c>
      <c r="L201" t="str">
        <f t="shared" si="15"/>
        <v/>
      </c>
    </row>
    <row r="202" spans="1:12">
      <c r="A202" t="s">
        <v>546</v>
      </c>
      <c r="B202" t="s">
        <v>545</v>
      </c>
      <c r="C202">
        <v>1.73</v>
      </c>
      <c r="D202" s="18">
        <f t="shared" si="14"/>
        <v>5.5437100213219619E-2</v>
      </c>
      <c r="E202" s="56">
        <v>194.38</v>
      </c>
      <c r="F202">
        <v>5.89</v>
      </c>
      <c r="G202" s="17">
        <v>46784</v>
      </c>
      <c r="H202">
        <v>37</v>
      </c>
      <c r="I202" t="s">
        <v>84</v>
      </c>
      <c r="J202">
        <f t="shared" si="12"/>
        <v>40</v>
      </c>
      <c r="K202" t="str">
        <f t="shared" si="13"/>
        <v/>
      </c>
      <c r="L202" t="str">
        <f t="shared" si="15"/>
        <v/>
      </c>
    </row>
    <row r="203" spans="1:12">
      <c r="A203" t="s">
        <v>544</v>
      </c>
      <c r="B203" t="s">
        <v>438</v>
      </c>
      <c r="C203">
        <v>3.22</v>
      </c>
      <c r="D203" s="18">
        <f t="shared" si="14"/>
        <v>0.86993603411513865</v>
      </c>
      <c r="E203" s="56">
        <v>314.69</v>
      </c>
      <c r="F203">
        <v>7.64</v>
      </c>
      <c r="G203" s="17">
        <v>46357</v>
      </c>
      <c r="H203">
        <v>23</v>
      </c>
      <c r="I203" t="s">
        <v>81</v>
      </c>
      <c r="J203">
        <f t="shared" si="12"/>
        <v>30</v>
      </c>
      <c r="K203" t="str">
        <f t="shared" si="13"/>
        <v/>
      </c>
      <c r="L203" t="str">
        <f t="shared" si="15"/>
        <v/>
      </c>
    </row>
    <row r="204" spans="1:12">
      <c r="A204" t="s">
        <v>543</v>
      </c>
      <c r="B204" t="s">
        <v>495</v>
      </c>
      <c r="C204">
        <v>1.87</v>
      </c>
      <c r="D204" s="18">
        <f t="shared" si="14"/>
        <v>9.3816631130063971E-2</v>
      </c>
      <c r="E204" s="56">
        <v>99.86</v>
      </c>
      <c r="F204">
        <v>13.56</v>
      </c>
      <c r="G204" s="17">
        <v>46600</v>
      </c>
      <c r="H204">
        <v>31</v>
      </c>
      <c r="I204" t="s">
        <v>76</v>
      </c>
      <c r="J204">
        <f t="shared" si="12"/>
        <v>55</v>
      </c>
      <c r="K204" t="str">
        <f t="shared" si="13"/>
        <v>Close</v>
      </c>
      <c r="L204" t="str">
        <f t="shared" si="15"/>
        <v>Wave 1</v>
      </c>
    </row>
    <row r="205" spans="1:12">
      <c r="A205" t="s">
        <v>542</v>
      </c>
      <c r="B205" t="s">
        <v>509</v>
      </c>
      <c r="C205">
        <v>1.92</v>
      </c>
      <c r="D205" s="18">
        <f t="shared" si="14"/>
        <v>0.11513859275053305</v>
      </c>
      <c r="E205" s="56">
        <v>228.46</v>
      </c>
      <c r="F205">
        <v>14</v>
      </c>
      <c r="G205" s="17">
        <v>46813</v>
      </c>
      <c r="H205">
        <v>38</v>
      </c>
      <c r="I205" t="s">
        <v>81</v>
      </c>
      <c r="J205">
        <f t="shared" si="12"/>
        <v>50</v>
      </c>
      <c r="K205" t="str">
        <f t="shared" si="13"/>
        <v>Close</v>
      </c>
      <c r="L205" t="str">
        <f t="shared" si="15"/>
        <v>Wave 1</v>
      </c>
    </row>
    <row r="206" spans="1:12">
      <c r="A206" t="s">
        <v>541</v>
      </c>
      <c r="B206" t="s">
        <v>366</v>
      </c>
      <c r="C206">
        <v>2.46</v>
      </c>
      <c r="D206" s="18">
        <f t="shared" si="14"/>
        <v>0.3646055437100213</v>
      </c>
      <c r="E206" s="56">
        <v>378.68</v>
      </c>
      <c r="F206">
        <v>12.93</v>
      </c>
      <c r="G206" s="17">
        <v>47788</v>
      </c>
      <c r="H206">
        <v>70</v>
      </c>
      <c r="I206" t="s">
        <v>81</v>
      </c>
      <c r="J206">
        <f t="shared" si="12"/>
        <v>10</v>
      </c>
      <c r="K206" t="str">
        <f t="shared" si="13"/>
        <v/>
      </c>
      <c r="L206" t="str">
        <f t="shared" si="15"/>
        <v/>
      </c>
    </row>
    <row r="207" spans="1:12">
      <c r="A207" t="s">
        <v>540</v>
      </c>
      <c r="B207" t="s">
        <v>539</v>
      </c>
      <c r="C207">
        <v>3.09</v>
      </c>
      <c r="D207" s="18">
        <f t="shared" si="14"/>
        <v>0.8081023454157783</v>
      </c>
      <c r="E207" s="56">
        <v>402.29</v>
      </c>
      <c r="F207">
        <v>11.92</v>
      </c>
      <c r="G207" s="17">
        <v>46813</v>
      </c>
      <c r="H207">
        <v>38</v>
      </c>
      <c r="I207" t="s">
        <v>81</v>
      </c>
      <c r="J207">
        <f t="shared" si="12"/>
        <v>10</v>
      </c>
      <c r="K207" t="str">
        <f t="shared" si="13"/>
        <v/>
      </c>
      <c r="L207" t="str">
        <f t="shared" si="15"/>
        <v/>
      </c>
    </row>
    <row r="208" spans="1:12">
      <c r="A208" t="s">
        <v>538</v>
      </c>
      <c r="B208" t="s">
        <v>466</v>
      </c>
      <c r="C208">
        <v>2.83</v>
      </c>
      <c r="D208" s="18">
        <f t="shared" si="14"/>
        <v>0.6353944562899787</v>
      </c>
      <c r="E208" s="56">
        <v>389.81</v>
      </c>
      <c r="F208">
        <v>4.6399999999999997</v>
      </c>
      <c r="G208" s="17">
        <v>46813</v>
      </c>
      <c r="H208">
        <v>38</v>
      </c>
      <c r="I208" t="s">
        <v>76</v>
      </c>
      <c r="J208">
        <f t="shared" si="12"/>
        <v>15</v>
      </c>
      <c r="K208" t="str">
        <f t="shared" si="13"/>
        <v/>
      </c>
      <c r="L208" t="str">
        <f t="shared" si="15"/>
        <v/>
      </c>
    </row>
    <row r="209" spans="1:12">
      <c r="A209" t="s">
        <v>537</v>
      </c>
      <c r="B209" t="s">
        <v>536</v>
      </c>
      <c r="C209">
        <v>3.11</v>
      </c>
      <c r="D209" s="18">
        <f t="shared" si="14"/>
        <v>0.82302771855010659</v>
      </c>
      <c r="E209" s="56">
        <v>367.21</v>
      </c>
      <c r="F209">
        <v>12.82</v>
      </c>
      <c r="G209" s="17">
        <v>47635</v>
      </c>
      <c r="H209">
        <v>65</v>
      </c>
      <c r="I209" t="s">
        <v>84</v>
      </c>
      <c r="J209">
        <f t="shared" si="12"/>
        <v>0</v>
      </c>
      <c r="K209" t="str">
        <f t="shared" si="13"/>
        <v/>
      </c>
      <c r="L209" t="str">
        <f t="shared" si="15"/>
        <v/>
      </c>
    </row>
    <row r="210" spans="1:12">
      <c r="A210" t="s">
        <v>535</v>
      </c>
      <c r="B210" t="s">
        <v>210</v>
      </c>
      <c r="C210">
        <v>2.42</v>
      </c>
      <c r="D210" s="18">
        <f t="shared" si="14"/>
        <v>0.33688699360341151</v>
      </c>
      <c r="E210" s="56">
        <v>370.62</v>
      </c>
      <c r="F210">
        <v>7.95</v>
      </c>
      <c r="G210" s="17">
        <v>46905</v>
      </c>
      <c r="H210">
        <v>41</v>
      </c>
      <c r="I210" t="s">
        <v>81</v>
      </c>
      <c r="J210">
        <f t="shared" si="12"/>
        <v>10</v>
      </c>
      <c r="K210" t="str">
        <f t="shared" si="13"/>
        <v/>
      </c>
      <c r="L210" t="str">
        <f t="shared" si="15"/>
        <v/>
      </c>
    </row>
    <row r="211" spans="1:12">
      <c r="A211" t="s">
        <v>534</v>
      </c>
      <c r="B211" t="s">
        <v>402</v>
      </c>
      <c r="C211">
        <v>2.57</v>
      </c>
      <c r="D211" s="18">
        <f t="shared" si="14"/>
        <v>0.45415778251599148</v>
      </c>
      <c r="E211" s="56">
        <v>394.99</v>
      </c>
      <c r="F211">
        <v>12.79</v>
      </c>
      <c r="G211" s="17">
        <v>46997</v>
      </c>
      <c r="H211">
        <v>44</v>
      </c>
      <c r="I211" t="s">
        <v>81</v>
      </c>
      <c r="J211">
        <f t="shared" si="12"/>
        <v>10</v>
      </c>
      <c r="K211" t="str">
        <f t="shared" si="13"/>
        <v/>
      </c>
      <c r="L211" t="str">
        <f t="shared" si="15"/>
        <v/>
      </c>
    </row>
    <row r="212" spans="1:12">
      <c r="A212" t="s">
        <v>533</v>
      </c>
      <c r="B212" t="s">
        <v>532</v>
      </c>
      <c r="C212">
        <v>2.0299999999999998</v>
      </c>
      <c r="D212" s="18">
        <f t="shared" si="14"/>
        <v>0.14925373134328357</v>
      </c>
      <c r="E212" s="56">
        <v>151.5</v>
      </c>
      <c r="F212">
        <v>14.69</v>
      </c>
      <c r="G212" s="17">
        <v>46235</v>
      </c>
      <c r="H212">
        <v>19</v>
      </c>
      <c r="I212" t="s">
        <v>84</v>
      </c>
      <c r="J212">
        <f t="shared" si="12"/>
        <v>60</v>
      </c>
      <c r="K212" t="str">
        <f t="shared" si="13"/>
        <v>Close</v>
      </c>
      <c r="L212" t="str">
        <f t="shared" si="15"/>
        <v>Wave 1</v>
      </c>
    </row>
    <row r="213" spans="1:12">
      <c r="A213" t="s">
        <v>531</v>
      </c>
      <c r="B213" t="s">
        <v>522</v>
      </c>
      <c r="C213">
        <v>2.4900000000000002</v>
      </c>
      <c r="D213" s="18">
        <f t="shared" si="14"/>
        <v>0.38592750533049042</v>
      </c>
      <c r="E213" s="56">
        <v>420.74</v>
      </c>
      <c r="F213">
        <v>9.56</v>
      </c>
      <c r="G213" s="17">
        <v>47270</v>
      </c>
      <c r="H213">
        <v>53</v>
      </c>
      <c r="I213" t="s">
        <v>81</v>
      </c>
      <c r="J213">
        <f t="shared" si="12"/>
        <v>10</v>
      </c>
      <c r="K213" t="str">
        <f t="shared" si="13"/>
        <v/>
      </c>
      <c r="L213" t="str">
        <f t="shared" si="15"/>
        <v/>
      </c>
    </row>
    <row r="214" spans="1:12">
      <c r="A214" t="s">
        <v>530</v>
      </c>
      <c r="B214" t="s">
        <v>249</v>
      </c>
      <c r="C214">
        <v>2.99</v>
      </c>
      <c r="D214" s="18">
        <f t="shared" si="14"/>
        <v>0.75053304904051177</v>
      </c>
      <c r="E214" s="56">
        <v>382.52</v>
      </c>
      <c r="F214">
        <v>8</v>
      </c>
      <c r="G214" s="17">
        <v>46478</v>
      </c>
      <c r="H214">
        <v>27</v>
      </c>
      <c r="I214" t="s">
        <v>76</v>
      </c>
      <c r="J214">
        <f t="shared" si="12"/>
        <v>15</v>
      </c>
      <c r="K214" t="str">
        <f t="shared" si="13"/>
        <v/>
      </c>
      <c r="L214" t="str">
        <f t="shared" si="15"/>
        <v/>
      </c>
    </row>
    <row r="215" spans="1:12">
      <c r="A215" t="s">
        <v>529</v>
      </c>
      <c r="B215" t="s">
        <v>528</v>
      </c>
      <c r="C215">
        <v>2.5</v>
      </c>
      <c r="D215" s="18">
        <f t="shared" si="14"/>
        <v>0.39658848614072495</v>
      </c>
      <c r="E215" s="56">
        <v>443.35</v>
      </c>
      <c r="F215">
        <v>17.07</v>
      </c>
      <c r="G215" s="17">
        <v>47392</v>
      </c>
      <c r="H215">
        <v>57</v>
      </c>
      <c r="I215" t="s">
        <v>76</v>
      </c>
      <c r="J215">
        <f t="shared" si="12"/>
        <v>5</v>
      </c>
      <c r="K215" t="str">
        <f t="shared" si="13"/>
        <v/>
      </c>
      <c r="L215" t="str">
        <f t="shared" si="15"/>
        <v/>
      </c>
    </row>
    <row r="216" spans="1:12">
      <c r="A216" t="s">
        <v>527</v>
      </c>
      <c r="B216" t="s">
        <v>526</v>
      </c>
      <c r="C216">
        <v>2.92</v>
      </c>
      <c r="D216" s="18">
        <f t="shared" si="14"/>
        <v>0.69509594882729209</v>
      </c>
      <c r="E216" s="56">
        <v>455.67</v>
      </c>
      <c r="F216">
        <v>14.18</v>
      </c>
      <c r="G216" s="17">
        <v>46935</v>
      </c>
      <c r="H216">
        <v>42</v>
      </c>
      <c r="I216" t="s">
        <v>76</v>
      </c>
      <c r="J216">
        <f t="shared" si="12"/>
        <v>5</v>
      </c>
      <c r="K216" t="str">
        <f t="shared" si="13"/>
        <v/>
      </c>
      <c r="L216" t="str">
        <f t="shared" si="15"/>
        <v/>
      </c>
    </row>
    <row r="217" spans="1:12">
      <c r="A217" t="s">
        <v>525</v>
      </c>
      <c r="B217" t="s">
        <v>524</v>
      </c>
      <c r="C217">
        <v>2.34</v>
      </c>
      <c r="D217" s="18">
        <f t="shared" si="14"/>
        <v>0.28997867803837951</v>
      </c>
      <c r="E217" s="56">
        <v>260.24</v>
      </c>
      <c r="F217">
        <v>9.74</v>
      </c>
      <c r="G217" s="17">
        <v>46082</v>
      </c>
      <c r="H217">
        <v>14</v>
      </c>
      <c r="I217" t="s">
        <v>81</v>
      </c>
      <c r="J217">
        <f t="shared" si="12"/>
        <v>30</v>
      </c>
      <c r="K217" t="str">
        <f t="shared" si="13"/>
        <v/>
      </c>
      <c r="L217" t="str">
        <f t="shared" si="15"/>
        <v/>
      </c>
    </row>
    <row r="218" spans="1:12">
      <c r="A218" t="s">
        <v>523</v>
      </c>
      <c r="B218" t="s">
        <v>522</v>
      </c>
      <c r="C218">
        <v>2.33</v>
      </c>
      <c r="D218" s="18">
        <f t="shared" si="14"/>
        <v>0.28358208955223879</v>
      </c>
      <c r="E218" s="56">
        <v>131.08000000000001</v>
      </c>
      <c r="F218">
        <v>-0.9</v>
      </c>
      <c r="G218" s="17">
        <v>46600</v>
      </c>
      <c r="H218">
        <v>31</v>
      </c>
      <c r="I218" t="s">
        <v>81</v>
      </c>
      <c r="J218">
        <f t="shared" si="12"/>
        <v>50</v>
      </c>
      <c r="K218" t="str">
        <f t="shared" si="13"/>
        <v>Close</v>
      </c>
      <c r="L218" t="str">
        <f t="shared" si="15"/>
        <v>Wave 1</v>
      </c>
    </row>
    <row r="219" spans="1:12">
      <c r="A219" t="s">
        <v>521</v>
      </c>
      <c r="B219" t="s">
        <v>133</v>
      </c>
      <c r="C219">
        <v>2.68</v>
      </c>
      <c r="D219" s="18">
        <f t="shared" si="14"/>
        <v>0.55010660980810233</v>
      </c>
      <c r="E219" s="56">
        <v>419.39</v>
      </c>
      <c r="F219">
        <v>12.38</v>
      </c>
      <c r="G219" s="17">
        <v>48427</v>
      </c>
      <c r="H219">
        <v>91</v>
      </c>
      <c r="I219" t="s">
        <v>81</v>
      </c>
      <c r="J219">
        <f t="shared" si="12"/>
        <v>10</v>
      </c>
      <c r="K219" t="str">
        <f t="shared" si="13"/>
        <v/>
      </c>
      <c r="L219" t="str">
        <f t="shared" si="15"/>
        <v/>
      </c>
    </row>
    <row r="220" spans="1:12">
      <c r="A220" t="s">
        <v>520</v>
      </c>
      <c r="B220" t="s">
        <v>189</v>
      </c>
      <c r="C220">
        <v>2.5499999999999998</v>
      </c>
      <c r="D220" s="18">
        <f t="shared" si="14"/>
        <v>0.43283582089552236</v>
      </c>
      <c r="E220" s="56">
        <v>365.36</v>
      </c>
      <c r="F220">
        <v>15.43</v>
      </c>
      <c r="G220" s="17">
        <v>48670</v>
      </c>
      <c r="H220">
        <v>99</v>
      </c>
      <c r="I220" t="s">
        <v>76</v>
      </c>
      <c r="J220">
        <f t="shared" si="12"/>
        <v>5</v>
      </c>
      <c r="K220" t="str">
        <f t="shared" si="13"/>
        <v/>
      </c>
      <c r="L220" t="str">
        <f t="shared" si="15"/>
        <v/>
      </c>
    </row>
    <row r="221" spans="1:12">
      <c r="A221" t="s">
        <v>519</v>
      </c>
      <c r="B221" t="s">
        <v>411</v>
      </c>
      <c r="C221">
        <v>2.99</v>
      </c>
      <c r="D221" s="18">
        <f t="shared" si="14"/>
        <v>0.75053304904051177</v>
      </c>
      <c r="E221" s="56">
        <v>484.28</v>
      </c>
      <c r="F221">
        <v>17.649999999999999</v>
      </c>
      <c r="G221" s="17">
        <v>46966</v>
      </c>
      <c r="H221">
        <v>43</v>
      </c>
      <c r="I221" t="s">
        <v>76</v>
      </c>
      <c r="J221">
        <f t="shared" si="12"/>
        <v>5</v>
      </c>
      <c r="K221" t="str">
        <f t="shared" si="13"/>
        <v/>
      </c>
      <c r="L221" t="str">
        <f t="shared" si="15"/>
        <v/>
      </c>
    </row>
    <row r="222" spans="1:12">
      <c r="A222" t="s">
        <v>518</v>
      </c>
      <c r="B222" t="s">
        <v>517</v>
      </c>
      <c r="C222">
        <v>2.76</v>
      </c>
      <c r="D222" s="18">
        <f t="shared" si="14"/>
        <v>0.59914712153518124</v>
      </c>
      <c r="E222" s="56">
        <v>429.85</v>
      </c>
      <c r="F222">
        <v>9.5500000000000007</v>
      </c>
      <c r="G222" s="17">
        <v>48853</v>
      </c>
      <c r="H222">
        <v>105</v>
      </c>
      <c r="I222" t="s">
        <v>84</v>
      </c>
      <c r="J222">
        <f t="shared" si="12"/>
        <v>0</v>
      </c>
      <c r="K222" t="str">
        <f t="shared" si="13"/>
        <v/>
      </c>
      <c r="L222" t="str">
        <f t="shared" si="15"/>
        <v/>
      </c>
    </row>
    <row r="223" spans="1:12">
      <c r="A223" t="s">
        <v>516</v>
      </c>
      <c r="B223" t="s">
        <v>515</v>
      </c>
      <c r="C223">
        <v>3.62</v>
      </c>
      <c r="D223" s="18">
        <f t="shared" si="14"/>
        <v>0.9658848614072495</v>
      </c>
      <c r="E223" s="56">
        <v>315.56</v>
      </c>
      <c r="F223">
        <v>9.7100000000000009</v>
      </c>
      <c r="G223" s="17">
        <v>46447</v>
      </c>
      <c r="H223">
        <v>26</v>
      </c>
      <c r="I223" t="s">
        <v>76</v>
      </c>
      <c r="J223">
        <f t="shared" si="12"/>
        <v>15</v>
      </c>
      <c r="K223" t="str">
        <f t="shared" si="13"/>
        <v/>
      </c>
      <c r="L223" t="str">
        <f t="shared" si="15"/>
        <v/>
      </c>
    </row>
    <row r="224" spans="1:12">
      <c r="A224" t="s">
        <v>514</v>
      </c>
      <c r="B224" t="s">
        <v>513</v>
      </c>
      <c r="C224">
        <v>2.54</v>
      </c>
      <c r="D224" s="18">
        <f t="shared" si="14"/>
        <v>0.42430703624733473</v>
      </c>
      <c r="E224" s="56">
        <v>232.39</v>
      </c>
      <c r="F224">
        <v>10.61</v>
      </c>
      <c r="G224" s="17">
        <v>46327</v>
      </c>
      <c r="H224">
        <v>22</v>
      </c>
      <c r="I224" t="s">
        <v>81</v>
      </c>
      <c r="J224">
        <f t="shared" si="12"/>
        <v>30</v>
      </c>
      <c r="K224" t="str">
        <f t="shared" si="13"/>
        <v/>
      </c>
      <c r="L224" t="str">
        <f t="shared" si="15"/>
        <v/>
      </c>
    </row>
    <row r="225" spans="1:12">
      <c r="A225" t="s">
        <v>512</v>
      </c>
      <c r="B225" t="s">
        <v>351</v>
      </c>
      <c r="C225">
        <v>2.54</v>
      </c>
      <c r="D225" s="18">
        <f t="shared" si="14"/>
        <v>0.42430703624733473</v>
      </c>
      <c r="E225" s="56">
        <v>479.63</v>
      </c>
      <c r="F225">
        <v>16.37</v>
      </c>
      <c r="G225" s="17">
        <v>47484</v>
      </c>
      <c r="H225">
        <v>60</v>
      </c>
      <c r="I225" t="s">
        <v>84</v>
      </c>
      <c r="J225">
        <f t="shared" si="12"/>
        <v>0</v>
      </c>
      <c r="K225" t="str">
        <f t="shared" si="13"/>
        <v/>
      </c>
      <c r="L225" t="str">
        <f t="shared" si="15"/>
        <v/>
      </c>
    </row>
    <row r="226" spans="1:12">
      <c r="A226" t="s">
        <v>511</v>
      </c>
      <c r="B226" t="s">
        <v>288</v>
      </c>
      <c r="C226">
        <v>2.09</v>
      </c>
      <c r="D226" s="18">
        <f t="shared" si="14"/>
        <v>0.16844349680170576</v>
      </c>
      <c r="E226" s="56">
        <v>238.82</v>
      </c>
      <c r="F226">
        <v>7.31</v>
      </c>
      <c r="G226" s="17">
        <v>47604</v>
      </c>
      <c r="H226">
        <v>64</v>
      </c>
      <c r="I226" t="s">
        <v>81</v>
      </c>
      <c r="J226">
        <f t="shared" si="12"/>
        <v>50</v>
      </c>
      <c r="K226" t="str">
        <f t="shared" si="13"/>
        <v>Close</v>
      </c>
      <c r="L226" t="str">
        <f t="shared" si="15"/>
        <v>Wave 1</v>
      </c>
    </row>
    <row r="227" spans="1:12">
      <c r="A227" t="s">
        <v>510</v>
      </c>
      <c r="B227" t="s">
        <v>509</v>
      </c>
      <c r="C227">
        <v>2.67</v>
      </c>
      <c r="D227" s="18">
        <f t="shared" si="14"/>
        <v>0.54157782515991471</v>
      </c>
      <c r="E227" s="56">
        <v>444.34</v>
      </c>
      <c r="F227">
        <v>12.09</v>
      </c>
      <c r="G227" s="17">
        <v>47088</v>
      </c>
      <c r="H227">
        <v>47</v>
      </c>
      <c r="I227" t="s">
        <v>81</v>
      </c>
      <c r="J227">
        <f t="shared" si="12"/>
        <v>10</v>
      </c>
      <c r="K227" t="str">
        <f t="shared" si="13"/>
        <v/>
      </c>
      <c r="L227" t="str">
        <f t="shared" si="15"/>
        <v/>
      </c>
    </row>
    <row r="228" spans="1:12">
      <c r="A228" t="s">
        <v>508</v>
      </c>
      <c r="B228" t="s">
        <v>507</v>
      </c>
      <c r="C228">
        <v>3.04</v>
      </c>
      <c r="D228" s="18">
        <f t="shared" si="14"/>
        <v>0.78251599147121531</v>
      </c>
      <c r="E228" s="56">
        <v>369.96</v>
      </c>
      <c r="F228">
        <v>8.43</v>
      </c>
      <c r="G228" s="17">
        <v>46813</v>
      </c>
      <c r="H228">
        <v>38</v>
      </c>
      <c r="I228" t="s">
        <v>81</v>
      </c>
      <c r="J228">
        <f t="shared" si="12"/>
        <v>10</v>
      </c>
      <c r="K228" t="str">
        <f t="shared" si="13"/>
        <v/>
      </c>
      <c r="L228" t="str">
        <f t="shared" si="15"/>
        <v/>
      </c>
    </row>
    <row r="229" spans="1:12">
      <c r="A229" t="s">
        <v>506</v>
      </c>
      <c r="B229" t="s">
        <v>201</v>
      </c>
      <c r="C229">
        <v>2.25</v>
      </c>
      <c r="D229" s="18">
        <f t="shared" si="14"/>
        <v>0.22601279317697229</v>
      </c>
      <c r="E229" s="56">
        <v>80.11</v>
      </c>
      <c r="F229">
        <v>13.81</v>
      </c>
      <c r="G229" s="17">
        <v>46722</v>
      </c>
      <c r="H229">
        <v>35</v>
      </c>
      <c r="I229" t="s">
        <v>76</v>
      </c>
      <c r="J229">
        <f t="shared" si="12"/>
        <v>55</v>
      </c>
      <c r="K229" t="str">
        <f t="shared" si="13"/>
        <v>Close</v>
      </c>
      <c r="L229" t="str">
        <f t="shared" si="15"/>
        <v>Wave 1</v>
      </c>
    </row>
    <row r="230" spans="1:12">
      <c r="A230" t="s">
        <v>505</v>
      </c>
      <c r="B230" t="s">
        <v>354</v>
      </c>
      <c r="C230">
        <v>2.63</v>
      </c>
      <c r="D230" s="18">
        <f t="shared" si="14"/>
        <v>0.50533049040511724</v>
      </c>
      <c r="E230" s="56">
        <v>268.45</v>
      </c>
      <c r="F230">
        <v>5.6</v>
      </c>
      <c r="G230" s="17">
        <v>46174</v>
      </c>
      <c r="H230">
        <v>17</v>
      </c>
      <c r="I230" t="s">
        <v>76</v>
      </c>
      <c r="J230">
        <f t="shared" si="12"/>
        <v>25</v>
      </c>
      <c r="K230" t="str">
        <f t="shared" si="13"/>
        <v/>
      </c>
      <c r="L230" t="str">
        <f t="shared" si="15"/>
        <v/>
      </c>
    </row>
    <row r="231" spans="1:12">
      <c r="A231" t="s">
        <v>504</v>
      </c>
      <c r="B231" t="s">
        <v>171</v>
      </c>
      <c r="C231">
        <v>3.06</v>
      </c>
      <c r="D231" s="18">
        <f t="shared" si="14"/>
        <v>0.79104477611940294</v>
      </c>
      <c r="E231" s="56">
        <v>422.64</v>
      </c>
      <c r="F231">
        <v>14.29</v>
      </c>
      <c r="G231" s="17">
        <v>47880</v>
      </c>
      <c r="H231">
        <v>73</v>
      </c>
      <c r="I231" t="s">
        <v>84</v>
      </c>
      <c r="J231">
        <f t="shared" si="12"/>
        <v>0</v>
      </c>
      <c r="K231" t="str">
        <f t="shared" si="13"/>
        <v/>
      </c>
      <c r="L231" t="str">
        <f t="shared" si="15"/>
        <v/>
      </c>
    </row>
    <row r="232" spans="1:12">
      <c r="A232" t="s">
        <v>503</v>
      </c>
      <c r="B232" t="s">
        <v>502</v>
      </c>
      <c r="C232">
        <v>2.59</v>
      </c>
      <c r="D232" s="18">
        <f t="shared" si="14"/>
        <v>0.46268656716417911</v>
      </c>
      <c r="E232" s="56">
        <v>511.05</v>
      </c>
      <c r="F232">
        <v>10.37</v>
      </c>
      <c r="G232" s="17">
        <v>48061</v>
      </c>
      <c r="H232">
        <v>79</v>
      </c>
      <c r="I232" t="s">
        <v>76</v>
      </c>
      <c r="J232">
        <f t="shared" si="12"/>
        <v>5</v>
      </c>
      <c r="K232" t="str">
        <f t="shared" si="13"/>
        <v/>
      </c>
      <c r="L232" t="str">
        <f t="shared" si="15"/>
        <v/>
      </c>
    </row>
    <row r="233" spans="1:12">
      <c r="A233" t="s">
        <v>501</v>
      </c>
      <c r="B233" t="s">
        <v>500</v>
      </c>
      <c r="C233">
        <v>2.37</v>
      </c>
      <c r="D233" s="18">
        <f t="shared" si="14"/>
        <v>0.30703624733475482</v>
      </c>
      <c r="E233" s="56">
        <v>416.23</v>
      </c>
      <c r="F233">
        <v>11.59</v>
      </c>
      <c r="G233" s="17">
        <v>46844</v>
      </c>
      <c r="H233">
        <v>39</v>
      </c>
      <c r="I233" t="s">
        <v>81</v>
      </c>
      <c r="J233">
        <f t="shared" si="12"/>
        <v>10</v>
      </c>
      <c r="K233" t="str">
        <f t="shared" si="13"/>
        <v/>
      </c>
      <c r="L233" t="str">
        <f t="shared" si="15"/>
        <v/>
      </c>
    </row>
    <row r="234" spans="1:12">
      <c r="A234" t="s">
        <v>499</v>
      </c>
      <c r="B234" t="s">
        <v>230</v>
      </c>
      <c r="C234">
        <v>3.2</v>
      </c>
      <c r="D234" s="18">
        <f t="shared" si="14"/>
        <v>0.8571428571428571</v>
      </c>
      <c r="E234" s="56">
        <v>278.47000000000003</v>
      </c>
      <c r="F234">
        <v>14.97</v>
      </c>
      <c r="G234" s="17">
        <v>46296</v>
      </c>
      <c r="H234">
        <v>21</v>
      </c>
      <c r="I234" t="s">
        <v>84</v>
      </c>
      <c r="J234">
        <f t="shared" si="12"/>
        <v>20</v>
      </c>
      <c r="K234" t="str">
        <f t="shared" si="13"/>
        <v/>
      </c>
      <c r="L234" t="str">
        <f t="shared" si="15"/>
        <v/>
      </c>
    </row>
    <row r="235" spans="1:12">
      <c r="A235" t="s">
        <v>498</v>
      </c>
      <c r="B235" t="s">
        <v>497</v>
      </c>
      <c r="C235">
        <v>2.71</v>
      </c>
      <c r="D235" s="18">
        <f t="shared" si="14"/>
        <v>0.56716417910447758</v>
      </c>
      <c r="E235" s="56">
        <v>364.77</v>
      </c>
      <c r="F235">
        <v>17.75</v>
      </c>
      <c r="G235" s="17">
        <v>47119</v>
      </c>
      <c r="H235">
        <v>48</v>
      </c>
      <c r="I235" t="s">
        <v>81</v>
      </c>
      <c r="J235">
        <f t="shared" si="12"/>
        <v>10</v>
      </c>
      <c r="K235" t="str">
        <f t="shared" si="13"/>
        <v/>
      </c>
      <c r="L235" t="str">
        <f t="shared" si="15"/>
        <v/>
      </c>
    </row>
    <row r="236" spans="1:12">
      <c r="A236" t="s">
        <v>496</v>
      </c>
      <c r="B236" t="s">
        <v>495</v>
      </c>
      <c r="C236">
        <v>2.88</v>
      </c>
      <c r="D236" s="18">
        <f t="shared" si="14"/>
        <v>0.67377398720682302</v>
      </c>
      <c r="E236" s="56">
        <v>249.5</v>
      </c>
      <c r="F236">
        <v>4.96</v>
      </c>
      <c r="G236" s="17">
        <v>46143</v>
      </c>
      <c r="H236">
        <v>16</v>
      </c>
      <c r="I236" t="s">
        <v>81</v>
      </c>
      <c r="J236">
        <f t="shared" si="12"/>
        <v>40</v>
      </c>
      <c r="K236" t="str">
        <f t="shared" si="13"/>
        <v/>
      </c>
      <c r="L236" t="str">
        <f t="shared" si="15"/>
        <v/>
      </c>
    </row>
    <row r="237" spans="1:12">
      <c r="A237" t="s">
        <v>494</v>
      </c>
      <c r="B237" t="s">
        <v>493</v>
      </c>
      <c r="C237">
        <v>3.3</v>
      </c>
      <c r="D237" s="18">
        <f t="shared" si="14"/>
        <v>0.89978678038379534</v>
      </c>
      <c r="E237" s="56">
        <v>195.93</v>
      </c>
      <c r="F237">
        <v>17.12</v>
      </c>
      <c r="G237" s="17">
        <v>46327</v>
      </c>
      <c r="H237">
        <v>22</v>
      </c>
      <c r="I237" t="s">
        <v>81</v>
      </c>
      <c r="J237">
        <f t="shared" si="12"/>
        <v>30</v>
      </c>
      <c r="K237" t="str">
        <f t="shared" si="13"/>
        <v/>
      </c>
      <c r="L237" t="str">
        <f t="shared" si="15"/>
        <v/>
      </c>
    </row>
    <row r="238" spans="1:12">
      <c r="A238" t="s">
        <v>492</v>
      </c>
      <c r="B238" t="s">
        <v>491</v>
      </c>
      <c r="C238">
        <v>3.29</v>
      </c>
      <c r="D238" s="18">
        <f t="shared" si="14"/>
        <v>0.89552238805970152</v>
      </c>
      <c r="E238" s="56">
        <v>528.14</v>
      </c>
      <c r="F238">
        <v>15.11</v>
      </c>
      <c r="G238" s="17">
        <v>48396</v>
      </c>
      <c r="H238">
        <v>90</v>
      </c>
      <c r="I238" t="s">
        <v>84</v>
      </c>
      <c r="J238">
        <f t="shared" si="12"/>
        <v>0</v>
      </c>
      <c r="K238" t="str">
        <f t="shared" si="13"/>
        <v/>
      </c>
      <c r="L238" t="str">
        <f t="shared" si="15"/>
        <v/>
      </c>
    </row>
    <row r="239" spans="1:12">
      <c r="A239" t="s">
        <v>490</v>
      </c>
      <c r="B239" t="s">
        <v>262</v>
      </c>
      <c r="C239">
        <v>2.4700000000000002</v>
      </c>
      <c r="D239" s="18">
        <f t="shared" si="14"/>
        <v>0.37526652452025588</v>
      </c>
      <c r="E239" s="56">
        <v>403.03</v>
      </c>
      <c r="F239">
        <v>11.27</v>
      </c>
      <c r="G239" s="17">
        <v>47665</v>
      </c>
      <c r="H239">
        <v>66</v>
      </c>
      <c r="I239" t="s">
        <v>76</v>
      </c>
      <c r="J239">
        <f t="shared" si="12"/>
        <v>5</v>
      </c>
      <c r="K239" t="str">
        <f t="shared" si="13"/>
        <v/>
      </c>
      <c r="L239" t="str">
        <f t="shared" si="15"/>
        <v/>
      </c>
    </row>
    <row r="240" spans="1:12">
      <c r="A240" t="s">
        <v>489</v>
      </c>
      <c r="B240" t="s">
        <v>488</v>
      </c>
      <c r="C240">
        <v>2.37</v>
      </c>
      <c r="D240" s="18">
        <f t="shared" si="14"/>
        <v>0.30703624733475482</v>
      </c>
      <c r="E240" s="56">
        <v>496.81</v>
      </c>
      <c r="F240">
        <v>18.920000000000002</v>
      </c>
      <c r="G240" s="17">
        <v>46844</v>
      </c>
      <c r="H240">
        <v>39</v>
      </c>
      <c r="I240" t="s">
        <v>84</v>
      </c>
      <c r="J240">
        <f t="shared" si="12"/>
        <v>0</v>
      </c>
      <c r="K240" t="str">
        <f t="shared" si="13"/>
        <v/>
      </c>
      <c r="L240" t="str">
        <f t="shared" si="15"/>
        <v/>
      </c>
    </row>
    <row r="241" spans="1:12">
      <c r="A241" t="s">
        <v>487</v>
      </c>
      <c r="B241" t="s">
        <v>486</v>
      </c>
      <c r="C241">
        <v>2.82</v>
      </c>
      <c r="D241" s="18">
        <f t="shared" si="14"/>
        <v>0.62686567164179108</v>
      </c>
      <c r="E241" s="56">
        <v>380.2</v>
      </c>
      <c r="F241">
        <v>13.45</v>
      </c>
      <c r="G241" s="17">
        <v>46478</v>
      </c>
      <c r="H241">
        <v>27</v>
      </c>
      <c r="I241" t="s">
        <v>76</v>
      </c>
      <c r="J241">
        <f t="shared" si="12"/>
        <v>15</v>
      </c>
      <c r="K241" t="str">
        <f t="shared" si="13"/>
        <v/>
      </c>
      <c r="L241" t="str">
        <f t="shared" si="15"/>
        <v/>
      </c>
    </row>
    <row r="242" spans="1:12">
      <c r="A242" t="s">
        <v>485</v>
      </c>
      <c r="B242" t="s">
        <v>234</v>
      </c>
      <c r="C242">
        <v>2.59</v>
      </c>
      <c r="D242" s="18">
        <f t="shared" si="14"/>
        <v>0.46268656716417911</v>
      </c>
      <c r="E242" s="56">
        <v>465.65</v>
      </c>
      <c r="F242">
        <v>18.420000000000002</v>
      </c>
      <c r="G242" s="17">
        <v>46935</v>
      </c>
      <c r="H242">
        <v>42</v>
      </c>
      <c r="I242" t="s">
        <v>76</v>
      </c>
      <c r="J242">
        <f t="shared" si="12"/>
        <v>5</v>
      </c>
      <c r="K242" t="str">
        <f t="shared" si="13"/>
        <v/>
      </c>
      <c r="L242" t="str">
        <f t="shared" si="15"/>
        <v/>
      </c>
    </row>
    <row r="243" spans="1:12">
      <c r="A243" t="s">
        <v>484</v>
      </c>
      <c r="B243" t="s">
        <v>483</v>
      </c>
      <c r="C243">
        <v>1.62</v>
      </c>
      <c r="D243" s="18">
        <f t="shared" si="14"/>
        <v>3.4115138592750532E-2</v>
      </c>
      <c r="E243" s="56">
        <v>271.16000000000003</v>
      </c>
      <c r="F243">
        <v>9.93</v>
      </c>
      <c r="G243" s="17">
        <v>46905</v>
      </c>
      <c r="H243">
        <v>41</v>
      </c>
      <c r="I243" t="s">
        <v>76</v>
      </c>
      <c r="J243">
        <f t="shared" si="12"/>
        <v>45</v>
      </c>
      <c r="K243" t="str">
        <f t="shared" si="13"/>
        <v>Close</v>
      </c>
      <c r="L243" t="str">
        <f t="shared" si="15"/>
        <v>Wave 2</v>
      </c>
    </row>
    <row r="244" spans="1:12">
      <c r="A244" t="s">
        <v>482</v>
      </c>
      <c r="B244" t="s">
        <v>481</v>
      </c>
      <c r="C244">
        <v>3.36</v>
      </c>
      <c r="D244" s="18">
        <f t="shared" si="14"/>
        <v>0.91471215351812363</v>
      </c>
      <c r="E244" s="56">
        <v>372.29</v>
      </c>
      <c r="F244">
        <v>8.6999999999999993</v>
      </c>
      <c r="G244" s="17">
        <v>46844</v>
      </c>
      <c r="H244">
        <v>39</v>
      </c>
      <c r="I244" t="s">
        <v>81</v>
      </c>
      <c r="J244">
        <f t="shared" si="12"/>
        <v>10</v>
      </c>
      <c r="K244" t="str">
        <f t="shared" si="13"/>
        <v/>
      </c>
      <c r="L244" t="str">
        <f t="shared" si="15"/>
        <v/>
      </c>
    </row>
    <row r="245" spans="1:12">
      <c r="A245" t="s">
        <v>480</v>
      </c>
      <c r="B245" t="s">
        <v>479</v>
      </c>
      <c r="C245">
        <v>2.67</v>
      </c>
      <c r="D245" s="18">
        <f t="shared" si="14"/>
        <v>0.54157782515991471</v>
      </c>
      <c r="E245" s="56">
        <v>318.27</v>
      </c>
      <c r="F245">
        <v>18.11</v>
      </c>
      <c r="G245" s="17">
        <v>46296</v>
      </c>
      <c r="H245">
        <v>21</v>
      </c>
      <c r="I245" t="s">
        <v>81</v>
      </c>
      <c r="J245">
        <f t="shared" si="12"/>
        <v>30</v>
      </c>
      <c r="K245" t="str">
        <f t="shared" si="13"/>
        <v/>
      </c>
      <c r="L245" t="str">
        <f t="shared" si="15"/>
        <v/>
      </c>
    </row>
    <row r="246" spans="1:12">
      <c r="A246" t="s">
        <v>478</v>
      </c>
      <c r="B246" t="s">
        <v>477</v>
      </c>
      <c r="C246">
        <v>3.07</v>
      </c>
      <c r="D246" s="18">
        <f t="shared" si="14"/>
        <v>0.79957356076759056</v>
      </c>
      <c r="E246" s="56">
        <v>489.58</v>
      </c>
      <c r="F246">
        <v>22.34</v>
      </c>
      <c r="G246" s="17">
        <v>46935</v>
      </c>
      <c r="H246">
        <v>42</v>
      </c>
      <c r="I246" t="s">
        <v>84</v>
      </c>
      <c r="J246">
        <f t="shared" si="12"/>
        <v>0</v>
      </c>
      <c r="K246" t="str">
        <f t="shared" si="13"/>
        <v/>
      </c>
      <c r="L246" t="str">
        <f t="shared" si="15"/>
        <v/>
      </c>
    </row>
    <row r="247" spans="1:12">
      <c r="A247" t="s">
        <v>476</v>
      </c>
      <c r="B247" t="s">
        <v>268</v>
      </c>
      <c r="C247">
        <v>2.0099999999999998</v>
      </c>
      <c r="D247" s="18">
        <f t="shared" si="14"/>
        <v>0.14072494669509594</v>
      </c>
      <c r="E247" s="56">
        <v>265.2</v>
      </c>
      <c r="F247">
        <v>15.45</v>
      </c>
      <c r="G247" s="17">
        <v>46844</v>
      </c>
      <c r="H247">
        <v>39</v>
      </c>
      <c r="I247" t="s">
        <v>76</v>
      </c>
      <c r="J247">
        <f t="shared" si="12"/>
        <v>45</v>
      </c>
      <c r="K247" t="str">
        <f t="shared" si="13"/>
        <v>Close</v>
      </c>
      <c r="L247" t="str">
        <f t="shared" si="15"/>
        <v>Wave 2</v>
      </c>
    </row>
    <row r="248" spans="1:12">
      <c r="A248" t="s">
        <v>475</v>
      </c>
      <c r="B248" t="s">
        <v>474</v>
      </c>
      <c r="C248">
        <v>3.37</v>
      </c>
      <c r="D248" s="18">
        <f t="shared" si="14"/>
        <v>0.91684434968017059</v>
      </c>
      <c r="E248" s="56">
        <v>416.54</v>
      </c>
      <c r="F248">
        <v>16.61</v>
      </c>
      <c r="G248" s="17">
        <v>46874</v>
      </c>
      <c r="H248">
        <v>40</v>
      </c>
      <c r="I248" t="s">
        <v>76</v>
      </c>
      <c r="J248">
        <f t="shared" si="12"/>
        <v>5</v>
      </c>
      <c r="K248" t="str">
        <f t="shared" si="13"/>
        <v/>
      </c>
      <c r="L248" t="str">
        <f t="shared" si="15"/>
        <v/>
      </c>
    </row>
    <row r="249" spans="1:12">
      <c r="A249" t="s">
        <v>473</v>
      </c>
      <c r="B249" t="s">
        <v>472</v>
      </c>
      <c r="C249">
        <v>2.34</v>
      </c>
      <c r="D249" s="18">
        <f t="shared" si="14"/>
        <v>0.28997867803837951</v>
      </c>
      <c r="E249" s="56">
        <v>397.43</v>
      </c>
      <c r="F249">
        <v>10.47</v>
      </c>
      <c r="G249" s="17">
        <v>46661</v>
      </c>
      <c r="H249">
        <v>33</v>
      </c>
      <c r="I249" t="s">
        <v>76</v>
      </c>
      <c r="J249">
        <f t="shared" si="12"/>
        <v>15</v>
      </c>
      <c r="K249" t="str">
        <f t="shared" si="13"/>
        <v/>
      </c>
      <c r="L249" t="str">
        <f t="shared" si="15"/>
        <v/>
      </c>
    </row>
    <row r="250" spans="1:12">
      <c r="A250" t="s">
        <v>471</v>
      </c>
      <c r="B250" t="s">
        <v>470</v>
      </c>
      <c r="C250">
        <v>2.6</v>
      </c>
      <c r="D250" s="18">
        <f t="shared" si="14"/>
        <v>0.47761194029850745</v>
      </c>
      <c r="E250" s="56">
        <v>280.29000000000002</v>
      </c>
      <c r="F250">
        <v>6.64</v>
      </c>
      <c r="G250" s="17">
        <v>45962</v>
      </c>
      <c r="H250">
        <v>10</v>
      </c>
      <c r="I250" t="s">
        <v>76</v>
      </c>
      <c r="J250">
        <f t="shared" si="12"/>
        <v>25</v>
      </c>
      <c r="K250" t="str">
        <f t="shared" si="13"/>
        <v/>
      </c>
      <c r="L250" t="str">
        <f t="shared" si="15"/>
        <v/>
      </c>
    </row>
    <row r="251" spans="1:12">
      <c r="A251" t="s">
        <v>469</v>
      </c>
      <c r="B251" t="s">
        <v>468</v>
      </c>
      <c r="C251">
        <v>1.89</v>
      </c>
      <c r="D251" s="18">
        <f t="shared" si="14"/>
        <v>0.10874200426439233</v>
      </c>
      <c r="E251" s="56">
        <v>185.18</v>
      </c>
      <c r="F251">
        <v>11.58</v>
      </c>
      <c r="G251" s="17">
        <v>47696</v>
      </c>
      <c r="H251">
        <v>67</v>
      </c>
      <c r="I251" t="s">
        <v>76</v>
      </c>
      <c r="J251">
        <f t="shared" si="12"/>
        <v>45</v>
      </c>
      <c r="K251" t="str">
        <f t="shared" si="13"/>
        <v>Close</v>
      </c>
      <c r="L251" t="str">
        <f t="shared" si="15"/>
        <v>Wave 2</v>
      </c>
    </row>
    <row r="252" spans="1:12">
      <c r="A252" t="s">
        <v>467</v>
      </c>
      <c r="B252" t="s">
        <v>466</v>
      </c>
      <c r="C252">
        <v>2.57</v>
      </c>
      <c r="D252" s="18">
        <f t="shared" si="14"/>
        <v>0.45415778251599148</v>
      </c>
      <c r="E252" s="56">
        <v>451.49</v>
      </c>
      <c r="F252">
        <v>19.350000000000001</v>
      </c>
      <c r="G252" s="17">
        <v>47362</v>
      </c>
      <c r="H252">
        <v>56</v>
      </c>
      <c r="I252" t="s">
        <v>76</v>
      </c>
      <c r="J252">
        <f t="shared" si="12"/>
        <v>5</v>
      </c>
      <c r="K252" t="str">
        <f t="shared" si="13"/>
        <v/>
      </c>
      <c r="L252" t="str">
        <f t="shared" si="15"/>
        <v/>
      </c>
    </row>
    <row r="253" spans="1:12">
      <c r="A253" t="s">
        <v>465</v>
      </c>
      <c r="B253" t="s">
        <v>449</v>
      </c>
      <c r="C253">
        <v>2.5299999999999998</v>
      </c>
      <c r="D253" s="18">
        <f t="shared" si="14"/>
        <v>0.41791044776119401</v>
      </c>
      <c r="E253" s="56">
        <v>369.54</v>
      </c>
      <c r="F253">
        <v>4.2300000000000004</v>
      </c>
      <c r="G253" s="17">
        <v>46447</v>
      </c>
      <c r="H253">
        <v>26</v>
      </c>
      <c r="I253" t="s">
        <v>76</v>
      </c>
      <c r="J253">
        <f t="shared" si="12"/>
        <v>25</v>
      </c>
      <c r="K253" t="str">
        <f t="shared" si="13"/>
        <v/>
      </c>
      <c r="L253" t="str">
        <f t="shared" si="15"/>
        <v/>
      </c>
    </row>
    <row r="254" spans="1:12">
      <c r="A254" t="s">
        <v>464</v>
      </c>
      <c r="B254" t="s">
        <v>378</v>
      </c>
      <c r="C254">
        <v>2.56</v>
      </c>
      <c r="D254" s="18">
        <f t="shared" si="14"/>
        <v>0.44562899786780386</v>
      </c>
      <c r="E254" s="56">
        <v>450.68</v>
      </c>
      <c r="F254">
        <v>10.37</v>
      </c>
      <c r="G254" s="17">
        <v>49310</v>
      </c>
      <c r="H254">
        <v>120</v>
      </c>
      <c r="I254" t="s">
        <v>81</v>
      </c>
      <c r="J254">
        <f t="shared" si="12"/>
        <v>10</v>
      </c>
      <c r="K254" t="str">
        <f t="shared" si="13"/>
        <v/>
      </c>
      <c r="L254" t="str">
        <f t="shared" si="15"/>
        <v/>
      </c>
    </row>
    <row r="255" spans="1:12">
      <c r="A255" t="s">
        <v>463</v>
      </c>
      <c r="B255" t="s">
        <v>201</v>
      </c>
      <c r="C255">
        <v>2.9</v>
      </c>
      <c r="D255" s="18">
        <f t="shared" si="14"/>
        <v>0.68869936034115142</v>
      </c>
      <c r="E255" s="56">
        <v>278.8</v>
      </c>
      <c r="F255">
        <v>3.98</v>
      </c>
      <c r="G255" s="17">
        <v>46143</v>
      </c>
      <c r="H255">
        <v>16</v>
      </c>
      <c r="I255" t="s">
        <v>76</v>
      </c>
      <c r="J255">
        <f t="shared" si="12"/>
        <v>35</v>
      </c>
      <c r="K255" t="str">
        <f t="shared" si="13"/>
        <v/>
      </c>
      <c r="L255" t="str">
        <f t="shared" si="15"/>
        <v/>
      </c>
    </row>
    <row r="256" spans="1:12">
      <c r="A256" t="s">
        <v>462</v>
      </c>
      <c r="B256" t="s">
        <v>461</v>
      </c>
      <c r="C256">
        <v>2.69</v>
      </c>
      <c r="D256" s="18">
        <f t="shared" si="14"/>
        <v>0.55650319829424311</v>
      </c>
      <c r="E256" s="56">
        <v>372.56</v>
      </c>
      <c r="F256">
        <v>13.09</v>
      </c>
      <c r="G256" s="17">
        <v>46327</v>
      </c>
      <c r="H256">
        <v>22</v>
      </c>
      <c r="I256" t="s">
        <v>84</v>
      </c>
      <c r="J256">
        <f t="shared" si="12"/>
        <v>20</v>
      </c>
      <c r="K256" t="str">
        <f t="shared" si="13"/>
        <v/>
      </c>
      <c r="L256" t="str">
        <f t="shared" si="15"/>
        <v/>
      </c>
    </row>
    <row r="257" spans="1:12">
      <c r="A257" t="s">
        <v>460</v>
      </c>
      <c r="B257" t="s">
        <v>459</v>
      </c>
      <c r="C257">
        <v>3.2</v>
      </c>
      <c r="D257" s="18">
        <f t="shared" si="14"/>
        <v>0.8571428571428571</v>
      </c>
      <c r="E257" s="56">
        <v>414.46</v>
      </c>
      <c r="F257">
        <v>16.53</v>
      </c>
      <c r="G257" s="17">
        <v>46692</v>
      </c>
      <c r="H257">
        <v>34</v>
      </c>
      <c r="I257" t="s">
        <v>84</v>
      </c>
      <c r="J257">
        <f t="shared" si="12"/>
        <v>10</v>
      </c>
      <c r="K257" t="str">
        <f t="shared" si="13"/>
        <v/>
      </c>
      <c r="L257" t="str">
        <f t="shared" si="15"/>
        <v/>
      </c>
    </row>
    <row r="258" spans="1:12">
      <c r="A258" t="s">
        <v>458</v>
      </c>
      <c r="B258" t="s">
        <v>457</v>
      </c>
      <c r="C258">
        <v>2.4</v>
      </c>
      <c r="D258" s="18">
        <f t="shared" si="14"/>
        <v>0.32622601279317698</v>
      </c>
      <c r="E258" s="56">
        <v>420.96</v>
      </c>
      <c r="F258">
        <v>7.01</v>
      </c>
      <c r="G258" s="17">
        <v>47727</v>
      </c>
      <c r="H258">
        <v>68</v>
      </c>
      <c r="I258" t="s">
        <v>81</v>
      </c>
      <c r="J258">
        <f t="shared" ref="J258:J321" si="16">IF($D258&lt;=0.25,40,0)+IF($F258&lt;0,30,IF($F258&lt;2,20,IF($F258&lt;5,10,0)))+IF($H258&lt;=24,20,IF($H258&lt;=36,10,0))
+IF($I258="Low",10,IF($I258="Medium",5,0))</f>
        <v>10</v>
      </c>
      <c r="K258" t="str">
        <f t="shared" ref="K258:K321" si="17">IF(L258=$L$2, "","Close")</f>
        <v/>
      </c>
      <c r="L258" t="str">
        <f t="shared" si="15"/>
        <v/>
      </c>
    </row>
    <row r="259" spans="1:12">
      <c r="A259" t="s">
        <v>456</v>
      </c>
      <c r="B259" t="s">
        <v>455</v>
      </c>
      <c r="C259">
        <v>2.11</v>
      </c>
      <c r="D259" s="18">
        <f t="shared" ref="D259:D322" si="18">_xlfn.RANK.EQ(C259,$C$2:$C$470,1)/COUNT($C$2:$C$470)</f>
        <v>0.17057569296375266</v>
      </c>
      <c r="E259" s="56">
        <v>70.19</v>
      </c>
      <c r="F259">
        <v>10.76</v>
      </c>
      <c r="G259" s="17">
        <v>46054</v>
      </c>
      <c r="H259">
        <v>13</v>
      </c>
      <c r="I259" t="s">
        <v>81</v>
      </c>
      <c r="J259">
        <f t="shared" si="16"/>
        <v>70</v>
      </c>
      <c r="K259" t="str">
        <f t="shared" si="17"/>
        <v>Close</v>
      </c>
      <c r="L259" t="str">
        <f t="shared" si="15"/>
        <v>Wave 1</v>
      </c>
    </row>
    <row r="260" spans="1:12">
      <c r="A260" t="s">
        <v>454</v>
      </c>
      <c r="B260" t="s">
        <v>314</v>
      </c>
      <c r="C260">
        <v>2.65</v>
      </c>
      <c r="D260" s="18">
        <f t="shared" si="18"/>
        <v>0.52025586353944564</v>
      </c>
      <c r="E260" s="56">
        <v>309.51</v>
      </c>
      <c r="F260">
        <v>18.57</v>
      </c>
      <c r="G260" s="17">
        <v>48214</v>
      </c>
      <c r="H260">
        <v>84</v>
      </c>
      <c r="I260" t="s">
        <v>81</v>
      </c>
      <c r="J260">
        <f t="shared" si="16"/>
        <v>10</v>
      </c>
      <c r="K260" t="str">
        <f t="shared" si="17"/>
        <v/>
      </c>
      <c r="L260" t="str">
        <f t="shared" si="15"/>
        <v/>
      </c>
    </row>
    <row r="261" spans="1:12">
      <c r="A261" t="s">
        <v>453</v>
      </c>
      <c r="B261" t="s">
        <v>452</v>
      </c>
      <c r="C261">
        <v>3.01</v>
      </c>
      <c r="D261" s="18">
        <f t="shared" si="18"/>
        <v>0.76332622601279321</v>
      </c>
      <c r="E261" s="56">
        <v>357.92</v>
      </c>
      <c r="F261">
        <v>12.2</v>
      </c>
      <c r="G261" s="17">
        <v>49188</v>
      </c>
      <c r="H261">
        <v>116</v>
      </c>
      <c r="I261" t="s">
        <v>81</v>
      </c>
      <c r="J261">
        <f t="shared" si="16"/>
        <v>10</v>
      </c>
      <c r="K261" t="str">
        <f t="shared" si="17"/>
        <v/>
      </c>
      <c r="L261" t="str">
        <f t="shared" si="15"/>
        <v/>
      </c>
    </row>
    <row r="262" spans="1:12">
      <c r="A262" t="s">
        <v>451</v>
      </c>
      <c r="B262" t="s">
        <v>409</v>
      </c>
      <c r="C262">
        <v>3.34</v>
      </c>
      <c r="D262" s="18">
        <f t="shared" si="18"/>
        <v>0.91257995735607678</v>
      </c>
      <c r="E262" s="56">
        <v>402.05</v>
      </c>
      <c r="F262">
        <v>7.02</v>
      </c>
      <c r="G262" s="17">
        <v>47880</v>
      </c>
      <c r="H262">
        <v>73</v>
      </c>
      <c r="I262" t="s">
        <v>81</v>
      </c>
      <c r="J262">
        <f t="shared" si="16"/>
        <v>10</v>
      </c>
      <c r="K262" t="str">
        <f t="shared" si="17"/>
        <v/>
      </c>
      <c r="L262" t="str">
        <f t="shared" si="15"/>
        <v/>
      </c>
    </row>
    <row r="263" spans="1:12">
      <c r="A263" t="s">
        <v>450</v>
      </c>
      <c r="B263" t="s">
        <v>449</v>
      </c>
      <c r="C263">
        <v>3.11</v>
      </c>
      <c r="D263" s="18">
        <f t="shared" si="18"/>
        <v>0.82302771855010659</v>
      </c>
      <c r="E263" s="56">
        <v>402.08</v>
      </c>
      <c r="F263">
        <v>6.68</v>
      </c>
      <c r="G263" s="17">
        <v>49310</v>
      </c>
      <c r="H263">
        <v>120</v>
      </c>
      <c r="I263" t="s">
        <v>81</v>
      </c>
      <c r="J263">
        <f t="shared" si="16"/>
        <v>10</v>
      </c>
      <c r="K263" t="str">
        <f t="shared" si="17"/>
        <v/>
      </c>
      <c r="L263" t="str">
        <f t="shared" ref="L263:L326" si="19">IF(_xlfn.RANK.EQ($J263,$J$2:$J$470,0)&lt;=40,"Wave 1",
IF(_xlfn.RANK.EQ($J263,$J$2:$J$470,0)&lt;=70,"Wave 2",""))</f>
        <v/>
      </c>
    </row>
    <row r="264" spans="1:12">
      <c r="A264" t="s">
        <v>448</v>
      </c>
      <c r="B264" t="s">
        <v>447</v>
      </c>
      <c r="C264">
        <v>1.69</v>
      </c>
      <c r="D264" s="18">
        <f t="shared" si="18"/>
        <v>4.6908315565031986E-2</v>
      </c>
      <c r="E264" s="56">
        <v>135.16</v>
      </c>
      <c r="F264">
        <v>3.53</v>
      </c>
      <c r="G264" s="17">
        <v>47270</v>
      </c>
      <c r="H264">
        <v>53</v>
      </c>
      <c r="I264" t="s">
        <v>76</v>
      </c>
      <c r="J264">
        <f t="shared" si="16"/>
        <v>55</v>
      </c>
      <c r="K264" t="str">
        <f t="shared" si="17"/>
        <v>Close</v>
      </c>
      <c r="L264" t="str">
        <f t="shared" si="19"/>
        <v>Wave 1</v>
      </c>
    </row>
    <row r="265" spans="1:12">
      <c r="A265" t="s">
        <v>446</v>
      </c>
      <c r="B265" t="s">
        <v>411</v>
      </c>
      <c r="C265">
        <v>2.87</v>
      </c>
      <c r="D265" s="18">
        <f t="shared" si="18"/>
        <v>0.66098081023454158</v>
      </c>
      <c r="E265" s="56">
        <v>402.9</v>
      </c>
      <c r="F265">
        <v>16.079999999999998</v>
      </c>
      <c r="G265" s="17">
        <v>47027</v>
      </c>
      <c r="H265">
        <v>45</v>
      </c>
      <c r="I265" t="s">
        <v>81</v>
      </c>
      <c r="J265">
        <f t="shared" si="16"/>
        <v>10</v>
      </c>
      <c r="K265" t="str">
        <f t="shared" si="17"/>
        <v/>
      </c>
      <c r="L265" t="str">
        <f t="shared" si="19"/>
        <v/>
      </c>
    </row>
    <row r="266" spans="1:12">
      <c r="A266" t="s">
        <v>445</v>
      </c>
      <c r="B266" t="s">
        <v>345</v>
      </c>
      <c r="C266">
        <v>3.46</v>
      </c>
      <c r="D266" s="18">
        <f t="shared" si="18"/>
        <v>0.93816631130063965</v>
      </c>
      <c r="E266" s="56">
        <v>366.63</v>
      </c>
      <c r="F266">
        <v>9.24</v>
      </c>
      <c r="G266" s="17">
        <v>46327</v>
      </c>
      <c r="H266">
        <v>22</v>
      </c>
      <c r="I266" t="s">
        <v>76</v>
      </c>
      <c r="J266">
        <f t="shared" si="16"/>
        <v>25</v>
      </c>
      <c r="K266" t="str">
        <f t="shared" si="17"/>
        <v/>
      </c>
      <c r="L266" t="str">
        <f t="shared" si="19"/>
        <v/>
      </c>
    </row>
    <row r="267" spans="1:12">
      <c r="A267" t="s">
        <v>444</v>
      </c>
      <c r="B267" t="s">
        <v>443</v>
      </c>
      <c r="C267">
        <v>2.69</v>
      </c>
      <c r="D267" s="18">
        <f t="shared" si="18"/>
        <v>0.55650319829424311</v>
      </c>
      <c r="E267" s="56">
        <v>419.97</v>
      </c>
      <c r="F267">
        <v>17.329999999999998</v>
      </c>
      <c r="G267" s="17">
        <v>47300</v>
      </c>
      <c r="H267">
        <v>54</v>
      </c>
      <c r="I267" t="s">
        <v>81</v>
      </c>
      <c r="J267">
        <f t="shared" si="16"/>
        <v>10</v>
      </c>
      <c r="K267" t="str">
        <f t="shared" si="17"/>
        <v/>
      </c>
      <c r="L267" t="str">
        <f t="shared" si="19"/>
        <v/>
      </c>
    </row>
    <row r="268" spans="1:12">
      <c r="A268" t="s">
        <v>442</v>
      </c>
      <c r="B268" t="s">
        <v>354</v>
      </c>
      <c r="C268">
        <v>2.38</v>
      </c>
      <c r="D268" s="18">
        <f t="shared" si="18"/>
        <v>0.31769722814498935</v>
      </c>
      <c r="E268" s="56">
        <v>524.97</v>
      </c>
      <c r="F268">
        <v>16.5</v>
      </c>
      <c r="G268" s="17">
        <v>48549</v>
      </c>
      <c r="H268">
        <v>95</v>
      </c>
      <c r="I268" t="s">
        <v>84</v>
      </c>
      <c r="J268">
        <f t="shared" si="16"/>
        <v>0</v>
      </c>
      <c r="K268" t="str">
        <f t="shared" si="17"/>
        <v/>
      </c>
      <c r="L268" t="str">
        <f t="shared" si="19"/>
        <v/>
      </c>
    </row>
    <row r="269" spans="1:12">
      <c r="A269" t="s">
        <v>441</v>
      </c>
      <c r="B269" t="s">
        <v>272</v>
      </c>
      <c r="C269">
        <v>2.83</v>
      </c>
      <c r="D269" s="18">
        <f t="shared" si="18"/>
        <v>0.6353944562899787</v>
      </c>
      <c r="E269" s="56">
        <v>391.48</v>
      </c>
      <c r="F269">
        <v>9.6300000000000008</v>
      </c>
      <c r="G269" s="17">
        <v>47515</v>
      </c>
      <c r="H269">
        <v>61</v>
      </c>
      <c r="I269" t="s">
        <v>81</v>
      </c>
      <c r="J269">
        <f t="shared" si="16"/>
        <v>10</v>
      </c>
      <c r="K269" t="str">
        <f t="shared" si="17"/>
        <v/>
      </c>
      <c r="L269" t="str">
        <f t="shared" si="19"/>
        <v/>
      </c>
    </row>
    <row r="270" spans="1:12">
      <c r="A270" t="s">
        <v>440</v>
      </c>
      <c r="B270" t="s">
        <v>274</v>
      </c>
      <c r="C270">
        <v>2.38</v>
      </c>
      <c r="D270" s="18">
        <f t="shared" si="18"/>
        <v>0.31769722814498935</v>
      </c>
      <c r="E270" s="56">
        <v>398.18</v>
      </c>
      <c r="F270">
        <v>10.220000000000001</v>
      </c>
      <c r="G270" s="17">
        <v>47300</v>
      </c>
      <c r="H270">
        <v>54</v>
      </c>
      <c r="I270" t="s">
        <v>84</v>
      </c>
      <c r="J270">
        <f t="shared" si="16"/>
        <v>0</v>
      </c>
      <c r="K270" t="str">
        <f t="shared" si="17"/>
        <v/>
      </c>
      <c r="L270" t="str">
        <f t="shared" si="19"/>
        <v/>
      </c>
    </row>
    <row r="271" spans="1:12">
      <c r="A271" t="s">
        <v>439</v>
      </c>
      <c r="B271" t="s">
        <v>438</v>
      </c>
      <c r="C271">
        <v>3.01</v>
      </c>
      <c r="D271" s="18">
        <f t="shared" si="18"/>
        <v>0.76332622601279321</v>
      </c>
      <c r="E271" s="56">
        <v>319.81</v>
      </c>
      <c r="F271">
        <v>16.100000000000001</v>
      </c>
      <c r="G271" s="17">
        <v>46661</v>
      </c>
      <c r="H271">
        <v>33</v>
      </c>
      <c r="I271" t="s">
        <v>76</v>
      </c>
      <c r="J271">
        <f t="shared" si="16"/>
        <v>15</v>
      </c>
      <c r="K271" t="str">
        <f t="shared" si="17"/>
        <v/>
      </c>
      <c r="L271" t="str">
        <f t="shared" si="19"/>
        <v/>
      </c>
    </row>
    <row r="272" spans="1:12">
      <c r="A272" t="s">
        <v>437</v>
      </c>
      <c r="B272" t="s">
        <v>332</v>
      </c>
      <c r="C272">
        <v>2.65</v>
      </c>
      <c r="D272" s="18">
        <f t="shared" si="18"/>
        <v>0.52025586353944564</v>
      </c>
      <c r="E272" s="56">
        <v>454.41</v>
      </c>
      <c r="F272">
        <v>13.27</v>
      </c>
      <c r="G272" s="17">
        <v>48274</v>
      </c>
      <c r="H272">
        <v>86</v>
      </c>
      <c r="I272" t="s">
        <v>84</v>
      </c>
      <c r="J272">
        <f t="shared" si="16"/>
        <v>0</v>
      </c>
      <c r="K272" t="str">
        <f t="shared" si="17"/>
        <v/>
      </c>
      <c r="L272" t="str">
        <f t="shared" si="19"/>
        <v/>
      </c>
    </row>
    <row r="273" spans="1:12">
      <c r="A273" t="s">
        <v>436</v>
      </c>
      <c r="B273" t="s">
        <v>434</v>
      </c>
      <c r="C273">
        <v>3.43</v>
      </c>
      <c r="D273" s="18">
        <f t="shared" si="18"/>
        <v>0.92963752665245203</v>
      </c>
      <c r="E273" s="56">
        <v>402.41</v>
      </c>
      <c r="F273">
        <v>13.81</v>
      </c>
      <c r="G273" s="17">
        <v>47453</v>
      </c>
      <c r="H273">
        <v>59</v>
      </c>
      <c r="I273" t="s">
        <v>76</v>
      </c>
      <c r="J273">
        <f t="shared" si="16"/>
        <v>5</v>
      </c>
      <c r="K273" t="str">
        <f t="shared" si="17"/>
        <v/>
      </c>
      <c r="L273" t="str">
        <f t="shared" si="19"/>
        <v/>
      </c>
    </row>
    <row r="274" spans="1:12">
      <c r="A274" t="s">
        <v>435</v>
      </c>
      <c r="B274" t="s">
        <v>434</v>
      </c>
      <c r="C274">
        <v>2.93</v>
      </c>
      <c r="D274" s="18">
        <f t="shared" si="18"/>
        <v>0.70362473347547971</v>
      </c>
      <c r="E274" s="56">
        <v>395.71</v>
      </c>
      <c r="F274">
        <v>5.19</v>
      </c>
      <c r="G274" s="17">
        <v>46966</v>
      </c>
      <c r="H274">
        <v>43</v>
      </c>
      <c r="I274" t="s">
        <v>81</v>
      </c>
      <c r="J274">
        <f t="shared" si="16"/>
        <v>10</v>
      </c>
      <c r="K274" t="str">
        <f t="shared" si="17"/>
        <v/>
      </c>
      <c r="L274" t="str">
        <f t="shared" si="19"/>
        <v/>
      </c>
    </row>
    <row r="275" spans="1:12">
      <c r="A275" t="s">
        <v>433</v>
      </c>
      <c r="B275" t="s">
        <v>432</v>
      </c>
      <c r="C275">
        <v>2.2599999999999998</v>
      </c>
      <c r="D275" s="18">
        <f t="shared" si="18"/>
        <v>0.23667377398720682</v>
      </c>
      <c r="E275" s="56">
        <v>72.25</v>
      </c>
      <c r="F275">
        <v>16.64</v>
      </c>
      <c r="G275" s="17">
        <v>46174</v>
      </c>
      <c r="H275">
        <v>17</v>
      </c>
      <c r="I275" t="s">
        <v>76</v>
      </c>
      <c r="J275">
        <f t="shared" si="16"/>
        <v>65</v>
      </c>
      <c r="K275" t="str">
        <f t="shared" si="17"/>
        <v>Close</v>
      </c>
      <c r="L275" t="str">
        <f t="shared" si="19"/>
        <v>Wave 1</v>
      </c>
    </row>
    <row r="276" spans="1:12">
      <c r="A276" t="s">
        <v>431</v>
      </c>
      <c r="B276" t="s">
        <v>430</v>
      </c>
      <c r="C276">
        <v>2.99</v>
      </c>
      <c r="D276" s="18">
        <f t="shared" si="18"/>
        <v>0.75053304904051177</v>
      </c>
      <c r="E276" s="56">
        <v>284.98</v>
      </c>
      <c r="F276">
        <v>8.66</v>
      </c>
      <c r="G276" s="17">
        <v>46388</v>
      </c>
      <c r="H276">
        <v>24</v>
      </c>
      <c r="I276" t="s">
        <v>81</v>
      </c>
      <c r="J276">
        <f t="shared" si="16"/>
        <v>30</v>
      </c>
      <c r="K276" t="str">
        <f t="shared" si="17"/>
        <v/>
      </c>
      <c r="L276" t="str">
        <f t="shared" si="19"/>
        <v/>
      </c>
    </row>
    <row r="277" spans="1:12">
      <c r="A277" t="s">
        <v>429</v>
      </c>
      <c r="B277" t="s">
        <v>428</v>
      </c>
      <c r="C277">
        <v>3.17</v>
      </c>
      <c r="D277" s="18">
        <f t="shared" si="18"/>
        <v>0.84221748400852881</v>
      </c>
      <c r="E277" s="56">
        <v>434.06</v>
      </c>
      <c r="F277">
        <v>2.39</v>
      </c>
      <c r="G277" s="17">
        <v>46966</v>
      </c>
      <c r="H277">
        <v>43</v>
      </c>
      <c r="I277" t="s">
        <v>76</v>
      </c>
      <c r="J277">
        <f t="shared" si="16"/>
        <v>15</v>
      </c>
      <c r="K277" t="str">
        <f t="shared" si="17"/>
        <v/>
      </c>
      <c r="L277" t="str">
        <f t="shared" si="19"/>
        <v/>
      </c>
    </row>
    <row r="278" spans="1:12">
      <c r="A278" t="s">
        <v>427</v>
      </c>
      <c r="B278" t="s">
        <v>227</v>
      </c>
      <c r="C278">
        <v>2.35</v>
      </c>
      <c r="D278" s="18">
        <f t="shared" si="18"/>
        <v>0.3006396588486141</v>
      </c>
      <c r="E278" s="56">
        <v>454.41</v>
      </c>
      <c r="F278">
        <v>9.82</v>
      </c>
      <c r="G278" s="17">
        <v>49004</v>
      </c>
      <c r="H278">
        <v>110</v>
      </c>
      <c r="I278" t="s">
        <v>76</v>
      </c>
      <c r="J278">
        <f t="shared" si="16"/>
        <v>5</v>
      </c>
      <c r="K278" t="str">
        <f t="shared" si="17"/>
        <v/>
      </c>
      <c r="L278" t="str">
        <f t="shared" si="19"/>
        <v/>
      </c>
    </row>
    <row r="279" spans="1:12">
      <c r="A279" t="s">
        <v>426</v>
      </c>
      <c r="B279" t="s">
        <v>425</v>
      </c>
      <c r="C279">
        <v>2.4300000000000002</v>
      </c>
      <c r="D279" s="18">
        <f t="shared" si="18"/>
        <v>0.34115138592750532</v>
      </c>
      <c r="E279" s="56">
        <v>337.62</v>
      </c>
      <c r="F279">
        <v>14.5</v>
      </c>
      <c r="G279" s="17">
        <v>46204</v>
      </c>
      <c r="H279">
        <v>18</v>
      </c>
      <c r="I279" t="s">
        <v>81</v>
      </c>
      <c r="J279">
        <f t="shared" si="16"/>
        <v>30</v>
      </c>
      <c r="K279" t="str">
        <f t="shared" si="17"/>
        <v/>
      </c>
      <c r="L279" t="str">
        <f t="shared" si="19"/>
        <v/>
      </c>
    </row>
    <row r="280" spans="1:12">
      <c r="A280" t="s">
        <v>424</v>
      </c>
      <c r="B280" t="s">
        <v>270</v>
      </c>
      <c r="C280">
        <v>1.39</v>
      </c>
      <c r="D280" s="18">
        <f t="shared" si="18"/>
        <v>1.0660980810234541E-2</v>
      </c>
      <c r="E280" s="56">
        <v>203.7</v>
      </c>
      <c r="F280">
        <v>22.04</v>
      </c>
      <c r="G280" s="17">
        <v>46508</v>
      </c>
      <c r="H280">
        <v>28</v>
      </c>
      <c r="I280" t="s">
        <v>84</v>
      </c>
      <c r="J280">
        <f t="shared" si="16"/>
        <v>50</v>
      </c>
      <c r="K280" t="str">
        <f t="shared" si="17"/>
        <v>Close</v>
      </c>
      <c r="L280" t="str">
        <f t="shared" si="19"/>
        <v>Wave 1</v>
      </c>
    </row>
    <row r="281" spans="1:12">
      <c r="A281" t="s">
        <v>423</v>
      </c>
      <c r="B281" t="s">
        <v>106</v>
      </c>
      <c r="C281">
        <v>3.16</v>
      </c>
      <c r="D281" s="18">
        <f t="shared" si="18"/>
        <v>0.83795309168443499</v>
      </c>
      <c r="E281" s="56">
        <v>453.61</v>
      </c>
      <c r="F281">
        <v>10.92</v>
      </c>
      <c r="G281" s="17">
        <v>47453</v>
      </c>
      <c r="H281">
        <v>59</v>
      </c>
      <c r="I281" t="s">
        <v>76</v>
      </c>
      <c r="J281">
        <f t="shared" si="16"/>
        <v>5</v>
      </c>
      <c r="K281" t="str">
        <f t="shared" si="17"/>
        <v/>
      </c>
      <c r="L281" t="str">
        <f t="shared" si="19"/>
        <v/>
      </c>
    </row>
    <row r="282" spans="1:12">
      <c r="A282" t="s">
        <v>422</v>
      </c>
      <c r="B282" t="s">
        <v>421</v>
      </c>
      <c r="C282">
        <v>2.34</v>
      </c>
      <c r="D282" s="18">
        <f t="shared" si="18"/>
        <v>0.28997867803837951</v>
      </c>
      <c r="E282" s="56">
        <v>420.74</v>
      </c>
      <c r="F282">
        <v>6.62</v>
      </c>
      <c r="G282" s="17">
        <v>47818</v>
      </c>
      <c r="H282">
        <v>71</v>
      </c>
      <c r="I282" t="s">
        <v>76</v>
      </c>
      <c r="J282">
        <f t="shared" si="16"/>
        <v>5</v>
      </c>
      <c r="K282" t="str">
        <f t="shared" si="17"/>
        <v/>
      </c>
      <c r="L282" t="str">
        <f t="shared" si="19"/>
        <v/>
      </c>
    </row>
    <row r="283" spans="1:12">
      <c r="A283" t="s">
        <v>420</v>
      </c>
      <c r="B283" t="s">
        <v>419</v>
      </c>
      <c r="C283">
        <v>1.49</v>
      </c>
      <c r="D283" s="18">
        <f t="shared" si="18"/>
        <v>2.1321961620469083E-2</v>
      </c>
      <c r="E283" s="56">
        <v>196.16</v>
      </c>
      <c r="F283">
        <v>22.16</v>
      </c>
      <c r="G283" s="17">
        <v>48853</v>
      </c>
      <c r="H283">
        <v>105</v>
      </c>
      <c r="I283" t="s">
        <v>76</v>
      </c>
      <c r="J283">
        <f t="shared" si="16"/>
        <v>45</v>
      </c>
      <c r="K283" t="str">
        <f t="shared" si="17"/>
        <v>Close</v>
      </c>
      <c r="L283" t="str">
        <f t="shared" si="19"/>
        <v>Wave 2</v>
      </c>
    </row>
    <row r="284" spans="1:12">
      <c r="A284" t="s">
        <v>418</v>
      </c>
      <c r="B284" t="s">
        <v>417</v>
      </c>
      <c r="C284">
        <v>1.69</v>
      </c>
      <c r="D284" s="18">
        <f t="shared" si="18"/>
        <v>4.6908315565031986E-2</v>
      </c>
      <c r="E284" s="56">
        <v>244.06</v>
      </c>
      <c r="F284">
        <v>13.32</v>
      </c>
      <c r="G284" s="17">
        <v>47239</v>
      </c>
      <c r="H284">
        <v>52</v>
      </c>
      <c r="I284" t="s">
        <v>84</v>
      </c>
      <c r="J284">
        <f t="shared" si="16"/>
        <v>40</v>
      </c>
      <c r="K284" t="str">
        <f t="shared" si="17"/>
        <v/>
      </c>
      <c r="L284" t="str">
        <f t="shared" si="19"/>
        <v/>
      </c>
    </row>
    <row r="285" spans="1:12">
      <c r="A285" t="s">
        <v>416</v>
      </c>
      <c r="B285" t="s">
        <v>139</v>
      </c>
      <c r="C285">
        <v>2.54</v>
      </c>
      <c r="D285" s="18">
        <f t="shared" si="18"/>
        <v>0.42430703624733473</v>
      </c>
      <c r="E285" s="56">
        <v>382.76</v>
      </c>
      <c r="F285">
        <v>11.42</v>
      </c>
      <c r="G285" s="17">
        <v>47574</v>
      </c>
      <c r="H285">
        <v>63</v>
      </c>
      <c r="I285" t="s">
        <v>81</v>
      </c>
      <c r="J285">
        <f t="shared" si="16"/>
        <v>10</v>
      </c>
      <c r="K285" t="str">
        <f t="shared" si="17"/>
        <v/>
      </c>
      <c r="L285" t="str">
        <f t="shared" si="19"/>
        <v/>
      </c>
    </row>
    <row r="286" spans="1:12">
      <c r="A286" t="s">
        <v>415</v>
      </c>
      <c r="B286" t="s">
        <v>214</v>
      </c>
      <c r="C286">
        <v>3.08</v>
      </c>
      <c r="D286" s="18">
        <f t="shared" si="18"/>
        <v>0.80170575692963753</v>
      </c>
      <c r="E286" s="56">
        <v>398.43</v>
      </c>
      <c r="F286">
        <v>7.76</v>
      </c>
      <c r="G286" s="17">
        <v>47150</v>
      </c>
      <c r="H286">
        <v>49</v>
      </c>
      <c r="I286" t="s">
        <v>81</v>
      </c>
      <c r="J286">
        <f t="shared" si="16"/>
        <v>10</v>
      </c>
      <c r="K286" t="str">
        <f t="shared" si="17"/>
        <v/>
      </c>
      <c r="L286" t="str">
        <f t="shared" si="19"/>
        <v/>
      </c>
    </row>
    <row r="287" spans="1:12">
      <c r="A287" t="s">
        <v>414</v>
      </c>
      <c r="B287" t="s">
        <v>413</v>
      </c>
      <c r="C287">
        <v>2.61</v>
      </c>
      <c r="D287" s="18">
        <f t="shared" si="18"/>
        <v>0.48400852878464817</v>
      </c>
      <c r="E287" s="56">
        <v>410.53</v>
      </c>
      <c r="F287">
        <v>8.08</v>
      </c>
      <c r="G287" s="17">
        <v>47178</v>
      </c>
      <c r="H287">
        <v>50</v>
      </c>
      <c r="I287" t="s">
        <v>81</v>
      </c>
      <c r="J287">
        <f t="shared" si="16"/>
        <v>10</v>
      </c>
      <c r="K287" t="str">
        <f t="shared" si="17"/>
        <v/>
      </c>
      <c r="L287" t="str">
        <f t="shared" si="19"/>
        <v/>
      </c>
    </row>
    <row r="288" spans="1:12">
      <c r="A288" t="s">
        <v>412</v>
      </c>
      <c r="B288" t="s">
        <v>411</v>
      </c>
      <c r="C288">
        <v>2.92</v>
      </c>
      <c r="D288" s="18">
        <f t="shared" si="18"/>
        <v>0.69509594882729209</v>
      </c>
      <c r="E288" s="56">
        <v>478.37</v>
      </c>
      <c r="F288">
        <v>19.25</v>
      </c>
      <c r="G288" s="17">
        <v>46692</v>
      </c>
      <c r="H288">
        <v>34</v>
      </c>
      <c r="I288" t="s">
        <v>84</v>
      </c>
      <c r="J288">
        <f t="shared" si="16"/>
        <v>10</v>
      </c>
      <c r="K288" t="str">
        <f t="shared" si="17"/>
        <v/>
      </c>
      <c r="L288" t="str">
        <f t="shared" si="19"/>
        <v/>
      </c>
    </row>
    <row r="289" spans="1:12">
      <c r="A289" t="s">
        <v>410</v>
      </c>
      <c r="B289" t="s">
        <v>409</v>
      </c>
      <c r="C289">
        <v>2.0499999999999998</v>
      </c>
      <c r="D289" s="18">
        <f t="shared" si="18"/>
        <v>0.15565031982942432</v>
      </c>
      <c r="E289" s="56">
        <v>182.36</v>
      </c>
      <c r="F289">
        <v>11.38</v>
      </c>
      <c r="G289" s="17">
        <v>48183</v>
      </c>
      <c r="H289">
        <v>83</v>
      </c>
      <c r="I289" t="s">
        <v>76</v>
      </c>
      <c r="J289">
        <f t="shared" si="16"/>
        <v>45</v>
      </c>
      <c r="K289" t="str">
        <f t="shared" si="17"/>
        <v>Close</v>
      </c>
      <c r="L289" t="str">
        <f t="shared" si="19"/>
        <v>Wave 2</v>
      </c>
    </row>
    <row r="290" spans="1:12">
      <c r="A290" t="s">
        <v>408</v>
      </c>
      <c r="B290" t="s">
        <v>407</v>
      </c>
      <c r="C290">
        <v>1.92</v>
      </c>
      <c r="D290" s="18">
        <f t="shared" si="18"/>
        <v>0.11513859275053305</v>
      </c>
      <c r="E290" s="56">
        <v>223.65</v>
      </c>
      <c r="F290">
        <v>10.18</v>
      </c>
      <c r="G290" s="17">
        <v>49310</v>
      </c>
      <c r="H290">
        <v>120</v>
      </c>
      <c r="I290" t="s">
        <v>76</v>
      </c>
      <c r="J290">
        <f t="shared" si="16"/>
        <v>45</v>
      </c>
      <c r="K290" t="str">
        <f t="shared" si="17"/>
        <v>Close</v>
      </c>
      <c r="L290" t="str">
        <f t="shared" si="19"/>
        <v>Wave 2</v>
      </c>
    </row>
    <row r="291" spans="1:12">
      <c r="A291" t="s">
        <v>406</v>
      </c>
      <c r="B291" t="s">
        <v>390</v>
      </c>
      <c r="C291">
        <v>3.15</v>
      </c>
      <c r="D291" s="18">
        <f t="shared" si="18"/>
        <v>0.83368869936034118</v>
      </c>
      <c r="E291" s="56">
        <v>384.59</v>
      </c>
      <c r="F291">
        <v>10.31</v>
      </c>
      <c r="G291" s="17">
        <v>47423</v>
      </c>
      <c r="H291">
        <v>58</v>
      </c>
      <c r="I291" t="s">
        <v>81</v>
      </c>
      <c r="J291">
        <f t="shared" si="16"/>
        <v>10</v>
      </c>
      <c r="K291" t="str">
        <f t="shared" si="17"/>
        <v/>
      </c>
      <c r="L291" t="str">
        <f t="shared" si="19"/>
        <v/>
      </c>
    </row>
    <row r="292" spans="1:12">
      <c r="A292" t="s">
        <v>405</v>
      </c>
      <c r="B292" t="s">
        <v>404</v>
      </c>
      <c r="C292">
        <v>2.93</v>
      </c>
      <c r="D292" s="18">
        <f t="shared" si="18"/>
        <v>0.70362473347547971</v>
      </c>
      <c r="E292" s="56">
        <v>493.98</v>
      </c>
      <c r="F292">
        <v>19.66</v>
      </c>
      <c r="G292" s="17">
        <v>46935</v>
      </c>
      <c r="H292">
        <v>42</v>
      </c>
      <c r="I292" t="s">
        <v>84</v>
      </c>
      <c r="J292">
        <f t="shared" si="16"/>
        <v>0</v>
      </c>
      <c r="K292" t="str">
        <f t="shared" si="17"/>
        <v/>
      </c>
      <c r="L292" t="str">
        <f t="shared" si="19"/>
        <v/>
      </c>
    </row>
    <row r="293" spans="1:12">
      <c r="A293" t="s">
        <v>403</v>
      </c>
      <c r="B293" t="s">
        <v>402</v>
      </c>
      <c r="C293">
        <v>2.64</v>
      </c>
      <c r="D293" s="18">
        <f t="shared" si="18"/>
        <v>0.51599147121535183</v>
      </c>
      <c r="E293" s="56">
        <v>401.72</v>
      </c>
      <c r="F293">
        <v>9.9499999999999993</v>
      </c>
      <c r="G293" s="17">
        <v>46631</v>
      </c>
      <c r="H293">
        <v>32</v>
      </c>
      <c r="I293" t="s">
        <v>81</v>
      </c>
      <c r="J293">
        <f t="shared" si="16"/>
        <v>20</v>
      </c>
      <c r="K293" t="str">
        <f t="shared" si="17"/>
        <v/>
      </c>
      <c r="L293" t="str">
        <f t="shared" si="19"/>
        <v/>
      </c>
    </row>
    <row r="294" spans="1:12">
      <c r="A294" t="s">
        <v>401</v>
      </c>
      <c r="B294" t="s">
        <v>400</v>
      </c>
      <c r="C294">
        <v>3.37</v>
      </c>
      <c r="D294" s="18">
        <f t="shared" si="18"/>
        <v>0.91684434968017059</v>
      </c>
      <c r="E294" s="56">
        <v>358.48</v>
      </c>
      <c r="F294">
        <v>15.43</v>
      </c>
      <c r="G294" s="17">
        <v>46478</v>
      </c>
      <c r="H294">
        <v>27</v>
      </c>
      <c r="I294" t="s">
        <v>76</v>
      </c>
      <c r="J294">
        <f t="shared" si="16"/>
        <v>15</v>
      </c>
      <c r="K294" t="str">
        <f t="shared" si="17"/>
        <v/>
      </c>
      <c r="L294" t="str">
        <f t="shared" si="19"/>
        <v/>
      </c>
    </row>
    <row r="295" spans="1:12">
      <c r="A295" t="s">
        <v>399</v>
      </c>
      <c r="B295" t="s">
        <v>398</v>
      </c>
      <c r="C295">
        <v>2.14</v>
      </c>
      <c r="D295" s="18">
        <f t="shared" si="18"/>
        <v>0.17484008528784648</v>
      </c>
      <c r="E295" s="56">
        <v>187.57</v>
      </c>
      <c r="F295">
        <v>13.8</v>
      </c>
      <c r="G295" s="17">
        <v>48092</v>
      </c>
      <c r="H295">
        <v>80</v>
      </c>
      <c r="I295" t="s">
        <v>81</v>
      </c>
      <c r="J295">
        <f t="shared" si="16"/>
        <v>50</v>
      </c>
      <c r="K295" t="str">
        <f t="shared" si="17"/>
        <v>Close</v>
      </c>
      <c r="L295" t="str">
        <f t="shared" si="19"/>
        <v>Wave 1</v>
      </c>
    </row>
    <row r="296" spans="1:12">
      <c r="A296" t="s">
        <v>397</v>
      </c>
      <c r="B296" t="s">
        <v>396</v>
      </c>
      <c r="C296">
        <v>2.4300000000000002</v>
      </c>
      <c r="D296" s="18">
        <f t="shared" si="18"/>
        <v>0.34115138592750532</v>
      </c>
      <c r="E296" s="56">
        <v>453.55</v>
      </c>
      <c r="F296">
        <v>13.68</v>
      </c>
      <c r="G296" s="17">
        <v>46905</v>
      </c>
      <c r="H296">
        <v>41</v>
      </c>
      <c r="I296" t="s">
        <v>84</v>
      </c>
      <c r="J296">
        <f t="shared" si="16"/>
        <v>0</v>
      </c>
      <c r="K296" t="str">
        <f t="shared" si="17"/>
        <v/>
      </c>
      <c r="L296" t="str">
        <f t="shared" si="19"/>
        <v/>
      </c>
    </row>
    <row r="297" spans="1:12">
      <c r="A297" t="s">
        <v>395</v>
      </c>
      <c r="B297" t="s">
        <v>280</v>
      </c>
      <c r="C297">
        <v>3.22</v>
      </c>
      <c r="D297" s="18">
        <f t="shared" si="18"/>
        <v>0.86993603411513865</v>
      </c>
      <c r="E297" s="56">
        <v>332.28</v>
      </c>
      <c r="F297">
        <v>8.65</v>
      </c>
      <c r="G297" s="17">
        <v>46082</v>
      </c>
      <c r="H297">
        <v>14</v>
      </c>
      <c r="I297" t="s">
        <v>76</v>
      </c>
      <c r="J297">
        <f t="shared" si="16"/>
        <v>25</v>
      </c>
      <c r="K297" t="str">
        <f t="shared" si="17"/>
        <v/>
      </c>
      <c r="L297" t="str">
        <f t="shared" si="19"/>
        <v/>
      </c>
    </row>
    <row r="298" spans="1:12">
      <c r="A298" t="s">
        <v>394</v>
      </c>
      <c r="B298" t="s">
        <v>343</v>
      </c>
      <c r="C298">
        <v>3.67</v>
      </c>
      <c r="D298" s="18">
        <f t="shared" si="18"/>
        <v>0.97654584221748397</v>
      </c>
      <c r="E298" s="56">
        <v>391.03</v>
      </c>
      <c r="F298">
        <v>15.56</v>
      </c>
      <c r="G298" s="17">
        <v>47362</v>
      </c>
      <c r="H298">
        <v>56</v>
      </c>
      <c r="I298" t="s">
        <v>76</v>
      </c>
      <c r="J298">
        <f t="shared" si="16"/>
        <v>5</v>
      </c>
      <c r="K298" t="str">
        <f t="shared" si="17"/>
        <v/>
      </c>
      <c r="L298" t="str">
        <f t="shared" si="19"/>
        <v/>
      </c>
    </row>
    <row r="299" spans="1:12">
      <c r="A299" t="s">
        <v>393</v>
      </c>
      <c r="B299" t="s">
        <v>392</v>
      </c>
      <c r="C299">
        <v>2.66</v>
      </c>
      <c r="D299" s="18">
        <f t="shared" si="18"/>
        <v>0.53304904051172708</v>
      </c>
      <c r="E299" s="56">
        <v>474.95</v>
      </c>
      <c r="F299">
        <v>19.84</v>
      </c>
      <c r="G299" s="17">
        <v>46997</v>
      </c>
      <c r="H299">
        <v>44</v>
      </c>
      <c r="I299" t="s">
        <v>76</v>
      </c>
      <c r="J299">
        <f t="shared" si="16"/>
        <v>5</v>
      </c>
      <c r="K299" t="str">
        <f t="shared" si="17"/>
        <v/>
      </c>
      <c r="L299" t="str">
        <f t="shared" si="19"/>
        <v/>
      </c>
    </row>
    <row r="300" spans="1:12">
      <c r="A300" t="s">
        <v>391</v>
      </c>
      <c r="B300" t="s">
        <v>390</v>
      </c>
      <c r="C300">
        <v>3.58</v>
      </c>
      <c r="D300" s="18">
        <f t="shared" si="18"/>
        <v>0.95522388059701491</v>
      </c>
      <c r="E300" s="56">
        <v>388.55</v>
      </c>
      <c r="F300">
        <v>12.37</v>
      </c>
      <c r="G300" s="17">
        <v>47604</v>
      </c>
      <c r="H300">
        <v>64</v>
      </c>
      <c r="I300" t="s">
        <v>81</v>
      </c>
      <c r="J300">
        <f t="shared" si="16"/>
        <v>10</v>
      </c>
      <c r="K300" t="str">
        <f t="shared" si="17"/>
        <v/>
      </c>
      <c r="L300" t="str">
        <f t="shared" si="19"/>
        <v/>
      </c>
    </row>
    <row r="301" spans="1:12">
      <c r="A301" t="s">
        <v>389</v>
      </c>
      <c r="B301" t="s">
        <v>388</v>
      </c>
      <c r="C301">
        <v>2.33</v>
      </c>
      <c r="D301" s="18">
        <f t="shared" si="18"/>
        <v>0.28358208955223879</v>
      </c>
      <c r="E301" s="56">
        <v>333.2</v>
      </c>
      <c r="F301">
        <v>8.4600000000000009</v>
      </c>
      <c r="G301" s="17">
        <v>46204</v>
      </c>
      <c r="H301">
        <v>18</v>
      </c>
      <c r="I301" t="s">
        <v>76</v>
      </c>
      <c r="J301">
        <f t="shared" si="16"/>
        <v>25</v>
      </c>
      <c r="K301" t="str">
        <f t="shared" si="17"/>
        <v/>
      </c>
      <c r="L301" t="str">
        <f t="shared" si="19"/>
        <v/>
      </c>
    </row>
    <row r="302" spans="1:12">
      <c r="A302" t="s">
        <v>387</v>
      </c>
      <c r="B302" t="s">
        <v>354</v>
      </c>
      <c r="C302">
        <v>2.84</v>
      </c>
      <c r="D302" s="18">
        <f t="shared" si="18"/>
        <v>0.65031982942430699</v>
      </c>
      <c r="E302" s="56">
        <v>285.52999999999997</v>
      </c>
      <c r="F302">
        <v>6.79</v>
      </c>
      <c r="G302" s="17">
        <v>46692</v>
      </c>
      <c r="H302">
        <v>34</v>
      </c>
      <c r="I302" t="s">
        <v>81</v>
      </c>
      <c r="J302">
        <f t="shared" si="16"/>
        <v>20</v>
      </c>
      <c r="K302" t="str">
        <f t="shared" si="17"/>
        <v/>
      </c>
      <c r="L302" t="str">
        <f t="shared" si="19"/>
        <v/>
      </c>
    </row>
    <row r="303" spans="1:12">
      <c r="A303" t="s">
        <v>386</v>
      </c>
      <c r="B303" t="s">
        <v>154</v>
      </c>
      <c r="C303">
        <v>2.56</v>
      </c>
      <c r="D303" s="18">
        <f t="shared" si="18"/>
        <v>0.44562899786780386</v>
      </c>
      <c r="E303" s="56">
        <v>486.46</v>
      </c>
      <c r="F303">
        <v>13.46</v>
      </c>
      <c r="G303" s="17">
        <v>47818</v>
      </c>
      <c r="H303">
        <v>71</v>
      </c>
      <c r="I303" t="s">
        <v>76</v>
      </c>
      <c r="J303">
        <f t="shared" si="16"/>
        <v>5</v>
      </c>
      <c r="K303" t="str">
        <f t="shared" si="17"/>
        <v/>
      </c>
      <c r="L303" t="str">
        <f t="shared" si="19"/>
        <v/>
      </c>
    </row>
    <row r="304" spans="1:12">
      <c r="A304" t="s">
        <v>385</v>
      </c>
      <c r="B304" t="s">
        <v>384</v>
      </c>
      <c r="C304">
        <v>1.79</v>
      </c>
      <c r="D304" s="18">
        <f t="shared" si="18"/>
        <v>6.8230277185501065E-2</v>
      </c>
      <c r="E304" s="56">
        <v>158.04</v>
      </c>
      <c r="F304">
        <v>11.38</v>
      </c>
      <c r="G304" s="17">
        <v>46539</v>
      </c>
      <c r="H304">
        <v>29</v>
      </c>
      <c r="I304" t="s">
        <v>76</v>
      </c>
      <c r="J304">
        <f t="shared" si="16"/>
        <v>55</v>
      </c>
      <c r="K304" t="str">
        <f t="shared" si="17"/>
        <v>Close</v>
      </c>
      <c r="L304" t="str">
        <f t="shared" si="19"/>
        <v>Wave 1</v>
      </c>
    </row>
    <row r="305" spans="1:12">
      <c r="A305" t="s">
        <v>383</v>
      </c>
      <c r="B305" t="s">
        <v>382</v>
      </c>
      <c r="C305">
        <v>2.8</v>
      </c>
      <c r="D305" s="18">
        <f t="shared" si="18"/>
        <v>0.61620469083155649</v>
      </c>
      <c r="E305" s="56">
        <v>441.52</v>
      </c>
      <c r="F305">
        <v>12.13</v>
      </c>
      <c r="G305" s="17">
        <v>46844</v>
      </c>
      <c r="H305">
        <v>39</v>
      </c>
      <c r="I305" t="s">
        <v>81</v>
      </c>
      <c r="J305">
        <f t="shared" si="16"/>
        <v>10</v>
      </c>
      <c r="K305" t="str">
        <f t="shared" si="17"/>
        <v/>
      </c>
      <c r="L305" t="str">
        <f t="shared" si="19"/>
        <v/>
      </c>
    </row>
    <row r="306" spans="1:12">
      <c r="A306" t="s">
        <v>381</v>
      </c>
      <c r="B306" t="s">
        <v>380</v>
      </c>
      <c r="C306">
        <v>3.17</v>
      </c>
      <c r="D306" s="18">
        <f t="shared" si="18"/>
        <v>0.84221748400852881</v>
      </c>
      <c r="E306" s="56">
        <v>369.06</v>
      </c>
      <c r="F306">
        <v>12.65</v>
      </c>
      <c r="G306" s="17">
        <v>48853</v>
      </c>
      <c r="H306">
        <v>105</v>
      </c>
      <c r="I306" t="s">
        <v>76</v>
      </c>
      <c r="J306">
        <f t="shared" si="16"/>
        <v>5</v>
      </c>
      <c r="K306" t="str">
        <f t="shared" si="17"/>
        <v/>
      </c>
      <c r="L306" t="str">
        <f t="shared" si="19"/>
        <v/>
      </c>
    </row>
    <row r="307" spans="1:12">
      <c r="A307" t="s">
        <v>379</v>
      </c>
      <c r="B307" t="s">
        <v>378</v>
      </c>
      <c r="C307">
        <v>2.58</v>
      </c>
      <c r="D307" s="18">
        <f t="shared" si="18"/>
        <v>0.4605543710021322</v>
      </c>
      <c r="E307" s="56">
        <v>417.58</v>
      </c>
      <c r="F307">
        <v>5.96</v>
      </c>
      <c r="G307" s="17">
        <v>47331</v>
      </c>
      <c r="H307">
        <v>55</v>
      </c>
      <c r="I307" t="s">
        <v>76</v>
      </c>
      <c r="J307">
        <f t="shared" si="16"/>
        <v>5</v>
      </c>
      <c r="K307" t="str">
        <f t="shared" si="17"/>
        <v/>
      </c>
      <c r="L307" t="str">
        <f t="shared" si="19"/>
        <v/>
      </c>
    </row>
    <row r="308" spans="1:12">
      <c r="A308" t="s">
        <v>377</v>
      </c>
      <c r="B308" t="s">
        <v>368</v>
      </c>
      <c r="C308">
        <v>2.62</v>
      </c>
      <c r="D308" s="18">
        <f t="shared" si="18"/>
        <v>0.49680170575692961</v>
      </c>
      <c r="E308" s="56">
        <v>383</v>
      </c>
      <c r="F308">
        <v>16.12</v>
      </c>
      <c r="G308" s="17">
        <v>47880</v>
      </c>
      <c r="H308">
        <v>73</v>
      </c>
      <c r="I308" t="s">
        <v>81</v>
      </c>
      <c r="J308">
        <f t="shared" si="16"/>
        <v>10</v>
      </c>
      <c r="K308" t="str">
        <f t="shared" si="17"/>
        <v/>
      </c>
      <c r="L308" t="str">
        <f t="shared" si="19"/>
        <v/>
      </c>
    </row>
    <row r="309" spans="1:12">
      <c r="A309" t="s">
        <v>376</v>
      </c>
      <c r="B309" t="s">
        <v>375</v>
      </c>
      <c r="C309">
        <v>3.43</v>
      </c>
      <c r="D309" s="18">
        <f t="shared" si="18"/>
        <v>0.92963752665245203</v>
      </c>
      <c r="E309" s="56">
        <v>449.71</v>
      </c>
      <c r="F309">
        <v>13.65</v>
      </c>
      <c r="G309" s="17">
        <v>47727</v>
      </c>
      <c r="H309">
        <v>68</v>
      </c>
      <c r="I309" t="s">
        <v>76</v>
      </c>
      <c r="J309">
        <f t="shared" si="16"/>
        <v>5</v>
      </c>
      <c r="K309" t="str">
        <f t="shared" si="17"/>
        <v/>
      </c>
      <c r="L309" t="str">
        <f t="shared" si="19"/>
        <v/>
      </c>
    </row>
    <row r="310" spans="1:12">
      <c r="A310" t="s">
        <v>374</v>
      </c>
      <c r="B310" t="s">
        <v>236</v>
      </c>
      <c r="C310">
        <v>1.97</v>
      </c>
      <c r="D310" s="18">
        <f t="shared" si="18"/>
        <v>0.1279317697228145</v>
      </c>
      <c r="E310" s="56">
        <v>175.64</v>
      </c>
      <c r="F310">
        <v>12.26</v>
      </c>
      <c r="G310" s="17">
        <v>47635</v>
      </c>
      <c r="H310">
        <v>65</v>
      </c>
      <c r="I310" t="s">
        <v>76</v>
      </c>
      <c r="J310">
        <f t="shared" si="16"/>
        <v>45</v>
      </c>
      <c r="K310" t="str">
        <f t="shared" si="17"/>
        <v>Close</v>
      </c>
      <c r="L310" t="str">
        <f t="shared" si="19"/>
        <v>Wave 2</v>
      </c>
    </row>
    <row r="311" spans="1:12">
      <c r="A311" t="s">
        <v>373</v>
      </c>
      <c r="B311" t="s">
        <v>372</v>
      </c>
      <c r="C311">
        <v>1.84</v>
      </c>
      <c r="D311" s="18">
        <f t="shared" si="18"/>
        <v>8.1023454157782518E-2</v>
      </c>
      <c r="E311" s="56">
        <v>151.94999999999999</v>
      </c>
      <c r="F311">
        <v>13.64</v>
      </c>
      <c r="G311" s="17">
        <v>49310</v>
      </c>
      <c r="H311">
        <v>120</v>
      </c>
      <c r="I311" t="s">
        <v>76</v>
      </c>
      <c r="J311">
        <f t="shared" si="16"/>
        <v>45</v>
      </c>
      <c r="K311" t="str">
        <f t="shared" si="17"/>
        <v>Close</v>
      </c>
      <c r="L311" t="str">
        <f t="shared" si="19"/>
        <v>Wave 2</v>
      </c>
    </row>
    <row r="312" spans="1:12">
      <c r="A312" t="s">
        <v>371</v>
      </c>
      <c r="B312" t="s">
        <v>234</v>
      </c>
      <c r="C312">
        <v>2.2999999999999998</v>
      </c>
      <c r="D312" s="18">
        <f t="shared" si="18"/>
        <v>0.26012793176972282</v>
      </c>
      <c r="E312" s="56">
        <v>478.66</v>
      </c>
      <c r="F312">
        <v>16.77</v>
      </c>
      <c r="G312" s="17">
        <v>46905</v>
      </c>
      <c r="H312">
        <v>41</v>
      </c>
      <c r="I312" t="s">
        <v>84</v>
      </c>
      <c r="J312">
        <f t="shared" si="16"/>
        <v>0</v>
      </c>
      <c r="K312" t="str">
        <f t="shared" si="17"/>
        <v/>
      </c>
      <c r="L312" t="str">
        <f t="shared" si="19"/>
        <v/>
      </c>
    </row>
    <row r="313" spans="1:12">
      <c r="A313" t="s">
        <v>370</v>
      </c>
      <c r="B313" t="s">
        <v>191</v>
      </c>
      <c r="C313">
        <v>2</v>
      </c>
      <c r="D313" s="18">
        <f t="shared" si="18"/>
        <v>0.13432835820895522</v>
      </c>
      <c r="E313" s="56">
        <v>59.18</v>
      </c>
      <c r="F313">
        <v>12.84</v>
      </c>
      <c r="G313" s="17">
        <v>46174</v>
      </c>
      <c r="H313">
        <v>17</v>
      </c>
      <c r="I313" t="s">
        <v>76</v>
      </c>
      <c r="J313">
        <f t="shared" si="16"/>
        <v>65</v>
      </c>
      <c r="K313" t="str">
        <f t="shared" si="17"/>
        <v>Close</v>
      </c>
      <c r="L313" t="str">
        <f t="shared" si="19"/>
        <v>Wave 1</v>
      </c>
    </row>
    <row r="314" spans="1:12">
      <c r="A314" t="s">
        <v>369</v>
      </c>
      <c r="B314" t="s">
        <v>368</v>
      </c>
      <c r="C314">
        <v>3.4</v>
      </c>
      <c r="D314" s="18">
        <f t="shared" si="18"/>
        <v>0.92537313432835822</v>
      </c>
      <c r="E314" s="56">
        <v>498.92</v>
      </c>
      <c r="F314">
        <v>8.77</v>
      </c>
      <c r="G314" s="17">
        <v>47150</v>
      </c>
      <c r="H314">
        <v>49</v>
      </c>
      <c r="I314" t="s">
        <v>84</v>
      </c>
      <c r="J314">
        <f t="shared" si="16"/>
        <v>0</v>
      </c>
      <c r="K314" t="str">
        <f t="shared" si="17"/>
        <v/>
      </c>
      <c r="L314" t="str">
        <f t="shared" si="19"/>
        <v/>
      </c>
    </row>
    <row r="315" spans="1:12">
      <c r="A315" t="s">
        <v>367</v>
      </c>
      <c r="B315" t="s">
        <v>366</v>
      </c>
      <c r="C315">
        <v>2.83</v>
      </c>
      <c r="D315" s="18">
        <f t="shared" si="18"/>
        <v>0.6353944562899787</v>
      </c>
      <c r="E315" s="56">
        <v>315.54000000000002</v>
      </c>
      <c r="F315">
        <v>17.850000000000001</v>
      </c>
      <c r="G315" s="17">
        <v>46600</v>
      </c>
      <c r="H315">
        <v>31</v>
      </c>
      <c r="I315" t="s">
        <v>81</v>
      </c>
      <c r="J315">
        <f t="shared" si="16"/>
        <v>20</v>
      </c>
      <c r="K315" t="str">
        <f t="shared" si="17"/>
        <v/>
      </c>
      <c r="L315" t="str">
        <f t="shared" si="19"/>
        <v/>
      </c>
    </row>
    <row r="316" spans="1:12">
      <c r="A316" t="s">
        <v>365</v>
      </c>
      <c r="B316" t="s">
        <v>364</v>
      </c>
      <c r="C316">
        <v>2.1800000000000002</v>
      </c>
      <c r="D316" s="18">
        <f t="shared" si="18"/>
        <v>0.19402985074626866</v>
      </c>
      <c r="E316" s="56">
        <v>100.85</v>
      </c>
      <c r="F316">
        <v>10.65</v>
      </c>
      <c r="G316" s="17">
        <v>46327</v>
      </c>
      <c r="H316">
        <v>22</v>
      </c>
      <c r="I316" t="s">
        <v>76</v>
      </c>
      <c r="J316">
        <f t="shared" si="16"/>
        <v>65</v>
      </c>
      <c r="K316" t="str">
        <f t="shared" si="17"/>
        <v>Close</v>
      </c>
      <c r="L316" t="str">
        <f t="shared" si="19"/>
        <v>Wave 1</v>
      </c>
    </row>
    <row r="317" spans="1:12">
      <c r="A317" t="s">
        <v>363</v>
      </c>
      <c r="B317" t="s">
        <v>362</v>
      </c>
      <c r="C317">
        <v>2.3199999999999998</v>
      </c>
      <c r="D317" s="18">
        <f t="shared" si="18"/>
        <v>0.27292110874200426</v>
      </c>
      <c r="E317" s="56">
        <v>291.47000000000003</v>
      </c>
      <c r="F317">
        <v>9.34</v>
      </c>
      <c r="G317" s="17">
        <v>47604</v>
      </c>
      <c r="H317">
        <v>64</v>
      </c>
      <c r="I317" t="s">
        <v>81</v>
      </c>
      <c r="J317">
        <f t="shared" si="16"/>
        <v>10</v>
      </c>
      <c r="K317" t="str">
        <f t="shared" si="17"/>
        <v/>
      </c>
      <c r="L317" t="str">
        <f t="shared" si="19"/>
        <v/>
      </c>
    </row>
    <row r="318" spans="1:12">
      <c r="A318" t="s">
        <v>361</v>
      </c>
      <c r="B318" t="s">
        <v>201</v>
      </c>
      <c r="C318">
        <v>4.2300000000000004</v>
      </c>
      <c r="D318" s="18">
        <f t="shared" si="18"/>
        <v>1</v>
      </c>
      <c r="E318" s="56">
        <v>365.96</v>
      </c>
      <c r="F318">
        <v>5.57</v>
      </c>
      <c r="G318" s="17">
        <v>46478</v>
      </c>
      <c r="H318">
        <v>27</v>
      </c>
      <c r="I318" t="s">
        <v>81</v>
      </c>
      <c r="J318">
        <f t="shared" si="16"/>
        <v>20</v>
      </c>
      <c r="K318" t="str">
        <f t="shared" si="17"/>
        <v/>
      </c>
      <c r="L318" t="str">
        <f t="shared" si="19"/>
        <v/>
      </c>
    </row>
    <row r="319" spans="1:12">
      <c r="A319" t="s">
        <v>360</v>
      </c>
      <c r="B319" t="s">
        <v>359</v>
      </c>
      <c r="C319">
        <v>2.3199999999999998</v>
      </c>
      <c r="D319" s="18">
        <f t="shared" si="18"/>
        <v>0.27292110874200426</v>
      </c>
      <c r="E319" s="56">
        <v>226.27</v>
      </c>
      <c r="F319">
        <v>12.64</v>
      </c>
      <c r="G319" s="17">
        <v>45901</v>
      </c>
      <c r="H319">
        <v>8</v>
      </c>
      <c r="I319" t="s">
        <v>81</v>
      </c>
      <c r="J319">
        <f t="shared" si="16"/>
        <v>30</v>
      </c>
      <c r="K319" t="str">
        <f t="shared" si="17"/>
        <v/>
      </c>
      <c r="L319" t="str">
        <f t="shared" si="19"/>
        <v/>
      </c>
    </row>
    <row r="320" spans="1:12">
      <c r="A320" t="s">
        <v>358</v>
      </c>
      <c r="B320" t="s">
        <v>307</v>
      </c>
      <c r="C320">
        <v>2.2400000000000002</v>
      </c>
      <c r="D320" s="18">
        <f t="shared" si="18"/>
        <v>0.22388059701492538</v>
      </c>
      <c r="E320" s="56">
        <v>161.31</v>
      </c>
      <c r="F320">
        <v>7.89</v>
      </c>
      <c r="G320" s="17">
        <v>47150</v>
      </c>
      <c r="H320">
        <v>49</v>
      </c>
      <c r="I320" t="s">
        <v>76</v>
      </c>
      <c r="J320">
        <f t="shared" si="16"/>
        <v>45</v>
      </c>
      <c r="K320" t="str">
        <f t="shared" si="17"/>
        <v>Close</v>
      </c>
      <c r="L320" t="str">
        <f t="shared" si="19"/>
        <v>Wave 2</v>
      </c>
    </row>
    <row r="321" spans="1:12">
      <c r="A321" t="s">
        <v>357</v>
      </c>
      <c r="B321" t="s">
        <v>356</v>
      </c>
      <c r="C321">
        <v>2.83</v>
      </c>
      <c r="D321" s="18">
        <f t="shared" si="18"/>
        <v>0.6353944562899787</v>
      </c>
      <c r="E321" s="56">
        <v>465.13</v>
      </c>
      <c r="F321">
        <v>10.26</v>
      </c>
      <c r="G321" s="17">
        <v>46935</v>
      </c>
      <c r="H321">
        <v>42</v>
      </c>
      <c r="I321" t="s">
        <v>76</v>
      </c>
      <c r="J321">
        <f t="shared" si="16"/>
        <v>5</v>
      </c>
      <c r="K321" t="str">
        <f t="shared" si="17"/>
        <v/>
      </c>
      <c r="L321" t="str">
        <f t="shared" si="19"/>
        <v/>
      </c>
    </row>
    <row r="322" spans="1:12">
      <c r="A322" t="s">
        <v>355</v>
      </c>
      <c r="B322" t="s">
        <v>354</v>
      </c>
      <c r="C322">
        <v>3.01</v>
      </c>
      <c r="D322" s="18">
        <f t="shared" si="18"/>
        <v>0.76332622601279321</v>
      </c>
      <c r="E322" s="56">
        <v>340.03</v>
      </c>
      <c r="F322">
        <v>14.62</v>
      </c>
      <c r="G322" s="17">
        <v>46753</v>
      </c>
      <c r="H322">
        <v>36</v>
      </c>
      <c r="I322" t="s">
        <v>76</v>
      </c>
      <c r="J322">
        <f t="shared" ref="J322:J385" si="20">IF($D322&lt;=0.25,40,0)+IF($F322&lt;0,30,IF($F322&lt;2,20,IF($F322&lt;5,10,0)))+IF($H322&lt;=24,20,IF($H322&lt;=36,10,0))
+IF($I322="Low",10,IF($I322="Medium",5,0))</f>
        <v>15</v>
      </c>
      <c r="K322" t="str">
        <f t="shared" ref="K322:K385" si="21">IF(L322=$L$2, "","Close")</f>
        <v/>
      </c>
      <c r="L322" t="str">
        <f t="shared" si="19"/>
        <v/>
      </c>
    </row>
    <row r="323" spans="1:12">
      <c r="A323" t="s">
        <v>353</v>
      </c>
      <c r="B323" t="s">
        <v>310</v>
      </c>
      <c r="C323">
        <v>2.78</v>
      </c>
      <c r="D323" s="18">
        <f t="shared" ref="D323:D386" si="22">_xlfn.RANK.EQ(C323,$C$2:$C$470,1)/COUNT($C$2:$C$470)</f>
        <v>0.60554371002132201</v>
      </c>
      <c r="E323" s="56">
        <v>332.3</v>
      </c>
      <c r="F323">
        <v>12.75</v>
      </c>
      <c r="G323" s="17">
        <v>46023</v>
      </c>
      <c r="H323">
        <v>12</v>
      </c>
      <c r="I323" t="s">
        <v>76</v>
      </c>
      <c r="J323">
        <f t="shared" si="20"/>
        <v>25</v>
      </c>
      <c r="K323" t="str">
        <f t="shared" si="21"/>
        <v/>
      </c>
      <c r="L323" t="str">
        <f t="shared" si="19"/>
        <v/>
      </c>
    </row>
    <row r="324" spans="1:12">
      <c r="A324" t="s">
        <v>352</v>
      </c>
      <c r="B324" t="s">
        <v>351</v>
      </c>
      <c r="C324">
        <v>2.16</v>
      </c>
      <c r="D324" s="18">
        <f t="shared" si="22"/>
        <v>0.18763326226012794</v>
      </c>
      <c r="E324" s="56">
        <v>247.1</v>
      </c>
      <c r="F324">
        <v>17.170000000000002</v>
      </c>
      <c r="G324" s="17">
        <v>47300</v>
      </c>
      <c r="H324">
        <v>54</v>
      </c>
      <c r="I324" t="s">
        <v>84</v>
      </c>
      <c r="J324">
        <f t="shared" si="20"/>
        <v>40</v>
      </c>
      <c r="K324" t="str">
        <f t="shared" si="21"/>
        <v/>
      </c>
      <c r="L324" t="str">
        <f t="shared" si="19"/>
        <v/>
      </c>
    </row>
    <row r="325" spans="1:12">
      <c r="A325" t="s">
        <v>350</v>
      </c>
      <c r="B325" t="s">
        <v>349</v>
      </c>
      <c r="C325">
        <v>2.02</v>
      </c>
      <c r="D325" s="18">
        <f t="shared" si="22"/>
        <v>0.14712153518123666</v>
      </c>
      <c r="E325" s="56">
        <v>155.62</v>
      </c>
      <c r="F325">
        <v>13.97</v>
      </c>
      <c r="G325" s="17">
        <v>48274</v>
      </c>
      <c r="H325">
        <v>86</v>
      </c>
      <c r="I325" t="s">
        <v>76</v>
      </c>
      <c r="J325">
        <f t="shared" si="20"/>
        <v>45</v>
      </c>
      <c r="K325" t="str">
        <f t="shared" si="21"/>
        <v>Close</v>
      </c>
      <c r="L325" t="str">
        <f t="shared" si="19"/>
        <v>Wave 2</v>
      </c>
    </row>
    <row r="326" spans="1:12">
      <c r="A326" t="s">
        <v>348</v>
      </c>
      <c r="B326" t="s">
        <v>347</v>
      </c>
      <c r="C326">
        <v>2.99</v>
      </c>
      <c r="D326" s="18">
        <f t="shared" si="22"/>
        <v>0.75053304904051177</v>
      </c>
      <c r="E326" s="56">
        <v>400.77</v>
      </c>
      <c r="F326">
        <v>10.78</v>
      </c>
      <c r="G326" s="17">
        <v>46296</v>
      </c>
      <c r="H326">
        <v>21</v>
      </c>
      <c r="I326" t="s">
        <v>84</v>
      </c>
      <c r="J326">
        <f t="shared" si="20"/>
        <v>20</v>
      </c>
      <c r="K326" t="str">
        <f t="shared" si="21"/>
        <v/>
      </c>
      <c r="L326" t="str">
        <f t="shared" si="19"/>
        <v/>
      </c>
    </row>
    <row r="327" spans="1:12">
      <c r="A327" t="s">
        <v>346</v>
      </c>
      <c r="B327" t="s">
        <v>345</v>
      </c>
      <c r="C327">
        <v>2.63</v>
      </c>
      <c r="D327" s="18">
        <f t="shared" si="22"/>
        <v>0.50533049040511724</v>
      </c>
      <c r="E327" s="56">
        <v>511.95</v>
      </c>
      <c r="F327">
        <v>11.12</v>
      </c>
      <c r="G327" s="17">
        <v>47178</v>
      </c>
      <c r="H327">
        <v>50</v>
      </c>
      <c r="I327" t="s">
        <v>84</v>
      </c>
      <c r="J327">
        <f t="shared" si="20"/>
        <v>0</v>
      </c>
      <c r="K327" t="str">
        <f t="shared" si="21"/>
        <v/>
      </c>
      <c r="L327" t="str">
        <f t="shared" ref="L327:L390" si="23">IF(_xlfn.RANK.EQ($J327,$J$2:$J$470,0)&lt;=40,"Wave 1",
IF(_xlfn.RANK.EQ($J327,$J$2:$J$470,0)&lt;=70,"Wave 2",""))</f>
        <v/>
      </c>
    </row>
    <row r="328" spans="1:12">
      <c r="A328" t="s">
        <v>344</v>
      </c>
      <c r="B328" t="s">
        <v>343</v>
      </c>
      <c r="C328">
        <v>1.76</v>
      </c>
      <c r="D328" s="18">
        <f t="shared" si="22"/>
        <v>5.9701492537313432E-2</v>
      </c>
      <c r="E328" s="56">
        <v>134.4</v>
      </c>
      <c r="F328">
        <v>10.32</v>
      </c>
      <c r="G328" s="17">
        <v>46692</v>
      </c>
      <c r="H328">
        <v>34</v>
      </c>
      <c r="I328" t="s">
        <v>76</v>
      </c>
      <c r="J328">
        <f t="shared" si="20"/>
        <v>55</v>
      </c>
      <c r="K328" t="str">
        <f t="shared" si="21"/>
        <v>Close</v>
      </c>
      <c r="L328" t="str">
        <f t="shared" si="23"/>
        <v>Wave 1</v>
      </c>
    </row>
    <row r="329" spans="1:12">
      <c r="A329" t="s">
        <v>342</v>
      </c>
      <c r="B329" t="s">
        <v>341</v>
      </c>
      <c r="C329">
        <v>3.3</v>
      </c>
      <c r="D329" s="18">
        <f t="shared" si="22"/>
        <v>0.89978678038379534</v>
      </c>
      <c r="E329" s="56">
        <v>336.3</v>
      </c>
      <c r="F329">
        <v>15.51</v>
      </c>
      <c r="G329" s="17">
        <v>46478</v>
      </c>
      <c r="H329">
        <v>27</v>
      </c>
      <c r="I329" t="s">
        <v>84</v>
      </c>
      <c r="J329">
        <f t="shared" si="20"/>
        <v>10</v>
      </c>
      <c r="K329" t="str">
        <f t="shared" si="21"/>
        <v/>
      </c>
      <c r="L329" t="str">
        <f t="shared" si="23"/>
        <v/>
      </c>
    </row>
    <row r="330" spans="1:12">
      <c r="A330" t="s">
        <v>340</v>
      </c>
      <c r="B330" t="s">
        <v>310</v>
      </c>
      <c r="C330">
        <v>3.09</v>
      </c>
      <c r="D330" s="18">
        <f t="shared" si="22"/>
        <v>0.8081023454157783</v>
      </c>
      <c r="E330" s="56">
        <v>404.46</v>
      </c>
      <c r="F330">
        <v>12.7</v>
      </c>
      <c r="G330" s="17">
        <v>47239</v>
      </c>
      <c r="H330">
        <v>52</v>
      </c>
      <c r="I330" t="s">
        <v>84</v>
      </c>
      <c r="J330">
        <f t="shared" si="20"/>
        <v>0</v>
      </c>
      <c r="K330" t="str">
        <f t="shared" si="21"/>
        <v/>
      </c>
      <c r="L330" t="str">
        <f t="shared" si="23"/>
        <v/>
      </c>
    </row>
    <row r="331" spans="1:12">
      <c r="A331" t="s">
        <v>339</v>
      </c>
      <c r="B331" t="s">
        <v>338</v>
      </c>
      <c r="C331">
        <v>2.5299999999999998</v>
      </c>
      <c r="D331" s="18">
        <f t="shared" si="22"/>
        <v>0.41791044776119401</v>
      </c>
      <c r="E331" s="56">
        <v>303.75</v>
      </c>
      <c r="F331">
        <v>10.75</v>
      </c>
      <c r="G331" s="17">
        <v>46174</v>
      </c>
      <c r="H331">
        <v>17</v>
      </c>
      <c r="I331" t="s">
        <v>84</v>
      </c>
      <c r="J331">
        <f t="shared" si="20"/>
        <v>20</v>
      </c>
      <c r="K331" t="str">
        <f t="shared" si="21"/>
        <v/>
      </c>
      <c r="L331" t="str">
        <f t="shared" si="23"/>
        <v/>
      </c>
    </row>
    <row r="332" spans="1:12">
      <c r="A332" t="s">
        <v>337</v>
      </c>
      <c r="B332" t="s">
        <v>336</v>
      </c>
      <c r="C332">
        <v>2.52</v>
      </c>
      <c r="D332" s="18">
        <f t="shared" si="22"/>
        <v>0.4115138592750533</v>
      </c>
      <c r="E332" s="56">
        <v>424.75</v>
      </c>
      <c r="F332">
        <v>16.399999999999999</v>
      </c>
      <c r="G332" s="17">
        <v>48153</v>
      </c>
      <c r="H332">
        <v>82</v>
      </c>
      <c r="I332" t="s">
        <v>76</v>
      </c>
      <c r="J332">
        <f t="shared" si="20"/>
        <v>5</v>
      </c>
      <c r="K332" t="str">
        <f t="shared" si="21"/>
        <v/>
      </c>
      <c r="L332" t="str">
        <f t="shared" si="23"/>
        <v/>
      </c>
    </row>
    <row r="333" spans="1:12">
      <c r="A333" t="s">
        <v>335</v>
      </c>
      <c r="B333" t="s">
        <v>334</v>
      </c>
      <c r="C333">
        <v>2.79</v>
      </c>
      <c r="D333" s="18">
        <f t="shared" si="22"/>
        <v>0.60980810234541583</v>
      </c>
      <c r="E333" s="56">
        <v>391.36</v>
      </c>
      <c r="F333">
        <v>13.03</v>
      </c>
      <c r="G333" s="17">
        <v>46784</v>
      </c>
      <c r="H333">
        <v>37</v>
      </c>
      <c r="I333" t="s">
        <v>81</v>
      </c>
      <c r="J333">
        <f t="shared" si="20"/>
        <v>10</v>
      </c>
      <c r="K333" t="str">
        <f t="shared" si="21"/>
        <v/>
      </c>
      <c r="L333" t="str">
        <f t="shared" si="23"/>
        <v/>
      </c>
    </row>
    <row r="334" spans="1:12">
      <c r="A334" t="s">
        <v>333</v>
      </c>
      <c r="B334" t="s">
        <v>332</v>
      </c>
      <c r="C334">
        <v>2.2799999999999998</v>
      </c>
      <c r="D334" s="18">
        <f t="shared" si="22"/>
        <v>0.24946695095948826</v>
      </c>
      <c r="E334" s="56">
        <v>220.78</v>
      </c>
      <c r="F334">
        <v>10.51</v>
      </c>
      <c r="G334" s="17">
        <v>47665</v>
      </c>
      <c r="H334">
        <v>66</v>
      </c>
      <c r="I334" t="s">
        <v>81</v>
      </c>
      <c r="J334">
        <f t="shared" si="20"/>
        <v>50</v>
      </c>
      <c r="K334" t="str">
        <f t="shared" si="21"/>
        <v>Close</v>
      </c>
      <c r="L334" t="str">
        <f t="shared" si="23"/>
        <v>Wave 1</v>
      </c>
    </row>
    <row r="335" spans="1:12">
      <c r="A335" t="s">
        <v>331</v>
      </c>
      <c r="B335" t="s">
        <v>330</v>
      </c>
      <c r="C335">
        <v>1.92</v>
      </c>
      <c r="D335" s="18">
        <f t="shared" si="22"/>
        <v>0.11513859275053305</v>
      </c>
      <c r="E335" s="56">
        <v>82.29</v>
      </c>
      <c r="F335">
        <v>5.79</v>
      </c>
      <c r="G335" s="17">
        <v>46661</v>
      </c>
      <c r="H335">
        <v>33</v>
      </c>
      <c r="I335" t="s">
        <v>81</v>
      </c>
      <c r="J335">
        <f t="shared" si="20"/>
        <v>60</v>
      </c>
      <c r="K335" t="str">
        <f t="shared" si="21"/>
        <v>Close</v>
      </c>
      <c r="L335" t="str">
        <f t="shared" si="23"/>
        <v>Wave 1</v>
      </c>
    </row>
    <row r="336" spans="1:12">
      <c r="A336" t="s">
        <v>329</v>
      </c>
      <c r="B336" t="s">
        <v>328</v>
      </c>
      <c r="C336">
        <v>2.84</v>
      </c>
      <c r="D336" s="18">
        <f t="shared" si="22"/>
        <v>0.65031982942430699</v>
      </c>
      <c r="E336" s="56">
        <v>401.01</v>
      </c>
      <c r="F336">
        <v>14.57</v>
      </c>
      <c r="G336" s="17">
        <v>46447</v>
      </c>
      <c r="H336">
        <v>26</v>
      </c>
      <c r="I336" t="s">
        <v>81</v>
      </c>
      <c r="J336">
        <f t="shared" si="20"/>
        <v>20</v>
      </c>
      <c r="K336" t="str">
        <f t="shared" si="21"/>
        <v/>
      </c>
      <c r="L336" t="str">
        <f t="shared" si="23"/>
        <v/>
      </c>
    </row>
    <row r="337" spans="1:12">
      <c r="A337" t="s">
        <v>327</v>
      </c>
      <c r="B337" t="s">
        <v>326</v>
      </c>
      <c r="C337">
        <v>1.87</v>
      </c>
      <c r="D337" s="18">
        <f t="shared" si="22"/>
        <v>9.3816631130063971E-2</v>
      </c>
      <c r="E337" s="56">
        <v>135.38</v>
      </c>
      <c r="F337">
        <v>13.67</v>
      </c>
      <c r="G337" s="17">
        <v>46813</v>
      </c>
      <c r="H337">
        <v>38</v>
      </c>
      <c r="I337" t="s">
        <v>76</v>
      </c>
      <c r="J337">
        <f t="shared" si="20"/>
        <v>45</v>
      </c>
      <c r="K337" t="str">
        <f t="shared" si="21"/>
        <v>Close</v>
      </c>
      <c r="L337" t="str">
        <f t="shared" si="23"/>
        <v>Wave 2</v>
      </c>
    </row>
    <row r="338" spans="1:12">
      <c r="A338" t="s">
        <v>325</v>
      </c>
      <c r="B338" t="s">
        <v>82</v>
      </c>
      <c r="C338">
        <v>2.87</v>
      </c>
      <c r="D338" s="18">
        <f t="shared" si="22"/>
        <v>0.66098081023454158</v>
      </c>
      <c r="E338" s="56">
        <v>413.22</v>
      </c>
      <c r="F338">
        <v>12.83</v>
      </c>
      <c r="G338" s="17">
        <v>47665</v>
      </c>
      <c r="H338">
        <v>66</v>
      </c>
      <c r="I338" t="s">
        <v>76</v>
      </c>
      <c r="J338">
        <f t="shared" si="20"/>
        <v>5</v>
      </c>
      <c r="K338" t="str">
        <f t="shared" si="21"/>
        <v/>
      </c>
      <c r="L338" t="str">
        <f t="shared" si="23"/>
        <v/>
      </c>
    </row>
    <row r="339" spans="1:12">
      <c r="A339" t="s">
        <v>324</v>
      </c>
      <c r="B339" t="s">
        <v>323</v>
      </c>
      <c r="C339">
        <v>1.87</v>
      </c>
      <c r="D339" s="18">
        <f t="shared" si="22"/>
        <v>9.3816631130063971E-2</v>
      </c>
      <c r="E339" s="56">
        <v>161.6</v>
      </c>
      <c r="F339">
        <v>10.65</v>
      </c>
      <c r="G339" s="17">
        <v>48153</v>
      </c>
      <c r="H339">
        <v>82</v>
      </c>
      <c r="I339" t="s">
        <v>76</v>
      </c>
      <c r="J339">
        <f t="shared" si="20"/>
        <v>45</v>
      </c>
      <c r="K339" t="str">
        <f t="shared" si="21"/>
        <v>Close</v>
      </c>
      <c r="L339" t="str">
        <f t="shared" si="23"/>
        <v>Wave 2</v>
      </c>
    </row>
    <row r="340" spans="1:12">
      <c r="A340" t="s">
        <v>322</v>
      </c>
      <c r="B340" t="s">
        <v>82</v>
      </c>
      <c r="C340">
        <v>2.61</v>
      </c>
      <c r="D340" s="18">
        <f t="shared" si="22"/>
        <v>0.48400852878464817</v>
      </c>
      <c r="E340" s="56">
        <v>395.8</v>
      </c>
      <c r="F340">
        <v>8.85</v>
      </c>
      <c r="G340" s="17">
        <v>47270</v>
      </c>
      <c r="H340">
        <v>53</v>
      </c>
      <c r="I340" t="s">
        <v>81</v>
      </c>
      <c r="J340">
        <f t="shared" si="20"/>
        <v>10</v>
      </c>
      <c r="K340" t="str">
        <f t="shared" si="21"/>
        <v/>
      </c>
      <c r="L340" t="str">
        <f t="shared" si="23"/>
        <v/>
      </c>
    </row>
    <row r="341" spans="1:12">
      <c r="A341" t="s">
        <v>321</v>
      </c>
      <c r="B341" t="s">
        <v>135</v>
      </c>
      <c r="C341">
        <v>2.59</v>
      </c>
      <c r="D341" s="18">
        <f t="shared" si="22"/>
        <v>0.46268656716417911</v>
      </c>
      <c r="E341" s="56">
        <v>457.82</v>
      </c>
      <c r="F341">
        <v>11.58</v>
      </c>
      <c r="G341" s="17">
        <v>47635</v>
      </c>
      <c r="H341">
        <v>65</v>
      </c>
      <c r="I341" t="s">
        <v>76</v>
      </c>
      <c r="J341">
        <f t="shared" si="20"/>
        <v>5</v>
      </c>
      <c r="K341" t="str">
        <f t="shared" si="21"/>
        <v/>
      </c>
      <c r="L341" t="str">
        <f t="shared" si="23"/>
        <v/>
      </c>
    </row>
    <row r="342" spans="1:12">
      <c r="A342" t="s">
        <v>320</v>
      </c>
      <c r="B342" t="s">
        <v>319</v>
      </c>
      <c r="C342">
        <v>3.64</v>
      </c>
      <c r="D342" s="18">
        <f t="shared" si="22"/>
        <v>0.97228144989339016</v>
      </c>
      <c r="E342" s="56">
        <v>427.51</v>
      </c>
      <c r="F342">
        <v>13.64</v>
      </c>
      <c r="G342" s="17">
        <v>48214</v>
      </c>
      <c r="H342">
        <v>84</v>
      </c>
      <c r="I342" t="s">
        <v>76</v>
      </c>
      <c r="J342">
        <f t="shared" si="20"/>
        <v>5</v>
      </c>
      <c r="K342" t="str">
        <f t="shared" si="21"/>
        <v/>
      </c>
      <c r="L342" t="str">
        <f t="shared" si="23"/>
        <v/>
      </c>
    </row>
    <row r="343" spans="1:12">
      <c r="A343" t="s">
        <v>318</v>
      </c>
      <c r="B343" t="s">
        <v>118</v>
      </c>
      <c r="C343">
        <v>2.0699999999999998</v>
      </c>
      <c r="D343" s="18">
        <f t="shared" si="22"/>
        <v>0.15991471215351813</v>
      </c>
      <c r="E343" s="56">
        <v>155.46</v>
      </c>
      <c r="F343">
        <v>12.02</v>
      </c>
      <c r="G343" s="17">
        <v>46844</v>
      </c>
      <c r="H343">
        <v>39</v>
      </c>
      <c r="I343" t="s">
        <v>81</v>
      </c>
      <c r="J343">
        <f t="shared" si="20"/>
        <v>50</v>
      </c>
      <c r="K343" t="str">
        <f t="shared" si="21"/>
        <v>Close</v>
      </c>
      <c r="L343" t="str">
        <f t="shared" si="23"/>
        <v>Wave 1</v>
      </c>
    </row>
    <row r="344" spans="1:12">
      <c r="A344" t="s">
        <v>317</v>
      </c>
      <c r="B344" t="s">
        <v>316</v>
      </c>
      <c r="C344">
        <v>1.88</v>
      </c>
      <c r="D344" s="18">
        <f t="shared" si="22"/>
        <v>0.10660980810234541</v>
      </c>
      <c r="E344" s="56">
        <v>242.23</v>
      </c>
      <c r="F344">
        <v>11.95</v>
      </c>
      <c r="G344" s="17">
        <v>46997</v>
      </c>
      <c r="H344">
        <v>44</v>
      </c>
      <c r="I344" t="s">
        <v>76</v>
      </c>
      <c r="J344">
        <f t="shared" si="20"/>
        <v>45</v>
      </c>
      <c r="K344" t="str">
        <f t="shared" si="21"/>
        <v>Close</v>
      </c>
      <c r="L344" t="str">
        <f t="shared" si="23"/>
        <v>Wave 2</v>
      </c>
    </row>
    <row r="345" spans="1:12">
      <c r="A345" t="s">
        <v>315</v>
      </c>
      <c r="B345" t="s">
        <v>314</v>
      </c>
      <c r="C345">
        <v>2.2999999999999998</v>
      </c>
      <c r="D345" s="18">
        <f t="shared" si="22"/>
        <v>0.26012793176972282</v>
      </c>
      <c r="E345" s="56">
        <v>457.38</v>
      </c>
      <c r="F345">
        <v>10.49</v>
      </c>
      <c r="G345" s="17">
        <v>48000</v>
      </c>
      <c r="H345">
        <v>77</v>
      </c>
      <c r="I345" t="s">
        <v>81</v>
      </c>
      <c r="J345">
        <f t="shared" si="20"/>
        <v>10</v>
      </c>
      <c r="K345" t="str">
        <f t="shared" si="21"/>
        <v/>
      </c>
      <c r="L345" t="str">
        <f t="shared" si="23"/>
        <v/>
      </c>
    </row>
    <row r="346" spans="1:12">
      <c r="A346" t="s">
        <v>313</v>
      </c>
      <c r="B346" t="s">
        <v>312</v>
      </c>
      <c r="C346">
        <v>2.04</v>
      </c>
      <c r="D346" s="18">
        <f t="shared" si="22"/>
        <v>0.1513859275053305</v>
      </c>
      <c r="E346" s="56">
        <v>190.76</v>
      </c>
      <c r="F346">
        <v>14.13</v>
      </c>
      <c r="G346" s="17">
        <v>47362</v>
      </c>
      <c r="H346">
        <v>56</v>
      </c>
      <c r="I346" t="s">
        <v>76</v>
      </c>
      <c r="J346">
        <f t="shared" si="20"/>
        <v>45</v>
      </c>
      <c r="K346" t="str">
        <f t="shared" si="21"/>
        <v>Close</v>
      </c>
      <c r="L346" t="str">
        <f t="shared" si="23"/>
        <v>Wave 2</v>
      </c>
    </row>
    <row r="347" spans="1:12">
      <c r="A347" t="s">
        <v>311</v>
      </c>
      <c r="B347" t="s">
        <v>310</v>
      </c>
      <c r="C347">
        <v>2.34</v>
      </c>
      <c r="D347" s="18">
        <f t="shared" si="22"/>
        <v>0.28997867803837951</v>
      </c>
      <c r="E347" s="56">
        <v>391.47</v>
      </c>
      <c r="F347">
        <v>13.65</v>
      </c>
      <c r="G347" s="17">
        <v>47027</v>
      </c>
      <c r="H347">
        <v>45</v>
      </c>
      <c r="I347" t="s">
        <v>81</v>
      </c>
      <c r="J347">
        <f t="shared" si="20"/>
        <v>10</v>
      </c>
      <c r="K347" t="str">
        <f t="shared" si="21"/>
        <v/>
      </c>
      <c r="L347" t="str">
        <f t="shared" si="23"/>
        <v/>
      </c>
    </row>
    <row r="348" spans="1:12">
      <c r="A348" t="s">
        <v>309</v>
      </c>
      <c r="B348" t="s">
        <v>249</v>
      </c>
      <c r="C348">
        <v>2.89</v>
      </c>
      <c r="D348" s="18">
        <f t="shared" si="22"/>
        <v>0.68230277185501065</v>
      </c>
      <c r="E348" s="56">
        <v>440.89</v>
      </c>
      <c r="F348">
        <v>9.2100000000000009</v>
      </c>
      <c r="G348" s="17">
        <v>47423</v>
      </c>
      <c r="H348">
        <v>58</v>
      </c>
      <c r="I348" t="s">
        <v>76</v>
      </c>
      <c r="J348">
        <f t="shared" si="20"/>
        <v>5</v>
      </c>
      <c r="K348" t="str">
        <f t="shared" si="21"/>
        <v/>
      </c>
      <c r="L348" t="str">
        <f t="shared" si="23"/>
        <v/>
      </c>
    </row>
    <row r="349" spans="1:12">
      <c r="A349" t="s">
        <v>308</v>
      </c>
      <c r="B349" t="s">
        <v>307</v>
      </c>
      <c r="C349">
        <v>3.08</v>
      </c>
      <c r="D349" s="18">
        <f t="shared" si="22"/>
        <v>0.80170575692963753</v>
      </c>
      <c r="E349" s="56">
        <v>313.67</v>
      </c>
      <c r="F349">
        <v>16.02</v>
      </c>
      <c r="G349" s="17">
        <v>46235</v>
      </c>
      <c r="H349">
        <v>19</v>
      </c>
      <c r="I349" t="s">
        <v>81</v>
      </c>
      <c r="J349">
        <f t="shared" si="20"/>
        <v>30</v>
      </c>
      <c r="K349" t="str">
        <f t="shared" si="21"/>
        <v/>
      </c>
      <c r="L349" t="str">
        <f t="shared" si="23"/>
        <v/>
      </c>
    </row>
    <row r="350" spans="1:12">
      <c r="A350" t="s">
        <v>306</v>
      </c>
      <c r="B350" t="s">
        <v>305</v>
      </c>
      <c r="C350">
        <v>3.57</v>
      </c>
      <c r="D350" s="18">
        <f t="shared" si="22"/>
        <v>0.95095948827292109</v>
      </c>
      <c r="E350" s="56">
        <v>433.33</v>
      </c>
      <c r="F350">
        <v>16.16</v>
      </c>
      <c r="G350" s="17">
        <v>49310</v>
      </c>
      <c r="H350">
        <v>120</v>
      </c>
      <c r="I350" t="s">
        <v>81</v>
      </c>
      <c r="J350">
        <f t="shared" si="20"/>
        <v>10</v>
      </c>
      <c r="K350" t="str">
        <f t="shared" si="21"/>
        <v/>
      </c>
      <c r="L350" t="str">
        <f t="shared" si="23"/>
        <v/>
      </c>
    </row>
    <row r="351" spans="1:12">
      <c r="A351" t="s">
        <v>304</v>
      </c>
      <c r="B351" t="s">
        <v>303</v>
      </c>
      <c r="C351">
        <v>2.25</v>
      </c>
      <c r="D351" s="18">
        <f t="shared" si="22"/>
        <v>0.22601279317697229</v>
      </c>
      <c r="E351" s="56">
        <v>175.83</v>
      </c>
      <c r="F351">
        <v>16.260000000000002</v>
      </c>
      <c r="G351" s="17">
        <v>47178</v>
      </c>
      <c r="H351">
        <v>50</v>
      </c>
      <c r="I351" t="s">
        <v>76</v>
      </c>
      <c r="J351">
        <f t="shared" si="20"/>
        <v>45</v>
      </c>
      <c r="K351" t="str">
        <f t="shared" si="21"/>
        <v>Close</v>
      </c>
      <c r="L351" t="str">
        <f t="shared" si="23"/>
        <v>Wave 2</v>
      </c>
    </row>
    <row r="352" spans="1:12">
      <c r="A352" t="s">
        <v>302</v>
      </c>
      <c r="B352" t="s">
        <v>301</v>
      </c>
      <c r="C352">
        <v>4.1100000000000003</v>
      </c>
      <c r="D352" s="18">
        <f t="shared" si="22"/>
        <v>0.99786780383795304</v>
      </c>
      <c r="E352" s="56">
        <v>330.95</v>
      </c>
      <c r="F352">
        <v>12.01</v>
      </c>
      <c r="G352" s="17">
        <v>46813</v>
      </c>
      <c r="H352">
        <v>38</v>
      </c>
      <c r="I352" t="s">
        <v>76</v>
      </c>
      <c r="J352">
        <f t="shared" si="20"/>
        <v>5</v>
      </c>
      <c r="K352" t="str">
        <f t="shared" si="21"/>
        <v/>
      </c>
      <c r="L352" t="str">
        <f t="shared" si="23"/>
        <v/>
      </c>
    </row>
    <row r="353" spans="1:12">
      <c r="A353" t="s">
        <v>300</v>
      </c>
      <c r="B353" t="s">
        <v>268</v>
      </c>
      <c r="C353">
        <v>3.75</v>
      </c>
      <c r="D353" s="18">
        <f t="shared" si="22"/>
        <v>0.9850746268656716</v>
      </c>
      <c r="E353" s="56">
        <v>440.24</v>
      </c>
      <c r="F353">
        <v>11.73</v>
      </c>
      <c r="G353" s="17">
        <v>47880</v>
      </c>
      <c r="H353">
        <v>73</v>
      </c>
      <c r="I353" t="s">
        <v>76</v>
      </c>
      <c r="J353">
        <f t="shared" si="20"/>
        <v>5</v>
      </c>
      <c r="K353" t="str">
        <f t="shared" si="21"/>
        <v/>
      </c>
      <c r="L353" t="str">
        <f t="shared" si="23"/>
        <v/>
      </c>
    </row>
    <row r="354" spans="1:12">
      <c r="A354" t="s">
        <v>299</v>
      </c>
      <c r="B354" t="s">
        <v>110</v>
      </c>
      <c r="C354">
        <v>2.5499999999999998</v>
      </c>
      <c r="D354" s="18">
        <f t="shared" si="22"/>
        <v>0.43283582089552236</v>
      </c>
      <c r="E354" s="56">
        <v>324.47000000000003</v>
      </c>
      <c r="F354">
        <v>7.38</v>
      </c>
      <c r="G354" s="17">
        <v>48245</v>
      </c>
      <c r="H354">
        <v>85</v>
      </c>
      <c r="I354" t="s">
        <v>81</v>
      </c>
      <c r="J354">
        <f t="shared" si="20"/>
        <v>10</v>
      </c>
      <c r="K354" t="str">
        <f t="shared" si="21"/>
        <v/>
      </c>
      <c r="L354" t="str">
        <f t="shared" si="23"/>
        <v/>
      </c>
    </row>
    <row r="355" spans="1:12">
      <c r="A355" t="s">
        <v>298</v>
      </c>
      <c r="B355" t="s">
        <v>92</v>
      </c>
      <c r="C355">
        <v>1.4</v>
      </c>
      <c r="D355" s="18">
        <f t="shared" si="22"/>
        <v>1.279317697228145E-2</v>
      </c>
      <c r="E355" s="56">
        <v>233.47</v>
      </c>
      <c r="F355">
        <v>16</v>
      </c>
      <c r="G355" s="17">
        <v>46813</v>
      </c>
      <c r="H355">
        <v>38</v>
      </c>
      <c r="I355" t="s">
        <v>76</v>
      </c>
      <c r="J355">
        <f t="shared" si="20"/>
        <v>45</v>
      </c>
      <c r="K355" t="str">
        <f t="shared" si="21"/>
        <v>Close</v>
      </c>
      <c r="L355" t="str">
        <f t="shared" si="23"/>
        <v>Wave 2</v>
      </c>
    </row>
    <row r="356" spans="1:12">
      <c r="A356" t="s">
        <v>297</v>
      </c>
      <c r="B356" t="s">
        <v>171</v>
      </c>
      <c r="C356">
        <v>2.61</v>
      </c>
      <c r="D356" s="18">
        <f t="shared" si="22"/>
        <v>0.48400852878464817</v>
      </c>
      <c r="E356" s="56">
        <v>345.64</v>
      </c>
      <c r="F356">
        <v>2.99</v>
      </c>
      <c r="G356" s="17">
        <v>47331</v>
      </c>
      <c r="H356">
        <v>55</v>
      </c>
      <c r="I356" t="s">
        <v>81</v>
      </c>
      <c r="J356">
        <f t="shared" si="20"/>
        <v>20</v>
      </c>
      <c r="K356" t="str">
        <f t="shared" si="21"/>
        <v/>
      </c>
      <c r="L356" t="str">
        <f t="shared" si="23"/>
        <v/>
      </c>
    </row>
    <row r="357" spans="1:12">
      <c r="A357" t="s">
        <v>296</v>
      </c>
      <c r="B357" t="s">
        <v>295</v>
      </c>
      <c r="C357">
        <v>2.7</v>
      </c>
      <c r="D357" s="18">
        <f t="shared" si="22"/>
        <v>0.56076759061833692</v>
      </c>
      <c r="E357" s="56">
        <v>515.33000000000004</v>
      </c>
      <c r="F357">
        <v>10.84</v>
      </c>
      <c r="G357" s="17">
        <v>47362</v>
      </c>
      <c r="H357">
        <v>56</v>
      </c>
      <c r="I357" t="s">
        <v>84</v>
      </c>
      <c r="J357">
        <f t="shared" si="20"/>
        <v>0</v>
      </c>
      <c r="K357" t="str">
        <f t="shared" si="21"/>
        <v/>
      </c>
      <c r="L357" t="str">
        <f t="shared" si="23"/>
        <v/>
      </c>
    </row>
    <row r="358" spans="1:12">
      <c r="A358" t="s">
        <v>294</v>
      </c>
      <c r="B358" t="s">
        <v>143</v>
      </c>
      <c r="C358">
        <v>1.4</v>
      </c>
      <c r="D358" s="18">
        <f t="shared" si="22"/>
        <v>1.279317697228145E-2</v>
      </c>
      <c r="E358" s="56">
        <v>230.93</v>
      </c>
      <c r="F358">
        <v>11.07</v>
      </c>
      <c r="G358" s="17">
        <v>47788</v>
      </c>
      <c r="H358">
        <v>70</v>
      </c>
      <c r="I358" t="s">
        <v>84</v>
      </c>
      <c r="J358">
        <f t="shared" si="20"/>
        <v>40</v>
      </c>
      <c r="K358" t="str">
        <f t="shared" si="21"/>
        <v/>
      </c>
      <c r="L358" t="str">
        <f t="shared" si="23"/>
        <v/>
      </c>
    </row>
    <row r="359" spans="1:12">
      <c r="A359" t="s">
        <v>293</v>
      </c>
      <c r="B359" t="s">
        <v>292</v>
      </c>
      <c r="C359">
        <v>2.7</v>
      </c>
      <c r="D359" s="18">
        <f t="shared" si="22"/>
        <v>0.56076759061833692</v>
      </c>
      <c r="E359" s="56">
        <v>423.77</v>
      </c>
      <c r="F359">
        <v>16.45</v>
      </c>
      <c r="G359" s="17">
        <v>47058</v>
      </c>
      <c r="H359">
        <v>46</v>
      </c>
      <c r="I359" t="s">
        <v>84</v>
      </c>
      <c r="J359">
        <f t="shared" si="20"/>
        <v>0</v>
      </c>
      <c r="K359" t="str">
        <f t="shared" si="21"/>
        <v/>
      </c>
      <c r="L359" t="str">
        <f t="shared" si="23"/>
        <v/>
      </c>
    </row>
    <row r="360" spans="1:12">
      <c r="A360" t="s">
        <v>291</v>
      </c>
      <c r="B360" t="s">
        <v>290</v>
      </c>
      <c r="C360">
        <v>2.5499999999999998</v>
      </c>
      <c r="D360" s="18">
        <f t="shared" si="22"/>
        <v>0.43283582089552236</v>
      </c>
      <c r="E360" s="56">
        <v>434.27</v>
      </c>
      <c r="F360">
        <v>12.6</v>
      </c>
      <c r="G360" s="17">
        <v>47515</v>
      </c>
      <c r="H360">
        <v>61</v>
      </c>
      <c r="I360" t="s">
        <v>81</v>
      </c>
      <c r="J360">
        <f t="shared" si="20"/>
        <v>10</v>
      </c>
      <c r="K360" t="str">
        <f t="shared" si="21"/>
        <v/>
      </c>
      <c r="L360" t="str">
        <f t="shared" si="23"/>
        <v/>
      </c>
    </row>
    <row r="361" spans="1:12">
      <c r="A361" t="s">
        <v>289</v>
      </c>
      <c r="B361" t="s">
        <v>288</v>
      </c>
      <c r="C361">
        <v>2.23</v>
      </c>
      <c r="D361" s="18">
        <f t="shared" si="22"/>
        <v>0.21748400852878466</v>
      </c>
      <c r="E361" s="56">
        <v>126.3</v>
      </c>
      <c r="F361">
        <v>8.26</v>
      </c>
      <c r="G361" s="17">
        <v>46327</v>
      </c>
      <c r="H361">
        <v>22</v>
      </c>
      <c r="I361" t="s">
        <v>76</v>
      </c>
      <c r="J361">
        <f t="shared" si="20"/>
        <v>65</v>
      </c>
      <c r="K361" t="str">
        <f t="shared" si="21"/>
        <v>Close</v>
      </c>
      <c r="L361" t="str">
        <f t="shared" si="23"/>
        <v>Wave 1</v>
      </c>
    </row>
    <row r="362" spans="1:12">
      <c r="A362" t="s">
        <v>287</v>
      </c>
      <c r="B362" t="s">
        <v>286</v>
      </c>
      <c r="C362">
        <v>3</v>
      </c>
      <c r="D362" s="18">
        <f t="shared" si="22"/>
        <v>0.76119402985074625</v>
      </c>
      <c r="E362" s="56">
        <v>473.03</v>
      </c>
      <c r="F362">
        <v>6.18</v>
      </c>
      <c r="G362" s="17">
        <v>47423</v>
      </c>
      <c r="H362">
        <v>58</v>
      </c>
      <c r="I362" t="s">
        <v>84</v>
      </c>
      <c r="J362">
        <f t="shared" si="20"/>
        <v>0</v>
      </c>
      <c r="K362" t="str">
        <f t="shared" si="21"/>
        <v/>
      </c>
      <c r="L362" t="str">
        <f t="shared" si="23"/>
        <v/>
      </c>
    </row>
    <row r="363" spans="1:12">
      <c r="A363" t="s">
        <v>285</v>
      </c>
      <c r="B363" t="s">
        <v>284</v>
      </c>
      <c r="C363">
        <v>3.21</v>
      </c>
      <c r="D363" s="18">
        <f t="shared" si="22"/>
        <v>0.86567164179104472</v>
      </c>
      <c r="E363" s="56">
        <v>418.82</v>
      </c>
      <c r="F363">
        <v>9.32</v>
      </c>
      <c r="G363" s="17">
        <v>49310</v>
      </c>
      <c r="H363">
        <v>120</v>
      </c>
      <c r="I363" t="s">
        <v>76</v>
      </c>
      <c r="J363">
        <f t="shared" si="20"/>
        <v>5</v>
      </c>
      <c r="K363" t="str">
        <f t="shared" si="21"/>
        <v/>
      </c>
      <c r="L363" t="str">
        <f t="shared" si="23"/>
        <v/>
      </c>
    </row>
    <row r="364" spans="1:12">
      <c r="A364" t="s">
        <v>283</v>
      </c>
      <c r="B364" t="s">
        <v>282</v>
      </c>
      <c r="C364">
        <v>2.39</v>
      </c>
      <c r="D364" s="18">
        <f t="shared" si="22"/>
        <v>0.32409381663113007</v>
      </c>
      <c r="E364" s="56">
        <v>457.67</v>
      </c>
      <c r="F364">
        <v>13.08</v>
      </c>
      <c r="G364" s="17">
        <v>47300</v>
      </c>
      <c r="H364">
        <v>54</v>
      </c>
      <c r="I364" t="s">
        <v>76</v>
      </c>
      <c r="J364">
        <f t="shared" si="20"/>
        <v>5</v>
      </c>
      <c r="K364" t="str">
        <f t="shared" si="21"/>
        <v/>
      </c>
      <c r="L364" t="str">
        <f t="shared" si="23"/>
        <v/>
      </c>
    </row>
    <row r="365" spans="1:12">
      <c r="A365" t="s">
        <v>281</v>
      </c>
      <c r="B365" t="s">
        <v>280</v>
      </c>
      <c r="C365">
        <v>2.79</v>
      </c>
      <c r="D365" s="18">
        <f t="shared" si="22"/>
        <v>0.60980810234541583</v>
      </c>
      <c r="E365" s="56">
        <v>442.41</v>
      </c>
      <c r="F365">
        <v>12.85</v>
      </c>
      <c r="G365" s="17">
        <v>48030</v>
      </c>
      <c r="H365">
        <v>78</v>
      </c>
      <c r="I365" t="s">
        <v>81</v>
      </c>
      <c r="J365">
        <f t="shared" si="20"/>
        <v>10</v>
      </c>
      <c r="K365" t="str">
        <f t="shared" si="21"/>
        <v/>
      </c>
      <c r="L365" t="str">
        <f t="shared" si="23"/>
        <v/>
      </c>
    </row>
    <row r="366" spans="1:12">
      <c r="A366" t="s">
        <v>279</v>
      </c>
      <c r="B366" t="s">
        <v>278</v>
      </c>
      <c r="C366">
        <v>2.2999999999999998</v>
      </c>
      <c r="D366" s="18">
        <f t="shared" si="22"/>
        <v>0.26012793176972282</v>
      </c>
      <c r="E366" s="56">
        <v>360.4</v>
      </c>
      <c r="F366">
        <v>11.71</v>
      </c>
      <c r="G366" s="17">
        <v>47757</v>
      </c>
      <c r="H366">
        <v>69</v>
      </c>
      <c r="I366" t="s">
        <v>81</v>
      </c>
      <c r="J366">
        <f t="shared" si="20"/>
        <v>10</v>
      </c>
      <c r="K366" t="str">
        <f t="shared" si="21"/>
        <v/>
      </c>
      <c r="L366" t="str">
        <f t="shared" si="23"/>
        <v/>
      </c>
    </row>
    <row r="367" spans="1:12">
      <c r="A367" t="s">
        <v>277</v>
      </c>
      <c r="B367" t="s">
        <v>276</v>
      </c>
      <c r="C367">
        <v>2.23</v>
      </c>
      <c r="D367" s="18">
        <f t="shared" si="22"/>
        <v>0.21748400852878466</v>
      </c>
      <c r="E367" s="56">
        <v>38.57</v>
      </c>
      <c r="F367">
        <v>9.52</v>
      </c>
      <c r="G367" s="17">
        <v>46327</v>
      </c>
      <c r="H367">
        <v>22</v>
      </c>
      <c r="I367" t="s">
        <v>76</v>
      </c>
      <c r="J367">
        <f t="shared" si="20"/>
        <v>65</v>
      </c>
      <c r="K367" t="str">
        <f t="shared" si="21"/>
        <v>Close</v>
      </c>
      <c r="L367" t="str">
        <f t="shared" si="23"/>
        <v>Wave 1</v>
      </c>
    </row>
    <row r="368" spans="1:12">
      <c r="A368" t="s">
        <v>275</v>
      </c>
      <c r="B368" t="s">
        <v>274</v>
      </c>
      <c r="C368">
        <v>2.7</v>
      </c>
      <c r="D368" s="18">
        <f t="shared" si="22"/>
        <v>0.56076759061833692</v>
      </c>
      <c r="E368" s="56">
        <v>418.42</v>
      </c>
      <c r="F368">
        <v>11.65</v>
      </c>
      <c r="G368" s="17">
        <v>48092</v>
      </c>
      <c r="H368">
        <v>80</v>
      </c>
      <c r="I368" t="s">
        <v>76</v>
      </c>
      <c r="J368">
        <f t="shared" si="20"/>
        <v>5</v>
      </c>
      <c r="K368" t="str">
        <f t="shared" si="21"/>
        <v/>
      </c>
      <c r="L368" t="str">
        <f t="shared" si="23"/>
        <v/>
      </c>
    </row>
    <row r="369" spans="1:12">
      <c r="A369" t="s">
        <v>273</v>
      </c>
      <c r="B369" t="s">
        <v>272</v>
      </c>
      <c r="C369">
        <v>2.95</v>
      </c>
      <c r="D369" s="18">
        <f t="shared" si="22"/>
        <v>0.72281449893390193</v>
      </c>
      <c r="E369" s="56">
        <v>228.68</v>
      </c>
      <c r="F369">
        <v>17.09</v>
      </c>
      <c r="G369" s="17">
        <v>45992</v>
      </c>
      <c r="H369">
        <v>11</v>
      </c>
      <c r="I369" t="s">
        <v>76</v>
      </c>
      <c r="J369">
        <f t="shared" si="20"/>
        <v>25</v>
      </c>
      <c r="K369" t="str">
        <f t="shared" si="21"/>
        <v/>
      </c>
      <c r="L369" t="str">
        <f t="shared" si="23"/>
        <v/>
      </c>
    </row>
    <row r="370" spans="1:12">
      <c r="A370" t="s">
        <v>271</v>
      </c>
      <c r="B370" t="s">
        <v>270</v>
      </c>
      <c r="C370">
        <v>2.35</v>
      </c>
      <c r="D370" s="18">
        <f t="shared" si="22"/>
        <v>0.3006396588486141</v>
      </c>
      <c r="E370" s="56">
        <v>263.97000000000003</v>
      </c>
      <c r="F370">
        <v>7.65</v>
      </c>
      <c r="G370" s="17">
        <v>46143</v>
      </c>
      <c r="H370">
        <v>16</v>
      </c>
      <c r="I370" t="s">
        <v>81</v>
      </c>
      <c r="J370">
        <f t="shared" si="20"/>
        <v>30</v>
      </c>
      <c r="K370" t="str">
        <f t="shared" si="21"/>
        <v/>
      </c>
      <c r="L370" t="str">
        <f t="shared" si="23"/>
        <v/>
      </c>
    </row>
    <row r="371" spans="1:12">
      <c r="A371" t="s">
        <v>269</v>
      </c>
      <c r="B371" t="s">
        <v>268</v>
      </c>
      <c r="C371">
        <v>1.44</v>
      </c>
      <c r="D371" s="18">
        <f t="shared" si="22"/>
        <v>1.9189765458422176E-2</v>
      </c>
      <c r="E371" s="56">
        <v>142.04</v>
      </c>
      <c r="F371">
        <v>12.75</v>
      </c>
      <c r="G371" s="17">
        <v>47423</v>
      </c>
      <c r="H371">
        <v>58</v>
      </c>
      <c r="I371" t="s">
        <v>81</v>
      </c>
      <c r="J371">
        <f t="shared" si="20"/>
        <v>50</v>
      </c>
      <c r="K371" t="str">
        <f t="shared" si="21"/>
        <v>Close</v>
      </c>
      <c r="L371" t="str">
        <f t="shared" si="23"/>
        <v>Wave 1</v>
      </c>
    </row>
    <row r="372" spans="1:12">
      <c r="A372" t="s">
        <v>267</v>
      </c>
      <c r="B372" t="s">
        <v>266</v>
      </c>
      <c r="C372">
        <v>2.98</v>
      </c>
      <c r="D372" s="18">
        <f t="shared" si="22"/>
        <v>0.74626865671641796</v>
      </c>
      <c r="E372" s="56">
        <v>387.02</v>
      </c>
      <c r="F372">
        <v>19.88</v>
      </c>
      <c r="G372" s="17">
        <v>47392</v>
      </c>
      <c r="H372">
        <v>57</v>
      </c>
      <c r="I372" t="s">
        <v>84</v>
      </c>
      <c r="J372">
        <f t="shared" si="20"/>
        <v>0</v>
      </c>
      <c r="K372" t="str">
        <f t="shared" si="21"/>
        <v/>
      </c>
      <c r="L372" t="str">
        <f t="shared" si="23"/>
        <v/>
      </c>
    </row>
    <row r="373" spans="1:12">
      <c r="A373" t="s">
        <v>265</v>
      </c>
      <c r="B373" t="s">
        <v>264</v>
      </c>
      <c r="C373">
        <v>1.78</v>
      </c>
      <c r="D373" s="18">
        <f t="shared" si="22"/>
        <v>6.3965884861407252E-2</v>
      </c>
      <c r="E373" s="56">
        <v>188.37</v>
      </c>
      <c r="F373">
        <v>15.09</v>
      </c>
      <c r="G373" s="17">
        <v>47300</v>
      </c>
      <c r="H373">
        <v>54</v>
      </c>
      <c r="I373" t="s">
        <v>76</v>
      </c>
      <c r="J373">
        <f t="shared" si="20"/>
        <v>45</v>
      </c>
      <c r="K373" t="str">
        <f t="shared" si="21"/>
        <v>Close</v>
      </c>
      <c r="L373" t="str">
        <f t="shared" si="23"/>
        <v>Wave 2</v>
      </c>
    </row>
    <row r="374" spans="1:12">
      <c r="A374" t="s">
        <v>263</v>
      </c>
      <c r="B374" t="s">
        <v>262</v>
      </c>
      <c r="C374">
        <v>2.73</v>
      </c>
      <c r="D374" s="18">
        <f t="shared" si="22"/>
        <v>0.58208955223880599</v>
      </c>
      <c r="E374" s="56">
        <v>501.88</v>
      </c>
      <c r="F374">
        <v>10.55</v>
      </c>
      <c r="G374" s="17">
        <v>47484</v>
      </c>
      <c r="H374">
        <v>60</v>
      </c>
      <c r="I374" t="s">
        <v>84</v>
      </c>
      <c r="J374">
        <f t="shared" si="20"/>
        <v>0</v>
      </c>
      <c r="K374" t="str">
        <f t="shared" si="21"/>
        <v/>
      </c>
      <c r="L374" t="str">
        <f t="shared" si="23"/>
        <v/>
      </c>
    </row>
    <row r="375" spans="1:12">
      <c r="A375" t="s">
        <v>261</v>
      </c>
      <c r="B375" t="s">
        <v>260</v>
      </c>
      <c r="C375">
        <v>3.64</v>
      </c>
      <c r="D375" s="18">
        <f t="shared" si="22"/>
        <v>0.97228144989339016</v>
      </c>
      <c r="E375" s="56">
        <v>404.47</v>
      </c>
      <c r="F375">
        <v>15.57</v>
      </c>
      <c r="G375" s="17">
        <v>49310</v>
      </c>
      <c r="H375">
        <v>120</v>
      </c>
      <c r="I375" t="s">
        <v>81</v>
      </c>
      <c r="J375">
        <f t="shared" si="20"/>
        <v>10</v>
      </c>
      <c r="K375" t="str">
        <f t="shared" si="21"/>
        <v/>
      </c>
      <c r="L375" t="str">
        <f t="shared" si="23"/>
        <v/>
      </c>
    </row>
    <row r="376" spans="1:12">
      <c r="A376" t="s">
        <v>259</v>
      </c>
      <c r="B376" t="s">
        <v>258</v>
      </c>
      <c r="C376">
        <v>2.65</v>
      </c>
      <c r="D376" s="18">
        <f t="shared" si="22"/>
        <v>0.52025586353944564</v>
      </c>
      <c r="E376" s="56">
        <v>419.72</v>
      </c>
      <c r="F376">
        <v>9.2200000000000006</v>
      </c>
      <c r="G376" s="17">
        <v>48214</v>
      </c>
      <c r="H376">
        <v>84</v>
      </c>
      <c r="I376" t="s">
        <v>76</v>
      </c>
      <c r="J376">
        <f t="shared" si="20"/>
        <v>5</v>
      </c>
      <c r="K376" t="str">
        <f t="shared" si="21"/>
        <v/>
      </c>
      <c r="L376" t="str">
        <f t="shared" si="23"/>
        <v/>
      </c>
    </row>
    <row r="377" spans="1:12">
      <c r="A377" t="s">
        <v>257</v>
      </c>
      <c r="B377" t="s">
        <v>234</v>
      </c>
      <c r="C377">
        <v>2.0099999999999998</v>
      </c>
      <c r="D377" s="18">
        <f t="shared" si="22"/>
        <v>0.14072494669509594</v>
      </c>
      <c r="E377" s="56">
        <v>97.88</v>
      </c>
      <c r="F377">
        <v>12.63</v>
      </c>
      <c r="G377" s="17">
        <v>46569</v>
      </c>
      <c r="H377">
        <v>30</v>
      </c>
      <c r="I377" t="s">
        <v>76</v>
      </c>
      <c r="J377">
        <f t="shared" si="20"/>
        <v>55</v>
      </c>
      <c r="K377" t="str">
        <f t="shared" si="21"/>
        <v>Close</v>
      </c>
      <c r="L377" t="str">
        <f t="shared" si="23"/>
        <v>Wave 1</v>
      </c>
    </row>
    <row r="378" spans="1:12">
      <c r="A378" t="s">
        <v>256</v>
      </c>
      <c r="B378" t="s">
        <v>255</v>
      </c>
      <c r="C378">
        <v>1.86</v>
      </c>
      <c r="D378" s="18">
        <f t="shared" si="22"/>
        <v>8.7420042643923238E-2</v>
      </c>
      <c r="E378" s="56">
        <v>249.67</v>
      </c>
      <c r="F378">
        <v>19.59</v>
      </c>
      <c r="G378" s="17">
        <v>47270</v>
      </c>
      <c r="H378">
        <v>53</v>
      </c>
      <c r="I378" t="s">
        <v>76</v>
      </c>
      <c r="J378">
        <f t="shared" si="20"/>
        <v>45</v>
      </c>
      <c r="K378" t="str">
        <f t="shared" si="21"/>
        <v>Close</v>
      </c>
      <c r="L378" t="str">
        <f t="shared" si="23"/>
        <v>Wave 2</v>
      </c>
    </row>
    <row r="379" spans="1:12">
      <c r="A379" t="s">
        <v>254</v>
      </c>
      <c r="B379" t="s">
        <v>253</v>
      </c>
      <c r="C379">
        <v>3.3</v>
      </c>
      <c r="D379" s="18">
        <f t="shared" si="22"/>
        <v>0.89978678038379534</v>
      </c>
      <c r="E379" s="56">
        <v>444.44</v>
      </c>
      <c r="F379">
        <v>21.12</v>
      </c>
      <c r="G379" s="17">
        <v>46905</v>
      </c>
      <c r="H379">
        <v>41</v>
      </c>
      <c r="I379" t="s">
        <v>84</v>
      </c>
      <c r="J379">
        <f t="shared" si="20"/>
        <v>0</v>
      </c>
      <c r="K379" t="str">
        <f t="shared" si="21"/>
        <v/>
      </c>
      <c r="L379" t="str">
        <f t="shared" si="23"/>
        <v/>
      </c>
    </row>
    <row r="380" spans="1:12">
      <c r="A380" t="s">
        <v>252</v>
      </c>
      <c r="B380" t="s">
        <v>251</v>
      </c>
      <c r="C380">
        <v>2.65</v>
      </c>
      <c r="D380" s="18">
        <f t="shared" si="22"/>
        <v>0.52025586353944564</v>
      </c>
      <c r="E380" s="56">
        <v>342.95</v>
      </c>
      <c r="F380">
        <v>4.91</v>
      </c>
      <c r="G380" s="17">
        <v>48000</v>
      </c>
      <c r="H380">
        <v>77</v>
      </c>
      <c r="I380" t="s">
        <v>76</v>
      </c>
      <c r="J380">
        <f t="shared" si="20"/>
        <v>15</v>
      </c>
      <c r="K380" t="str">
        <f t="shared" si="21"/>
        <v/>
      </c>
      <c r="L380" t="str">
        <f t="shared" si="23"/>
        <v/>
      </c>
    </row>
    <row r="381" spans="1:12">
      <c r="A381" t="s">
        <v>250</v>
      </c>
      <c r="B381" t="s">
        <v>249</v>
      </c>
      <c r="C381">
        <v>2.96</v>
      </c>
      <c r="D381" s="18">
        <f t="shared" si="22"/>
        <v>0.73134328358208955</v>
      </c>
      <c r="E381" s="56">
        <v>347.72</v>
      </c>
      <c r="F381">
        <v>15.75</v>
      </c>
      <c r="G381" s="17">
        <v>46478</v>
      </c>
      <c r="H381">
        <v>27</v>
      </c>
      <c r="I381" t="s">
        <v>84</v>
      </c>
      <c r="J381">
        <f t="shared" si="20"/>
        <v>10</v>
      </c>
      <c r="K381" t="str">
        <f t="shared" si="21"/>
        <v/>
      </c>
      <c r="L381" t="str">
        <f t="shared" si="23"/>
        <v/>
      </c>
    </row>
    <row r="382" spans="1:12">
      <c r="A382" t="s">
        <v>248</v>
      </c>
      <c r="B382" t="s">
        <v>247</v>
      </c>
      <c r="C382">
        <v>3.17</v>
      </c>
      <c r="D382" s="18">
        <f t="shared" si="22"/>
        <v>0.84221748400852881</v>
      </c>
      <c r="E382" s="56">
        <v>244.51</v>
      </c>
      <c r="F382">
        <v>21.37</v>
      </c>
      <c r="G382" s="17">
        <v>45901</v>
      </c>
      <c r="H382">
        <v>8</v>
      </c>
      <c r="I382" t="s">
        <v>81</v>
      </c>
      <c r="J382">
        <f t="shared" si="20"/>
        <v>30</v>
      </c>
      <c r="K382" t="str">
        <f t="shared" si="21"/>
        <v/>
      </c>
      <c r="L382" t="str">
        <f t="shared" si="23"/>
        <v/>
      </c>
    </row>
    <row r="383" spans="1:12">
      <c r="A383" t="s">
        <v>246</v>
      </c>
      <c r="B383" t="s">
        <v>245</v>
      </c>
      <c r="C383">
        <v>2.63</v>
      </c>
      <c r="D383" s="18">
        <f t="shared" si="22"/>
        <v>0.50533049040511724</v>
      </c>
      <c r="E383" s="56">
        <v>376.69</v>
      </c>
      <c r="F383">
        <v>10.15</v>
      </c>
      <c r="G383" s="17">
        <v>49310</v>
      </c>
      <c r="H383">
        <v>120</v>
      </c>
      <c r="I383" t="s">
        <v>81</v>
      </c>
      <c r="J383">
        <f t="shared" si="20"/>
        <v>10</v>
      </c>
      <c r="K383" t="str">
        <f t="shared" si="21"/>
        <v/>
      </c>
      <c r="L383" t="str">
        <f t="shared" si="23"/>
        <v/>
      </c>
    </row>
    <row r="384" spans="1:12">
      <c r="A384" t="s">
        <v>244</v>
      </c>
      <c r="B384" t="s">
        <v>243</v>
      </c>
      <c r="C384">
        <v>2.4900000000000002</v>
      </c>
      <c r="D384" s="18">
        <f t="shared" si="22"/>
        <v>0.38592750533049042</v>
      </c>
      <c r="E384" s="56">
        <v>412.4</v>
      </c>
      <c r="F384">
        <v>13.77</v>
      </c>
      <c r="G384" s="17">
        <v>48092</v>
      </c>
      <c r="H384">
        <v>80</v>
      </c>
      <c r="I384" t="s">
        <v>81</v>
      </c>
      <c r="J384">
        <f t="shared" si="20"/>
        <v>10</v>
      </c>
      <c r="K384" t="str">
        <f t="shared" si="21"/>
        <v/>
      </c>
      <c r="L384" t="str">
        <f t="shared" si="23"/>
        <v/>
      </c>
    </row>
    <row r="385" spans="1:12">
      <c r="A385" t="s">
        <v>242</v>
      </c>
      <c r="B385" t="s">
        <v>241</v>
      </c>
      <c r="C385">
        <v>2.14</v>
      </c>
      <c r="D385" s="18">
        <f t="shared" si="22"/>
        <v>0.17484008528784648</v>
      </c>
      <c r="E385" s="56">
        <v>157.93</v>
      </c>
      <c r="F385">
        <v>19.38</v>
      </c>
      <c r="G385" s="17">
        <v>46447</v>
      </c>
      <c r="H385">
        <v>26</v>
      </c>
      <c r="I385" t="s">
        <v>81</v>
      </c>
      <c r="J385">
        <f t="shared" si="20"/>
        <v>60</v>
      </c>
      <c r="K385" t="str">
        <f t="shared" si="21"/>
        <v>Close</v>
      </c>
      <c r="L385" t="str">
        <f t="shared" si="23"/>
        <v>Wave 1</v>
      </c>
    </row>
    <row r="386" spans="1:12">
      <c r="A386" t="s">
        <v>240</v>
      </c>
      <c r="B386" t="s">
        <v>183</v>
      </c>
      <c r="C386">
        <v>1.1000000000000001</v>
      </c>
      <c r="D386" s="18">
        <f t="shared" si="22"/>
        <v>2.1321961620469083E-3</v>
      </c>
      <c r="E386" s="56">
        <v>229.2</v>
      </c>
      <c r="F386">
        <v>10.38</v>
      </c>
      <c r="G386" s="17">
        <v>46935</v>
      </c>
      <c r="H386">
        <v>42</v>
      </c>
      <c r="I386" t="s">
        <v>76</v>
      </c>
      <c r="J386">
        <f t="shared" ref="J386:J449" si="24">IF($D386&lt;=0.25,40,0)+IF($F386&lt;0,30,IF($F386&lt;2,20,IF($F386&lt;5,10,0)))+IF($H386&lt;=24,20,IF($H386&lt;=36,10,0))
+IF($I386="Low",10,IF($I386="Medium",5,0))</f>
        <v>45</v>
      </c>
      <c r="K386" t="str">
        <f t="shared" ref="K386:K449" si="25">IF(L386=$L$2, "","Close")</f>
        <v>Close</v>
      </c>
      <c r="L386" t="str">
        <f t="shared" si="23"/>
        <v>Wave 2</v>
      </c>
    </row>
    <row r="387" spans="1:12">
      <c r="A387" t="s">
        <v>239</v>
      </c>
      <c r="B387" t="s">
        <v>238</v>
      </c>
      <c r="C387">
        <v>1.83</v>
      </c>
      <c r="D387" s="18">
        <f t="shared" ref="D387:D450" si="26">_xlfn.RANK.EQ(C387,$C$2:$C$470,1)/COUNT($C$2:$C$470)</f>
        <v>7.8891257995735611E-2</v>
      </c>
      <c r="E387" s="56">
        <v>264.02999999999997</v>
      </c>
      <c r="F387">
        <v>14.63</v>
      </c>
      <c r="G387" s="17">
        <v>47484</v>
      </c>
      <c r="H387">
        <v>60</v>
      </c>
      <c r="I387" t="s">
        <v>76</v>
      </c>
      <c r="J387">
        <f t="shared" si="24"/>
        <v>45</v>
      </c>
      <c r="K387" t="str">
        <f t="shared" si="25"/>
        <v>Close</v>
      </c>
      <c r="L387" t="str">
        <f t="shared" si="23"/>
        <v>Wave 2</v>
      </c>
    </row>
    <row r="388" spans="1:12">
      <c r="A388" t="s">
        <v>237</v>
      </c>
      <c r="B388" t="s">
        <v>236</v>
      </c>
      <c r="C388">
        <v>2.62</v>
      </c>
      <c r="D388" s="18">
        <f t="shared" si="26"/>
        <v>0.49680170575692961</v>
      </c>
      <c r="E388" s="56">
        <v>413.42</v>
      </c>
      <c r="F388">
        <v>12.33</v>
      </c>
      <c r="G388" s="17">
        <v>47239</v>
      </c>
      <c r="H388">
        <v>52</v>
      </c>
      <c r="I388" t="s">
        <v>76</v>
      </c>
      <c r="J388">
        <f t="shared" si="24"/>
        <v>5</v>
      </c>
      <c r="K388" t="str">
        <f t="shared" si="25"/>
        <v/>
      </c>
      <c r="L388" t="str">
        <f t="shared" si="23"/>
        <v/>
      </c>
    </row>
    <row r="389" spans="1:12">
      <c r="A389" t="s">
        <v>235</v>
      </c>
      <c r="B389" t="s">
        <v>234</v>
      </c>
      <c r="C389">
        <v>2.56</v>
      </c>
      <c r="D389" s="18">
        <f t="shared" si="26"/>
        <v>0.44562899786780386</v>
      </c>
      <c r="E389" s="56">
        <v>424.77</v>
      </c>
      <c r="F389">
        <v>3.94</v>
      </c>
      <c r="G389" s="17">
        <v>49310</v>
      </c>
      <c r="H389">
        <v>120</v>
      </c>
      <c r="I389" t="s">
        <v>76</v>
      </c>
      <c r="J389">
        <f t="shared" si="24"/>
        <v>15</v>
      </c>
      <c r="K389" t="str">
        <f t="shared" si="25"/>
        <v/>
      </c>
      <c r="L389" t="str">
        <f t="shared" si="23"/>
        <v/>
      </c>
    </row>
    <row r="390" spans="1:12">
      <c r="A390" t="s">
        <v>233</v>
      </c>
      <c r="B390" t="s">
        <v>232</v>
      </c>
      <c r="C390">
        <v>2.88</v>
      </c>
      <c r="D390" s="18">
        <f t="shared" si="26"/>
        <v>0.67377398720682302</v>
      </c>
      <c r="E390" s="56">
        <v>393.16</v>
      </c>
      <c r="F390">
        <v>14.16</v>
      </c>
      <c r="G390" s="17">
        <v>47178</v>
      </c>
      <c r="H390">
        <v>50</v>
      </c>
      <c r="I390" t="s">
        <v>76</v>
      </c>
      <c r="J390">
        <f t="shared" si="24"/>
        <v>5</v>
      </c>
      <c r="K390" t="str">
        <f t="shared" si="25"/>
        <v/>
      </c>
      <c r="L390" t="str">
        <f t="shared" si="23"/>
        <v/>
      </c>
    </row>
    <row r="391" spans="1:12">
      <c r="A391" t="s">
        <v>231</v>
      </c>
      <c r="B391" t="s">
        <v>230</v>
      </c>
      <c r="C391">
        <v>2.59</v>
      </c>
      <c r="D391" s="18">
        <f t="shared" si="26"/>
        <v>0.46268656716417911</v>
      </c>
      <c r="E391" s="56">
        <v>356.3</v>
      </c>
      <c r="F391">
        <v>11.77</v>
      </c>
      <c r="G391" s="17">
        <v>46113</v>
      </c>
      <c r="H391">
        <v>15</v>
      </c>
      <c r="I391" t="s">
        <v>81</v>
      </c>
      <c r="J391">
        <f t="shared" si="24"/>
        <v>30</v>
      </c>
      <c r="K391" t="str">
        <f t="shared" si="25"/>
        <v/>
      </c>
      <c r="L391" t="str">
        <f t="shared" ref="L391:L454" si="27">IF(_xlfn.RANK.EQ($J391,$J$2:$J$470,0)&lt;=40,"Wave 1",
IF(_xlfn.RANK.EQ($J391,$J$2:$J$470,0)&lt;=70,"Wave 2",""))</f>
        <v/>
      </c>
    </row>
    <row r="392" spans="1:12">
      <c r="A392" t="s">
        <v>229</v>
      </c>
      <c r="B392" t="s">
        <v>203</v>
      </c>
      <c r="C392">
        <v>2.75</v>
      </c>
      <c r="D392" s="18">
        <f t="shared" si="26"/>
        <v>0.59488272921108742</v>
      </c>
      <c r="E392" s="56">
        <v>376.98</v>
      </c>
      <c r="F392">
        <v>16.78</v>
      </c>
      <c r="G392" s="17">
        <v>47788</v>
      </c>
      <c r="H392">
        <v>70</v>
      </c>
      <c r="I392" t="s">
        <v>84</v>
      </c>
      <c r="J392">
        <f t="shared" si="24"/>
        <v>0</v>
      </c>
      <c r="K392" t="str">
        <f t="shared" si="25"/>
        <v/>
      </c>
      <c r="L392" t="str">
        <f t="shared" si="27"/>
        <v/>
      </c>
    </row>
    <row r="393" spans="1:12">
      <c r="A393" t="s">
        <v>228</v>
      </c>
      <c r="B393" t="s">
        <v>227</v>
      </c>
      <c r="C393">
        <v>3.09</v>
      </c>
      <c r="D393" s="18">
        <f t="shared" si="26"/>
        <v>0.8081023454157783</v>
      </c>
      <c r="E393" s="56">
        <v>418.58</v>
      </c>
      <c r="F393">
        <v>22.02</v>
      </c>
      <c r="G393" s="17">
        <v>46539</v>
      </c>
      <c r="H393">
        <v>29</v>
      </c>
      <c r="I393" t="s">
        <v>76</v>
      </c>
      <c r="J393">
        <f t="shared" si="24"/>
        <v>15</v>
      </c>
      <c r="K393" t="str">
        <f t="shared" si="25"/>
        <v/>
      </c>
      <c r="L393" t="str">
        <f t="shared" si="27"/>
        <v/>
      </c>
    </row>
    <row r="394" spans="1:12">
      <c r="A394" t="s">
        <v>226</v>
      </c>
      <c r="B394" t="s">
        <v>225</v>
      </c>
      <c r="C394">
        <v>2.17</v>
      </c>
      <c r="D394" s="18">
        <f t="shared" si="26"/>
        <v>0.18976545842217485</v>
      </c>
      <c r="E394" s="56">
        <v>146.49</v>
      </c>
      <c r="F394">
        <v>15.68</v>
      </c>
      <c r="G394" s="17">
        <v>46508</v>
      </c>
      <c r="H394">
        <v>28</v>
      </c>
      <c r="I394" t="s">
        <v>76</v>
      </c>
      <c r="J394">
        <f t="shared" si="24"/>
        <v>55</v>
      </c>
      <c r="K394" t="str">
        <f t="shared" si="25"/>
        <v>Close</v>
      </c>
      <c r="L394" t="str">
        <f t="shared" si="27"/>
        <v>Wave 1</v>
      </c>
    </row>
    <row r="395" spans="1:12">
      <c r="A395" t="s">
        <v>224</v>
      </c>
      <c r="B395" t="s">
        <v>223</v>
      </c>
      <c r="C395">
        <v>2.5</v>
      </c>
      <c r="D395" s="18">
        <f t="shared" si="26"/>
        <v>0.39658848614072495</v>
      </c>
      <c r="E395" s="56">
        <v>422.18</v>
      </c>
      <c r="F395">
        <v>10.95</v>
      </c>
      <c r="G395" s="17">
        <v>46569</v>
      </c>
      <c r="H395">
        <v>30</v>
      </c>
      <c r="I395" t="s">
        <v>84</v>
      </c>
      <c r="J395">
        <f t="shared" si="24"/>
        <v>10</v>
      </c>
      <c r="K395" t="str">
        <f t="shared" si="25"/>
        <v/>
      </c>
      <c r="L395" t="str">
        <f t="shared" si="27"/>
        <v/>
      </c>
    </row>
    <row r="396" spans="1:12">
      <c r="A396" t="s">
        <v>222</v>
      </c>
      <c r="B396" t="s">
        <v>221</v>
      </c>
      <c r="C396">
        <v>1.78</v>
      </c>
      <c r="D396" s="18">
        <f t="shared" si="26"/>
        <v>6.3965884861407252E-2</v>
      </c>
      <c r="E396" s="56">
        <v>246.84</v>
      </c>
      <c r="F396">
        <v>14.63</v>
      </c>
      <c r="G396" s="17">
        <v>48000</v>
      </c>
      <c r="H396">
        <v>77</v>
      </c>
      <c r="I396" t="s">
        <v>76</v>
      </c>
      <c r="J396">
        <f t="shared" si="24"/>
        <v>45</v>
      </c>
      <c r="K396" t="str">
        <f t="shared" si="25"/>
        <v>Close</v>
      </c>
      <c r="L396" t="str">
        <f t="shared" si="27"/>
        <v>Wave 2</v>
      </c>
    </row>
    <row r="397" spans="1:12">
      <c r="A397" t="s">
        <v>220</v>
      </c>
      <c r="B397" t="s">
        <v>219</v>
      </c>
      <c r="C397">
        <v>3.2</v>
      </c>
      <c r="D397" s="18">
        <f t="shared" si="26"/>
        <v>0.8571428571428571</v>
      </c>
      <c r="E397" s="56">
        <v>484.26</v>
      </c>
      <c r="F397">
        <v>13.51</v>
      </c>
      <c r="G397" s="17">
        <v>47969</v>
      </c>
      <c r="H397">
        <v>76</v>
      </c>
      <c r="I397" t="s">
        <v>76</v>
      </c>
      <c r="J397">
        <f t="shared" si="24"/>
        <v>5</v>
      </c>
      <c r="K397" t="str">
        <f t="shared" si="25"/>
        <v/>
      </c>
      <c r="L397" t="str">
        <f t="shared" si="27"/>
        <v/>
      </c>
    </row>
    <row r="398" spans="1:12">
      <c r="A398" t="s">
        <v>218</v>
      </c>
      <c r="B398" t="s">
        <v>217</v>
      </c>
      <c r="C398">
        <v>2.68</v>
      </c>
      <c r="D398" s="18">
        <f t="shared" si="26"/>
        <v>0.55010660980810233</v>
      </c>
      <c r="E398" s="56">
        <v>349.61</v>
      </c>
      <c r="F398">
        <v>17.2</v>
      </c>
      <c r="G398" s="17">
        <v>46508</v>
      </c>
      <c r="H398">
        <v>28</v>
      </c>
      <c r="I398" t="s">
        <v>76</v>
      </c>
      <c r="J398">
        <f t="shared" si="24"/>
        <v>15</v>
      </c>
      <c r="K398" t="str">
        <f t="shared" si="25"/>
        <v/>
      </c>
      <c r="L398" t="str">
        <f t="shared" si="27"/>
        <v/>
      </c>
    </row>
    <row r="399" spans="1:12">
      <c r="A399" t="s">
        <v>216</v>
      </c>
      <c r="B399" t="s">
        <v>179</v>
      </c>
      <c r="C399">
        <v>2.93</v>
      </c>
      <c r="D399" s="18">
        <f t="shared" si="26"/>
        <v>0.70362473347547971</v>
      </c>
      <c r="E399" s="56">
        <v>319.7</v>
      </c>
      <c r="F399">
        <v>6.13</v>
      </c>
      <c r="G399" s="17">
        <v>46569</v>
      </c>
      <c r="H399">
        <v>30</v>
      </c>
      <c r="I399" t="s">
        <v>81</v>
      </c>
      <c r="J399">
        <f t="shared" si="24"/>
        <v>20</v>
      </c>
      <c r="K399" t="str">
        <f t="shared" si="25"/>
        <v/>
      </c>
      <c r="L399" t="str">
        <f t="shared" si="27"/>
        <v/>
      </c>
    </row>
    <row r="400" spans="1:12">
      <c r="A400" t="s">
        <v>215</v>
      </c>
      <c r="B400" t="s">
        <v>214</v>
      </c>
      <c r="C400">
        <v>3.51</v>
      </c>
      <c r="D400" s="18">
        <f t="shared" si="26"/>
        <v>0.94882729211087424</v>
      </c>
      <c r="E400" s="56">
        <v>407.75</v>
      </c>
      <c r="F400">
        <v>7.35</v>
      </c>
      <c r="G400" s="17">
        <v>47635</v>
      </c>
      <c r="H400">
        <v>65</v>
      </c>
      <c r="I400" t="s">
        <v>76</v>
      </c>
      <c r="J400">
        <f t="shared" si="24"/>
        <v>5</v>
      </c>
      <c r="K400" t="str">
        <f t="shared" si="25"/>
        <v/>
      </c>
      <c r="L400" t="str">
        <f t="shared" si="27"/>
        <v/>
      </c>
    </row>
    <row r="401" spans="1:12">
      <c r="A401" t="s">
        <v>213</v>
      </c>
      <c r="B401" t="s">
        <v>212</v>
      </c>
      <c r="C401">
        <v>3.25</v>
      </c>
      <c r="D401" s="18">
        <f t="shared" si="26"/>
        <v>0.88272921108742008</v>
      </c>
      <c r="E401" s="56">
        <v>313.52</v>
      </c>
      <c r="F401">
        <v>3.4</v>
      </c>
      <c r="G401" s="17">
        <v>47270</v>
      </c>
      <c r="H401">
        <v>53</v>
      </c>
      <c r="I401" t="s">
        <v>76</v>
      </c>
      <c r="J401">
        <f t="shared" si="24"/>
        <v>15</v>
      </c>
      <c r="K401" t="str">
        <f t="shared" si="25"/>
        <v/>
      </c>
      <c r="L401" t="str">
        <f t="shared" si="27"/>
        <v/>
      </c>
    </row>
    <row r="402" spans="1:12">
      <c r="A402" t="s">
        <v>211</v>
      </c>
      <c r="B402" t="s">
        <v>210</v>
      </c>
      <c r="C402">
        <v>2.63</v>
      </c>
      <c r="D402" s="18">
        <f t="shared" si="26"/>
        <v>0.50533049040511724</v>
      </c>
      <c r="E402" s="56">
        <v>369.01</v>
      </c>
      <c r="F402">
        <v>15.33</v>
      </c>
      <c r="G402" s="17">
        <v>46569</v>
      </c>
      <c r="H402">
        <v>30</v>
      </c>
      <c r="I402" t="s">
        <v>76</v>
      </c>
      <c r="J402">
        <f t="shared" si="24"/>
        <v>15</v>
      </c>
      <c r="K402" t="str">
        <f t="shared" si="25"/>
        <v/>
      </c>
      <c r="L402" t="str">
        <f t="shared" si="27"/>
        <v/>
      </c>
    </row>
    <row r="403" spans="1:12">
      <c r="A403" t="s">
        <v>209</v>
      </c>
      <c r="B403" t="s">
        <v>108</v>
      </c>
      <c r="C403">
        <v>3.09</v>
      </c>
      <c r="D403" s="18">
        <f t="shared" si="26"/>
        <v>0.8081023454157783</v>
      </c>
      <c r="E403" s="56">
        <v>237.18</v>
      </c>
      <c r="F403">
        <v>12.51</v>
      </c>
      <c r="G403" s="17">
        <v>45992</v>
      </c>
      <c r="H403">
        <v>11</v>
      </c>
      <c r="I403" t="s">
        <v>81</v>
      </c>
      <c r="J403">
        <f t="shared" si="24"/>
        <v>30</v>
      </c>
      <c r="K403" t="str">
        <f t="shared" si="25"/>
        <v/>
      </c>
      <c r="L403" t="str">
        <f t="shared" si="27"/>
        <v/>
      </c>
    </row>
    <row r="404" spans="1:12">
      <c r="A404" t="s">
        <v>208</v>
      </c>
      <c r="B404" t="s">
        <v>207</v>
      </c>
      <c r="C404">
        <v>1.87</v>
      </c>
      <c r="D404" s="18">
        <f t="shared" si="26"/>
        <v>9.3816631130063971E-2</v>
      </c>
      <c r="E404" s="56">
        <v>118.12</v>
      </c>
      <c r="F404">
        <v>9.7200000000000006</v>
      </c>
      <c r="G404" s="17">
        <v>45931</v>
      </c>
      <c r="H404">
        <v>9</v>
      </c>
      <c r="I404" t="s">
        <v>76</v>
      </c>
      <c r="J404">
        <f t="shared" si="24"/>
        <v>65</v>
      </c>
      <c r="K404" t="str">
        <f t="shared" si="25"/>
        <v>Close</v>
      </c>
      <c r="L404" t="str">
        <f t="shared" si="27"/>
        <v>Wave 1</v>
      </c>
    </row>
    <row r="405" spans="1:12">
      <c r="A405" t="s">
        <v>206</v>
      </c>
      <c r="B405" t="s">
        <v>205</v>
      </c>
      <c r="C405">
        <v>2.9</v>
      </c>
      <c r="D405" s="18">
        <f t="shared" si="26"/>
        <v>0.68869936034115142</v>
      </c>
      <c r="E405" s="56">
        <v>400.86</v>
      </c>
      <c r="F405">
        <v>9.34</v>
      </c>
      <c r="G405" s="17">
        <v>47239</v>
      </c>
      <c r="H405">
        <v>52</v>
      </c>
      <c r="I405" t="s">
        <v>81</v>
      </c>
      <c r="J405">
        <f t="shared" si="24"/>
        <v>10</v>
      </c>
      <c r="K405" t="str">
        <f t="shared" si="25"/>
        <v/>
      </c>
      <c r="L405" t="str">
        <f t="shared" si="27"/>
        <v/>
      </c>
    </row>
    <row r="406" spans="1:12">
      <c r="A406" t="s">
        <v>204</v>
      </c>
      <c r="B406" t="s">
        <v>203</v>
      </c>
      <c r="C406">
        <v>2.74</v>
      </c>
      <c r="D406" s="18">
        <f t="shared" si="26"/>
        <v>0.58848614072494665</v>
      </c>
      <c r="E406" s="56">
        <v>411.28</v>
      </c>
      <c r="F406">
        <v>10.029999999999999</v>
      </c>
      <c r="G406" s="17">
        <v>47119</v>
      </c>
      <c r="H406">
        <v>48</v>
      </c>
      <c r="I406" t="s">
        <v>81</v>
      </c>
      <c r="J406">
        <f t="shared" si="24"/>
        <v>10</v>
      </c>
      <c r="K406" t="str">
        <f t="shared" si="25"/>
        <v/>
      </c>
      <c r="L406" t="str">
        <f t="shared" si="27"/>
        <v/>
      </c>
    </row>
    <row r="407" spans="1:12">
      <c r="A407" t="s">
        <v>202</v>
      </c>
      <c r="B407" t="s">
        <v>201</v>
      </c>
      <c r="C407">
        <v>1.77</v>
      </c>
      <c r="D407" s="18">
        <f t="shared" si="26"/>
        <v>6.1833688699360338E-2</v>
      </c>
      <c r="E407" s="56">
        <v>177.83</v>
      </c>
      <c r="F407">
        <v>8.42</v>
      </c>
      <c r="G407" s="17">
        <v>46935</v>
      </c>
      <c r="H407">
        <v>42</v>
      </c>
      <c r="I407" t="s">
        <v>76</v>
      </c>
      <c r="J407">
        <f t="shared" si="24"/>
        <v>45</v>
      </c>
      <c r="K407" t="str">
        <f t="shared" si="25"/>
        <v>Close</v>
      </c>
      <c r="L407" t="str">
        <f t="shared" si="27"/>
        <v>Wave 2</v>
      </c>
    </row>
    <row r="408" spans="1:12">
      <c r="A408" t="s">
        <v>200</v>
      </c>
      <c r="B408" t="s">
        <v>199</v>
      </c>
      <c r="C408">
        <v>3.4</v>
      </c>
      <c r="D408" s="18">
        <f t="shared" si="26"/>
        <v>0.92537313432835822</v>
      </c>
      <c r="E408" s="56">
        <v>363.88</v>
      </c>
      <c r="F408">
        <v>11.15</v>
      </c>
      <c r="G408" s="17">
        <v>45931</v>
      </c>
      <c r="H408">
        <v>9</v>
      </c>
      <c r="I408" t="s">
        <v>84</v>
      </c>
      <c r="J408">
        <f t="shared" si="24"/>
        <v>20</v>
      </c>
      <c r="K408" t="str">
        <f t="shared" si="25"/>
        <v/>
      </c>
      <c r="L408" t="str">
        <f t="shared" si="27"/>
        <v/>
      </c>
    </row>
    <row r="409" spans="1:12">
      <c r="A409" t="s">
        <v>198</v>
      </c>
      <c r="B409" t="s">
        <v>197</v>
      </c>
      <c r="C409">
        <v>2.27</v>
      </c>
      <c r="D409" s="18">
        <f t="shared" si="26"/>
        <v>0.24307036247334754</v>
      </c>
      <c r="E409" s="56">
        <v>185.88</v>
      </c>
      <c r="F409">
        <v>10.38</v>
      </c>
      <c r="G409" s="17">
        <v>47880</v>
      </c>
      <c r="H409">
        <v>73</v>
      </c>
      <c r="I409" t="s">
        <v>81</v>
      </c>
      <c r="J409">
        <f t="shared" si="24"/>
        <v>50</v>
      </c>
      <c r="K409" t="str">
        <f t="shared" si="25"/>
        <v>Close</v>
      </c>
      <c r="L409" t="str">
        <f t="shared" si="27"/>
        <v>Wave 1</v>
      </c>
    </row>
    <row r="410" spans="1:12">
      <c r="A410" t="s">
        <v>196</v>
      </c>
      <c r="B410" t="s">
        <v>195</v>
      </c>
      <c r="C410">
        <v>3.04</v>
      </c>
      <c r="D410" s="18">
        <f t="shared" si="26"/>
        <v>0.78251599147121531</v>
      </c>
      <c r="E410" s="56">
        <v>414.01</v>
      </c>
      <c r="F410">
        <v>18.850000000000001</v>
      </c>
      <c r="G410" s="17">
        <v>47088</v>
      </c>
      <c r="H410">
        <v>47</v>
      </c>
      <c r="I410" t="s">
        <v>84</v>
      </c>
      <c r="J410">
        <f t="shared" si="24"/>
        <v>0</v>
      </c>
      <c r="K410" t="str">
        <f t="shared" si="25"/>
        <v/>
      </c>
      <c r="L410" t="str">
        <f t="shared" si="27"/>
        <v/>
      </c>
    </row>
    <row r="411" spans="1:12">
      <c r="A411" t="s">
        <v>194</v>
      </c>
      <c r="B411" t="s">
        <v>193</v>
      </c>
      <c r="C411">
        <v>2.4300000000000002</v>
      </c>
      <c r="D411" s="18">
        <f t="shared" si="26"/>
        <v>0.34115138592750532</v>
      </c>
      <c r="E411" s="56">
        <v>377.44</v>
      </c>
      <c r="F411">
        <v>14.05</v>
      </c>
      <c r="G411" s="17">
        <v>47027</v>
      </c>
      <c r="H411">
        <v>45</v>
      </c>
      <c r="I411" t="s">
        <v>76</v>
      </c>
      <c r="J411">
        <f t="shared" si="24"/>
        <v>5</v>
      </c>
      <c r="K411" t="str">
        <f t="shared" si="25"/>
        <v/>
      </c>
      <c r="L411" t="str">
        <f t="shared" si="27"/>
        <v/>
      </c>
    </row>
    <row r="412" spans="1:12">
      <c r="A412" t="s">
        <v>192</v>
      </c>
      <c r="B412" t="s">
        <v>191</v>
      </c>
      <c r="C412">
        <v>3.21</v>
      </c>
      <c r="D412" s="18">
        <f t="shared" si="26"/>
        <v>0.86567164179104472</v>
      </c>
      <c r="E412" s="56">
        <v>409.04</v>
      </c>
      <c r="F412">
        <v>8.92</v>
      </c>
      <c r="G412" s="17">
        <v>47423</v>
      </c>
      <c r="H412">
        <v>58</v>
      </c>
      <c r="I412" t="s">
        <v>76</v>
      </c>
      <c r="J412">
        <f t="shared" si="24"/>
        <v>5</v>
      </c>
      <c r="K412" t="str">
        <f t="shared" si="25"/>
        <v/>
      </c>
      <c r="L412" t="str">
        <f t="shared" si="27"/>
        <v/>
      </c>
    </row>
    <row r="413" spans="1:12">
      <c r="A413" t="s">
        <v>190</v>
      </c>
      <c r="B413" t="s">
        <v>189</v>
      </c>
      <c r="C413">
        <v>3.38</v>
      </c>
      <c r="D413" s="18">
        <f t="shared" si="26"/>
        <v>0.92324093816631125</v>
      </c>
      <c r="E413" s="56">
        <v>371.84</v>
      </c>
      <c r="F413">
        <v>9.9700000000000006</v>
      </c>
      <c r="G413" s="17">
        <v>47392</v>
      </c>
      <c r="H413">
        <v>57</v>
      </c>
      <c r="I413" t="s">
        <v>81</v>
      </c>
      <c r="J413">
        <f t="shared" si="24"/>
        <v>10</v>
      </c>
      <c r="K413" t="str">
        <f t="shared" si="25"/>
        <v/>
      </c>
      <c r="L413" t="str">
        <f t="shared" si="27"/>
        <v/>
      </c>
    </row>
    <row r="414" spans="1:12">
      <c r="A414" t="s">
        <v>188</v>
      </c>
      <c r="B414" t="s">
        <v>187</v>
      </c>
      <c r="C414">
        <v>2.2000000000000002</v>
      </c>
      <c r="D414" s="18">
        <f t="shared" si="26"/>
        <v>0.20042643923240938</v>
      </c>
      <c r="E414" s="56">
        <v>161.16999999999999</v>
      </c>
      <c r="F414">
        <v>18</v>
      </c>
      <c r="G414" s="17">
        <v>46661</v>
      </c>
      <c r="H414">
        <v>33</v>
      </c>
      <c r="I414" t="s">
        <v>84</v>
      </c>
      <c r="J414">
        <f t="shared" si="24"/>
        <v>50</v>
      </c>
      <c r="K414" t="str">
        <f t="shared" si="25"/>
        <v>Close</v>
      </c>
      <c r="L414" t="str">
        <f t="shared" si="27"/>
        <v>Wave 1</v>
      </c>
    </row>
    <row r="415" spans="1:12">
      <c r="A415" t="s">
        <v>186</v>
      </c>
      <c r="B415" t="s">
        <v>185</v>
      </c>
      <c r="C415">
        <v>1.82</v>
      </c>
      <c r="D415" s="18">
        <f t="shared" si="26"/>
        <v>7.2494669509594878E-2</v>
      </c>
      <c r="E415" s="56">
        <v>175.52</v>
      </c>
      <c r="F415">
        <v>14.64</v>
      </c>
      <c r="G415" s="17">
        <v>48611</v>
      </c>
      <c r="H415">
        <v>97</v>
      </c>
      <c r="I415" t="s">
        <v>76</v>
      </c>
      <c r="J415">
        <f t="shared" si="24"/>
        <v>45</v>
      </c>
      <c r="K415" t="str">
        <f t="shared" si="25"/>
        <v>Close</v>
      </c>
      <c r="L415" t="str">
        <f t="shared" si="27"/>
        <v>Wave 2</v>
      </c>
    </row>
    <row r="416" spans="1:12">
      <c r="A416" t="s">
        <v>184</v>
      </c>
      <c r="B416" t="s">
        <v>183</v>
      </c>
      <c r="C416">
        <v>2.59</v>
      </c>
      <c r="D416" s="18">
        <f t="shared" si="26"/>
        <v>0.46268656716417911</v>
      </c>
      <c r="E416" s="56">
        <v>378.25</v>
      </c>
      <c r="F416">
        <v>13.93</v>
      </c>
      <c r="G416" s="17">
        <v>48061</v>
      </c>
      <c r="H416">
        <v>79</v>
      </c>
      <c r="I416" t="s">
        <v>81</v>
      </c>
      <c r="J416">
        <f t="shared" si="24"/>
        <v>10</v>
      </c>
      <c r="K416" t="str">
        <f t="shared" si="25"/>
        <v/>
      </c>
      <c r="L416" t="str">
        <f t="shared" si="27"/>
        <v/>
      </c>
    </row>
    <row r="417" spans="1:12">
      <c r="A417" t="s">
        <v>182</v>
      </c>
      <c r="B417" t="s">
        <v>181</v>
      </c>
      <c r="C417">
        <v>3.13</v>
      </c>
      <c r="D417" s="18">
        <f t="shared" si="26"/>
        <v>0.82942430703624737</v>
      </c>
      <c r="E417" s="56">
        <v>426.59</v>
      </c>
      <c r="F417">
        <v>15.84</v>
      </c>
      <c r="G417" s="17">
        <v>46935</v>
      </c>
      <c r="H417">
        <v>42</v>
      </c>
      <c r="I417" t="s">
        <v>84</v>
      </c>
      <c r="J417">
        <f t="shared" si="24"/>
        <v>0</v>
      </c>
      <c r="K417" t="str">
        <f t="shared" si="25"/>
        <v/>
      </c>
      <c r="L417" t="str">
        <f t="shared" si="27"/>
        <v/>
      </c>
    </row>
    <row r="418" spans="1:12">
      <c r="A418" t="s">
        <v>180</v>
      </c>
      <c r="B418" t="s">
        <v>179</v>
      </c>
      <c r="C418">
        <v>2.46</v>
      </c>
      <c r="D418" s="18">
        <f t="shared" si="26"/>
        <v>0.3646055437100213</v>
      </c>
      <c r="E418" s="56">
        <v>474.84</v>
      </c>
      <c r="F418">
        <v>19.739999999999998</v>
      </c>
      <c r="G418" s="17">
        <v>47635</v>
      </c>
      <c r="H418">
        <v>65</v>
      </c>
      <c r="I418" t="s">
        <v>76</v>
      </c>
      <c r="J418">
        <f t="shared" si="24"/>
        <v>5</v>
      </c>
      <c r="K418" t="str">
        <f t="shared" si="25"/>
        <v/>
      </c>
      <c r="L418" t="str">
        <f t="shared" si="27"/>
        <v/>
      </c>
    </row>
    <row r="419" spans="1:12">
      <c r="A419" t="s">
        <v>178</v>
      </c>
      <c r="B419" t="s">
        <v>177</v>
      </c>
      <c r="C419">
        <v>2.3199999999999998</v>
      </c>
      <c r="D419" s="18">
        <f t="shared" si="26"/>
        <v>0.27292110874200426</v>
      </c>
      <c r="E419" s="56">
        <v>369.67</v>
      </c>
      <c r="F419">
        <v>7.12</v>
      </c>
      <c r="G419" s="17">
        <v>46661</v>
      </c>
      <c r="H419">
        <v>33</v>
      </c>
      <c r="I419" t="s">
        <v>84</v>
      </c>
      <c r="J419">
        <f t="shared" si="24"/>
        <v>10</v>
      </c>
      <c r="K419" t="str">
        <f t="shared" si="25"/>
        <v/>
      </c>
      <c r="L419" t="str">
        <f t="shared" si="27"/>
        <v/>
      </c>
    </row>
    <row r="420" spans="1:12">
      <c r="A420" t="s">
        <v>176</v>
      </c>
      <c r="B420" t="s">
        <v>175</v>
      </c>
      <c r="C420">
        <v>2.93</v>
      </c>
      <c r="D420" s="18">
        <f t="shared" si="26"/>
        <v>0.70362473347547971</v>
      </c>
      <c r="E420" s="56">
        <v>425.92</v>
      </c>
      <c r="F420">
        <v>9.24</v>
      </c>
      <c r="G420" s="17">
        <v>47209</v>
      </c>
      <c r="H420">
        <v>51</v>
      </c>
      <c r="I420" t="s">
        <v>76</v>
      </c>
      <c r="J420">
        <f t="shared" si="24"/>
        <v>5</v>
      </c>
      <c r="K420" t="str">
        <f t="shared" si="25"/>
        <v/>
      </c>
      <c r="L420" t="str">
        <f t="shared" si="27"/>
        <v/>
      </c>
    </row>
    <row r="421" spans="1:12">
      <c r="A421" t="s">
        <v>174</v>
      </c>
      <c r="B421" t="s">
        <v>173</v>
      </c>
      <c r="C421">
        <v>1.1399999999999999</v>
      </c>
      <c r="D421" s="18">
        <f t="shared" si="26"/>
        <v>8.5287846481876331E-3</v>
      </c>
      <c r="E421" s="56">
        <v>158.35</v>
      </c>
      <c r="F421">
        <v>4.7699999999999996</v>
      </c>
      <c r="G421" s="17">
        <v>48670</v>
      </c>
      <c r="H421">
        <v>99</v>
      </c>
      <c r="I421" t="s">
        <v>84</v>
      </c>
      <c r="J421">
        <f t="shared" si="24"/>
        <v>50</v>
      </c>
      <c r="K421" t="str">
        <f t="shared" si="25"/>
        <v>Close</v>
      </c>
      <c r="L421" t="str">
        <f t="shared" si="27"/>
        <v>Wave 1</v>
      </c>
    </row>
    <row r="422" spans="1:12">
      <c r="A422" t="s">
        <v>172</v>
      </c>
      <c r="B422" t="s">
        <v>171</v>
      </c>
      <c r="C422">
        <v>2.29</v>
      </c>
      <c r="D422" s="18">
        <f t="shared" si="26"/>
        <v>0.25586353944562901</v>
      </c>
      <c r="E422" s="56">
        <v>459.63</v>
      </c>
      <c r="F422">
        <v>14.83</v>
      </c>
      <c r="G422" s="17">
        <v>46539</v>
      </c>
      <c r="H422">
        <v>29</v>
      </c>
      <c r="I422" t="s">
        <v>84</v>
      </c>
      <c r="J422">
        <f t="shared" si="24"/>
        <v>10</v>
      </c>
      <c r="K422" t="str">
        <f t="shared" si="25"/>
        <v/>
      </c>
      <c r="L422" t="str">
        <f t="shared" si="27"/>
        <v/>
      </c>
    </row>
    <row r="423" spans="1:12">
      <c r="A423" t="s">
        <v>170</v>
      </c>
      <c r="B423" t="s">
        <v>169</v>
      </c>
      <c r="C423">
        <v>1.9</v>
      </c>
      <c r="D423" s="18">
        <f t="shared" si="26"/>
        <v>0.11087420042643924</v>
      </c>
      <c r="E423" s="56">
        <v>188.46</v>
      </c>
      <c r="F423">
        <v>10.9</v>
      </c>
      <c r="G423" s="17">
        <v>47574</v>
      </c>
      <c r="H423">
        <v>63</v>
      </c>
      <c r="I423" t="s">
        <v>76</v>
      </c>
      <c r="J423">
        <f t="shared" si="24"/>
        <v>45</v>
      </c>
      <c r="K423" t="str">
        <f t="shared" si="25"/>
        <v>Close</v>
      </c>
      <c r="L423" t="str">
        <f t="shared" si="27"/>
        <v>Wave 2</v>
      </c>
    </row>
    <row r="424" spans="1:12">
      <c r="A424" t="s">
        <v>168</v>
      </c>
      <c r="B424" t="s">
        <v>167</v>
      </c>
      <c r="C424">
        <v>2.82</v>
      </c>
      <c r="D424" s="18">
        <f t="shared" si="26"/>
        <v>0.62686567164179108</v>
      </c>
      <c r="E424" s="56">
        <v>393.01</v>
      </c>
      <c r="F424">
        <v>9.58</v>
      </c>
      <c r="G424" s="17">
        <v>46935</v>
      </c>
      <c r="H424">
        <v>42</v>
      </c>
      <c r="I424" t="s">
        <v>76</v>
      </c>
      <c r="J424">
        <f t="shared" si="24"/>
        <v>5</v>
      </c>
      <c r="K424" t="str">
        <f t="shared" si="25"/>
        <v/>
      </c>
      <c r="L424" t="str">
        <f t="shared" si="27"/>
        <v/>
      </c>
    </row>
    <row r="425" spans="1:12">
      <c r="A425" t="s">
        <v>166</v>
      </c>
      <c r="B425" t="s">
        <v>94</v>
      </c>
      <c r="C425">
        <v>2.2599999999999998</v>
      </c>
      <c r="D425" s="18">
        <f t="shared" si="26"/>
        <v>0.23667377398720682</v>
      </c>
      <c r="E425" s="56">
        <v>242.38</v>
      </c>
      <c r="F425">
        <v>9.17</v>
      </c>
      <c r="G425" s="17">
        <v>48488</v>
      </c>
      <c r="H425">
        <v>93</v>
      </c>
      <c r="I425" t="s">
        <v>81</v>
      </c>
      <c r="J425">
        <f t="shared" si="24"/>
        <v>50</v>
      </c>
      <c r="K425" t="str">
        <f t="shared" si="25"/>
        <v>Close</v>
      </c>
      <c r="L425" t="str">
        <f t="shared" si="27"/>
        <v>Wave 1</v>
      </c>
    </row>
    <row r="426" spans="1:12">
      <c r="A426" t="s">
        <v>165</v>
      </c>
      <c r="B426" t="s">
        <v>164</v>
      </c>
      <c r="C426">
        <v>2.0499999999999998</v>
      </c>
      <c r="D426" s="18">
        <f t="shared" si="26"/>
        <v>0.15565031982942432</v>
      </c>
      <c r="E426" s="56">
        <v>243.56</v>
      </c>
      <c r="F426">
        <v>15.71</v>
      </c>
      <c r="G426" s="17">
        <v>48030</v>
      </c>
      <c r="H426">
        <v>78</v>
      </c>
      <c r="I426" t="s">
        <v>76</v>
      </c>
      <c r="J426">
        <f t="shared" si="24"/>
        <v>45</v>
      </c>
      <c r="K426" t="str">
        <f t="shared" si="25"/>
        <v>Close</v>
      </c>
      <c r="L426" t="str">
        <f t="shared" si="27"/>
        <v>Wave 2</v>
      </c>
    </row>
    <row r="427" spans="1:12">
      <c r="A427" t="s">
        <v>163</v>
      </c>
      <c r="B427" t="s">
        <v>162</v>
      </c>
      <c r="C427">
        <v>2.4700000000000002</v>
      </c>
      <c r="D427" s="18">
        <f t="shared" si="26"/>
        <v>0.37526652452025588</v>
      </c>
      <c r="E427" s="56">
        <v>380.05</v>
      </c>
      <c r="F427">
        <v>11.96</v>
      </c>
      <c r="G427" s="17">
        <v>46905</v>
      </c>
      <c r="H427">
        <v>41</v>
      </c>
      <c r="I427" t="s">
        <v>76</v>
      </c>
      <c r="J427">
        <f t="shared" si="24"/>
        <v>5</v>
      </c>
      <c r="K427" t="str">
        <f t="shared" si="25"/>
        <v/>
      </c>
      <c r="L427" t="str">
        <f t="shared" si="27"/>
        <v/>
      </c>
    </row>
    <row r="428" spans="1:12">
      <c r="A428" t="s">
        <v>161</v>
      </c>
      <c r="B428" t="s">
        <v>160</v>
      </c>
      <c r="C428">
        <v>1.85</v>
      </c>
      <c r="D428" s="18">
        <f t="shared" si="26"/>
        <v>8.5287846481876331E-2</v>
      </c>
      <c r="E428" s="56">
        <v>156.44999999999999</v>
      </c>
      <c r="F428">
        <v>10.210000000000001</v>
      </c>
      <c r="G428" s="17">
        <v>48092</v>
      </c>
      <c r="H428">
        <v>80</v>
      </c>
      <c r="I428" t="s">
        <v>84</v>
      </c>
      <c r="J428">
        <f t="shared" si="24"/>
        <v>40</v>
      </c>
      <c r="K428" t="str">
        <f t="shared" si="25"/>
        <v/>
      </c>
      <c r="L428" t="str">
        <f t="shared" si="27"/>
        <v/>
      </c>
    </row>
    <row r="429" spans="1:12">
      <c r="A429" t="s">
        <v>159</v>
      </c>
      <c r="B429" t="s">
        <v>158</v>
      </c>
      <c r="C429">
        <v>2.65</v>
      </c>
      <c r="D429" s="18">
        <f t="shared" si="26"/>
        <v>0.52025586353944564</v>
      </c>
      <c r="E429" s="56">
        <v>391.1</v>
      </c>
      <c r="F429">
        <v>18.25</v>
      </c>
      <c r="G429" s="17">
        <v>46692</v>
      </c>
      <c r="H429">
        <v>34</v>
      </c>
      <c r="I429" t="s">
        <v>76</v>
      </c>
      <c r="J429">
        <f t="shared" si="24"/>
        <v>15</v>
      </c>
      <c r="K429" t="str">
        <f t="shared" si="25"/>
        <v/>
      </c>
      <c r="L429" t="str">
        <f t="shared" si="27"/>
        <v/>
      </c>
    </row>
    <row r="430" spans="1:12">
      <c r="A430" t="s">
        <v>157</v>
      </c>
      <c r="B430" t="s">
        <v>156</v>
      </c>
      <c r="C430">
        <v>2.2799999999999998</v>
      </c>
      <c r="D430" s="18">
        <f t="shared" si="26"/>
        <v>0.24946695095948826</v>
      </c>
      <c r="E430" s="56">
        <v>181.41</v>
      </c>
      <c r="F430">
        <v>7.89</v>
      </c>
      <c r="G430" s="17">
        <v>47362</v>
      </c>
      <c r="H430">
        <v>56</v>
      </c>
      <c r="I430" t="s">
        <v>76</v>
      </c>
      <c r="J430">
        <f t="shared" si="24"/>
        <v>45</v>
      </c>
      <c r="K430" t="str">
        <f t="shared" si="25"/>
        <v>Close</v>
      </c>
      <c r="L430" t="str">
        <f t="shared" si="27"/>
        <v>Wave 2</v>
      </c>
    </row>
    <row r="431" spans="1:12">
      <c r="A431" t="s">
        <v>155</v>
      </c>
      <c r="B431" t="s">
        <v>154</v>
      </c>
      <c r="C431">
        <v>2.4500000000000002</v>
      </c>
      <c r="D431" s="18">
        <f t="shared" si="26"/>
        <v>0.35607675906183367</v>
      </c>
      <c r="E431" s="56">
        <v>267.86</v>
      </c>
      <c r="F431">
        <v>6.91</v>
      </c>
      <c r="G431" s="17">
        <v>46023</v>
      </c>
      <c r="H431">
        <v>12</v>
      </c>
      <c r="I431" t="s">
        <v>76</v>
      </c>
      <c r="J431">
        <f t="shared" si="24"/>
        <v>25</v>
      </c>
      <c r="K431" t="str">
        <f t="shared" si="25"/>
        <v/>
      </c>
      <c r="L431" t="str">
        <f t="shared" si="27"/>
        <v/>
      </c>
    </row>
    <row r="432" spans="1:12">
      <c r="A432" t="s">
        <v>153</v>
      </c>
      <c r="B432" t="s">
        <v>152</v>
      </c>
      <c r="C432">
        <v>2.27</v>
      </c>
      <c r="D432" s="18">
        <f t="shared" si="26"/>
        <v>0.24307036247334754</v>
      </c>
      <c r="E432" s="56">
        <v>142.09</v>
      </c>
      <c r="F432">
        <v>24.28</v>
      </c>
      <c r="G432" s="17">
        <v>47178</v>
      </c>
      <c r="H432">
        <v>50</v>
      </c>
      <c r="I432" t="s">
        <v>76</v>
      </c>
      <c r="J432">
        <f t="shared" si="24"/>
        <v>45</v>
      </c>
      <c r="K432" t="str">
        <f t="shared" si="25"/>
        <v>Close</v>
      </c>
      <c r="L432" t="str">
        <f t="shared" si="27"/>
        <v>Wave 2</v>
      </c>
    </row>
    <row r="433" spans="1:12">
      <c r="A433" t="s">
        <v>151</v>
      </c>
      <c r="B433" t="s">
        <v>150</v>
      </c>
      <c r="C433">
        <v>3.16</v>
      </c>
      <c r="D433" s="18">
        <f t="shared" si="26"/>
        <v>0.83795309168443499</v>
      </c>
      <c r="E433" s="56">
        <v>438.55</v>
      </c>
      <c r="F433">
        <v>10.95</v>
      </c>
      <c r="G433" s="17">
        <v>47270</v>
      </c>
      <c r="H433">
        <v>53</v>
      </c>
      <c r="I433" t="s">
        <v>76</v>
      </c>
      <c r="J433">
        <f t="shared" si="24"/>
        <v>5</v>
      </c>
      <c r="K433" t="str">
        <f t="shared" si="25"/>
        <v/>
      </c>
      <c r="L433" t="str">
        <f t="shared" si="27"/>
        <v/>
      </c>
    </row>
    <row r="434" spans="1:12">
      <c r="A434" t="s">
        <v>149</v>
      </c>
      <c r="B434" t="s">
        <v>148</v>
      </c>
      <c r="C434">
        <v>2.6</v>
      </c>
      <c r="D434" s="18">
        <f t="shared" si="26"/>
        <v>0.47761194029850745</v>
      </c>
      <c r="E434" s="56">
        <v>367.78</v>
      </c>
      <c r="F434">
        <v>10.15</v>
      </c>
      <c r="G434" s="17">
        <v>46296</v>
      </c>
      <c r="H434">
        <v>21</v>
      </c>
      <c r="I434" t="s">
        <v>84</v>
      </c>
      <c r="J434">
        <f t="shared" si="24"/>
        <v>20</v>
      </c>
      <c r="K434" t="str">
        <f t="shared" si="25"/>
        <v/>
      </c>
      <c r="L434" t="str">
        <f t="shared" si="27"/>
        <v/>
      </c>
    </row>
    <row r="435" spans="1:12">
      <c r="A435" t="s">
        <v>147</v>
      </c>
      <c r="B435" t="s">
        <v>146</v>
      </c>
      <c r="C435">
        <v>2.95</v>
      </c>
      <c r="D435" s="18">
        <f t="shared" si="26"/>
        <v>0.72281449893390193</v>
      </c>
      <c r="E435" s="56">
        <v>448.45</v>
      </c>
      <c r="F435">
        <v>9.33</v>
      </c>
      <c r="G435" s="17">
        <v>46905</v>
      </c>
      <c r="H435">
        <v>41</v>
      </c>
      <c r="I435" t="s">
        <v>76</v>
      </c>
      <c r="J435">
        <f t="shared" si="24"/>
        <v>5</v>
      </c>
      <c r="K435" t="str">
        <f t="shared" si="25"/>
        <v/>
      </c>
      <c r="L435" t="str">
        <f t="shared" si="27"/>
        <v/>
      </c>
    </row>
    <row r="436" spans="1:12">
      <c r="A436" t="s">
        <v>145</v>
      </c>
      <c r="B436" t="s">
        <v>129</v>
      </c>
      <c r="C436">
        <v>2.92</v>
      </c>
      <c r="D436" s="18">
        <f t="shared" si="26"/>
        <v>0.69509594882729209</v>
      </c>
      <c r="E436" s="56">
        <v>286.02999999999997</v>
      </c>
      <c r="F436">
        <v>11.98</v>
      </c>
      <c r="G436" s="17">
        <v>46722</v>
      </c>
      <c r="H436">
        <v>35</v>
      </c>
      <c r="I436" t="s">
        <v>81</v>
      </c>
      <c r="J436">
        <f t="shared" si="24"/>
        <v>20</v>
      </c>
      <c r="K436" t="str">
        <f t="shared" si="25"/>
        <v/>
      </c>
      <c r="L436" t="str">
        <f t="shared" si="27"/>
        <v/>
      </c>
    </row>
    <row r="437" spans="1:12">
      <c r="A437" t="s">
        <v>144</v>
      </c>
      <c r="B437" t="s">
        <v>143</v>
      </c>
      <c r="C437">
        <v>2.2200000000000002</v>
      </c>
      <c r="D437" s="18">
        <f t="shared" si="26"/>
        <v>0.21321961620469082</v>
      </c>
      <c r="E437" s="56">
        <v>53.14</v>
      </c>
      <c r="F437">
        <v>16.12</v>
      </c>
      <c r="G437" s="17">
        <v>46357</v>
      </c>
      <c r="H437">
        <v>23</v>
      </c>
      <c r="I437" t="s">
        <v>81</v>
      </c>
      <c r="J437">
        <f t="shared" si="24"/>
        <v>70</v>
      </c>
      <c r="K437" t="str">
        <f t="shared" si="25"/>
        <v>Close</v>
      </c>
      <c r="L437" t="str">
        <f t="shared" si="27"/>
        <v>Wave 1</v>
      </c>
    </row>
    <row r="438" spans="1:12">
      <c r="A438" t="s">
        <v>142</v>
      </c>
      <c r="B438" t="s">
        <v>141</v>
      </c>
      <c r="C438">
        <v>2.97</v>
      </c>
      <c r="D438" s="18">
        <f t="shared" si="26"/>
        <v>0.73560767590618337</v>
      </c>
      <c r="E438" s="56">
        <v>325.63</v>
      </c>
      <c r="F438">
        <v>15.99</v>
      </c>
      <c r="G438" s="17">
        <v>45931</v>
      </c>
      <c r="H438">
        <v>9</v>
      </c>
      <c r="I438" t="s">
        <v>76</v>
      </c>
      <c r="J438">
        <f t="shared" si="24"/>
        <v>25</v>
      </c>
      <c r="K438" t="str">
        <f t="shared" si="25"/>
        <v/>
      </c>
      <c r="L438" t="str">
        <f t="shared" si="27"/>
        <v/>
      </c>
    </row>
    <row r="439" spans="1:12">
      <c r="A439" t="s">
        <v>140</v>
      </c>
      <c r="B439" t="s">
        <v>139</v>
      </c>
      <c r="C439">
        <v>2.85</v>
      </c>
      <c r="D439" s="18">
        <f t="shared" si="26"/>
        <v>0.65671641791044777</v>
      </c>
      <c r="E439" s="56">
        <v>338.75</v>
      </c>
      <c r="F439">
        <v>15.05</v>
      </c>
      <c r="G439" s="17">
        <v>46478</v>
      </c>
      <c r="H439">
        <v>27</v>
      </c>
      <c r="I439" t="s">
        <v>76</v>
      </c>
      <c r="J439">
        <f t="shared" si="24"/>
        <v>15</v>
      </c>
      <c r="K439" t="str">
        <f t="shared" si="25"/>
        <v/>
      </c>
      <c r="L439" t="str">
        <f t="shared" si="27"/>
        <v/>
      </c>
    </row>
    <row r="440" spans="1:12">
      <c r="A440" t="s">
        <v>138</v>
      </c>
      <c r="B440" t="s">
        <v>137</v>
      </c>
      <c r="C440">
        <v>2.83</v>
      </c>
      <c r="D440" s="18">
        <f t="shared" si="26"/>
        <v>0.6353944562899787</v>
      </c>
      <c r="E440" s="56">
        <v>298.2</v>
      </c>
      <c r="F440">
        <v>11.35</v>
      </c>
      <c r="G440" s="17">
        <v>46327</v>
      </c>
      <c r="H440">
        <v>22</v>
      </c>
      <c r="I440" t="s">
        <v>76</v>
      </c>
      <c r="J440">
        <f t="shared" si="24"/>
        <v>25</v>
      </c>
      <c r="K440" t="str">
        <f t="shared" si="25"/>
        <v/>
      </c>
      <c r="L440" t="str">
        <f t="shared" si="27"/>
        <v/>
      </c>
    </row>
    <row r="441" spans="1:12">
      <c r="A441" t="s">
        <v>136</v>
      </c>
      <c r="B441" t="s">
        <v>135</v>
      </c>
      <c r="C441">
        <v>2.44</v>
      </c>
      <c r="D441" s="18">
        <f t="shared" si="26"/>
        <v>0.35181236673773986</v>
      </c>
      <c r="E441" s="56">
        <v>362.75</v>
      </c>
      <c r="F441">
        <v>5.89</v>
      </c>
      <c r="G441" s="17">
        <v>47635</v>
      </c>
      <c r="H441">
        <v>65</v>
      </c>
      <c r="I441" t="s">
        <v>81</v>
      </c>
      <c r="J441">
        <f t="shared" si="24"/>
        <v>10</v>
      </c>
      <c r="K441" t="str">
        <f t="shared" si="25"/>
        <v/>
      </c>
      <c r="L441" t="str">
        <f t="shared" si="27"/>
        <v/>
      </c>
    </row>
    <row r="442" spans="1:12">
      <c r="A442" t="s">
        <v>134</v>
      </c>
      <c r="B442" t="s">
        <v>133</v>
      </c>
      <c r="C442">
        <v>2.4300000000000002</v>
      </c>
      <c r="D442" s="18">
        <f t="shared" si="26"/>
        <v>0.34115138592750532</v>
      </c>
      <c r="E442" s="56">
        <v>493.71</v>
      </c>
      <c r="F442">
        <v>13.87</v>
      </c>
      <c r="G442" s="17">
        <v>47239</v>
      </c>
      <c r="H442">
        <v>52</v>
      </c>
      <c r="I442" t="s">
        <v>76</v>
      </c>
      <c r="J442">
        <f t="shared" si="24"/>
        <v>5</v>
      </c>
      <c r="K442" t="str">
        <f t="shared" si="25"/>
        <v/>
      </c>
      <c r="L442" t="str">
        <f t="shared" si="27"/>
        <v/>
      </c>
    </row>
    <row r="443" spans="1:12">
      <c r="A443" t="s">
        <v>132</v>
      </c>
      <c r="B443" t="s">
        <v>131</v>
      </c>
      <c r="C443">
        <v>3.09</v>
      </c>
      <c r="D443" s="18">
        <f t="shared" si="26"/>
        <v>0.8081023454157783</v>
      </c>
      <c r="E443" s="56">
        <v>472.61</v>
      </c>
      <c r="F443">
        <v>19.43</v>
      </c>
      <c r="G443" s="17">
        <v>47362</v>
      </c>
      <c r="H443">
        <v>56</v>
      </c>
      <c r="I443" t="s">
        <v>84</v>
      </c>
      <c r="J443">
        <f t="shared" si="24"/>
        <v>0</v>
      </c>
      <c r="K443" t="str">
        <f t="shared" si="25"/>
        <v/>
      </c>
      <c r="L443" t="str">
        <f t="shared" si="27"/>
        <v/>
      </c>
    </row>
    <row r="444" spans="1:12">
      <c r="A444" t="s">
        <v>130</v>
      </c>
      <c r="B444" t="s">
        <v>129</v>
      </c>
      <c r="C444">
        <v>3.86</v>
      </c>
      <c r="D444" s="18">
        <f t="shared" si="26"/>
        <v>0.99147121535181237</v>
      </c>
      <c r="E444" s="56">
        <v>340.88</v>
      </c>
      <c r="F444">
        <v>17.41</v>
      </c>
      <c r="G444" s="17">
        <v>46661</v>
      </c>
      <c r="H444">
        <v>33</v>
      </c>
      <c r="I444" t="s">
        <v>76</v>
      </c>
      <c r="J444">
        <f t="shared" si="24"/>
        <v>15</v>
      </c>
      <c r="K444" t="str">
        <f t="shared" si="25"/>
        <v/>
      </c>
      <c r="L444" t="str">
        <f t="shared" si="27"/>
        <v/>
      </c>
    </row>
    <row r="445" spans="1:12">
      <c r="A445" t="s">
        <v>128</v>
      </c>
      <c r="B445" t="s">
        <v>127</v>
      </c>
      <c r="C445">
        <v>2.2000000000000002</v>
      </c>
      <c r="D445" s="18">
        <f t="shared" si="26"/>
        <v>0.20042643923240938</v>
      </c>
      <c r="E445" s="56">
        <v>166.3</v>
      </c>
      <c r="F445">
        <v>11.84</v>
      </c>
      <c r="G445" s="17">
        <v>47027</v>
      </c>
      <c r="H445">
        <v>45</v>
      </c>
      <c r="I445" t="s">
        <v>76</v>
      </c>
      <c r="J445">
        <f t="shared" si="24"/>
        <v>45</v>
      </c>
      <c r="K445" t="str">
        <f t="shared" si="25"/>
        <v>Close</v>
      </c>
      <c r="L445" t="str">
        <f t="shared" si="27"/>
        <v>Wave 2</v>
      </c>
    </row>
    <row r="446" spans="1:12">
      <c r="A446" t="s">
        <v>126</v>
      </c>
      <c r="B446" t="s">
        <v>125</v>
      </c>
      <c r="C446">
        <v>2.95</v>
      </c>
      <c r="D446" s="18">
        <f t="shared" si="26"/>
        <v>0.72281449893390193</v>
      </c>
      <c r="E446" s="56">
        <v>437.42</v>
      </c>
      <c r="F446">
        <v>16.21</v>
      </c>
      <c r="G446" s="17">
        <v>48305</v>
      </c>
      <c r="H446">
        <v>87</v>
      </c>
      <c r="I446" t="s">
        <v>76</v>
      </c>
      <c r="J446">
        <f t="shared" si="24"/>
        <v>5</v>
      </c>
      <c r="K446" t="str">
        <f t="shared" si="25"/>
        <v/>
      </c>
      <c r="L446" t="str">
        <f t="shared" si="27"/>
        <v/>
      </c>
    </row>
    <row r="447" spans="1:12">
      <c r="A447" t="s">
        <v>124</v>
      </c>
      <c r="B447" t="s">
        <v>123</v>
      </c>
      <c r="C447">
        <v>2.46</v>
      </c>
      <c r="D447" s="18">
        <f t="shared" si="26"/>
        <v>0.3646055437100213</v>
      </c>
      <c r="E447" s="56">
        <v>367.27</v>
      </c>
      <c r="F447">
        <v>10.87</v>
      </c>
      <c r="G447" s="17">
        <v>45992</v>
      </c>
      <c r="H447">
        <v>11</v>
      </c>
      <c r="I447" t="s">
        <v>84</v>
      </c>
      <c r="J447">
        <f t="shared" si="24"/>
        <v>20</v>
      </c>
      <c r="K447" t="str">
        <f t="shared" si="25"/>
        <v/>
      </c>
      <c r="L447" t="str">
        <f t="shared" si="27"/>
        <v/>
      </c>
    </row>
    <row r="448" spans="1:12">
      <c r="A448" t="s">
        <v>122</v>
      </c>
      <c r="B448" t="s">
        <v>112</v>
      </c>
      <c r="C448">
        <v>3.09</v>
      </c>
      <c r="D448" s="18">
        <f t="shared" si="26"/>
        <v>0.8081023454157783</v>
      </c>
      <c r="E448" s="56">
        <v>354.43</v>
      </c>
      <c r="F448">
        <v>12.35</v>
      </c>
      <c r="G448" s="17">
        <v>47543</v>
      </c>
      <c r="H448">
        <v>62</v>
      </c>
      <c r="I448" t="s">
        <v>81</v>
      </c>
      <c r="J448">
        <f t="shared" si="24"/>
        <v>10</v>
      </c>
      <c r="K448" t="str">
        <f t="shared" si="25"/>
        <v/>
      </c>
      <c r="L448" t="str">
        <f t="shared" si="27"/>
        <v/>
      </c>
    </row>
    <row r="449" spans="1:12">
      <c r="A449" t="s">
        <v>121</v>
      </c>
      <c r="B449" t="s">
        <v>120</v>
      </c>
      <c r="C449">
        <v>2.9</v>
      </c>
      <c r="D449" s="18">
        <f t="shared" si="26"/>
        <v>0.68869936034115142</v>
      </c>
      <c r="E449" s="56">
        <v>458</v>
      </c>
      <c r="F449">
        <v>7.05</v>
      </c>
      <c r="G449" s="17">
        <v>47119</v>
      </c>
      <c r="H449">
        <v>48</v>
      </c>
      <c r="I449" t="s">
        <v>76</v>
      </c>
      <c r="J449">
        <f t="shared" si="24"/>
        <v>5</v>
      </c>
      <c r="K449" t="str">
        <f t="shared" si="25"/>
        <v/>
      </c>
      <c r="L449" t="str">
        <f t="shared" si="27"/>
        <v/>
      </c>
    </row>
    <row r="450" spans="1:12">
      <c r="A450" t="s">
        <v>119</v>
      </c>
      <c r="B450" t="s">
        <v>118</v>
      </c>
      <c r="C450">
        <v>3.24</v>
      </c>
      <c r="D450" s="18">
        <f t="shared" si="26"/>
        <v>0.87633262260127931</v>
      </c>
      <c r="E450" s="56">
        <v>367.67</v>
      </c>
      <c r="F450">
        <v>11.18</v>
      </c>
      <c r="G450" s="17">
        <v>46631</v>
      </c>
      <c r="H450">
        <v>32</v>
      </c>
      <c r="I450" t="s">
        <v>76</v>
      </c>
      <c r="J450">
        <f t="shared" ref="J450:J470" si="28">IF($D450&lt;=0.25,40,0)+IF($F450&lt;0,30,IF($F450&lt;2,20,IF($F450&lt;5,10,0)))+IF($H450&lt;=24,20,IF($H450&lt;=36,10,0))
+IF($I450="Low",10,IF($I450="Medium",5,0))</f>
        <v>15</v>
      </c>
      <c r="K450" t="str">
        <f t="shared" ref="K450:K513" si="29">IF(L450=$L$2, "","Close")</f>
        <v/>
      </c>
      <c r="L450" t="str">
        <f t="shared" si="27"/>
        <v/>
      </c>
    </row>
    <row r="451" spans="1:12">
      <c r="A451" t="s">
        <v>117</v>
      </c>
      <c r="B451" t="s">
        <v>116</v>
      </c>
      <c r="C451">
        <v>1.1200000000000001</v>
      </c>
      <c r="D451" s="18">
        <f t="shared" ref="D451:D470" si="30">_xlfn.RANK.EQ(C451,$C$2:$C$470,1)/COUNT($C$2:$C$470)</f>
        <v>6.3965884861407248E-3</v>
      </c>
      <c r="E451" s="56">
        <v>224</v>
      </c>
      <c r="F451">
        <v>13.23</v>
      </c>
      <c r="G451" s="17">
        <v>47239</v>
      </c>
      <c r="H451">
        <v>52</v>
      </c>
      <c r="I451" t="s">
        <v>76</v>
      </c>
      <c r="J451">
        <f t="shared" si="28"/>
        <v>45</v>
      </c>
      <c r="K451" t="str">
        <f t="shared" si="29"/>
        <v>Close</v>
      </c>
      <c r="L451" t="str">
        <f t="shared" si="27"/>
        <v>Wave 2</v>
      </c>
    </row>
    <row r="452" spans="1:12">
      <c r="A452" t="s">
        <v>115</v>
      </c>
      <c r="B452" t="s">
        <v>114</v>
      </c>
      <c r="C452">
        <v>2.33</v>
      </c>
      <c r="D452" s="18">
        <f t="shared" si="30"/>
        <v>0.28358208955223879</v>
      </c>
      <c r="E452" s="56">
        <v>429.96</v>
      </c>
      <c r="F452">
        <v>11.84</v>
      </c>
      <c r="G452" s="17">
        <v>47727</v>
      </c>
      <c r="H452">
        <v>68</v>
      </c>
      <c r="I452" t="s">
        <v>76</v>
      </c>
      <c r="J452">
        <f t="shared" si="28"/>
        <v>5</v>
      </c>
      <c r="K452" t="str">
        <f t="shared" si="29"/>
        <v/>
      </c>
      <c r="L452" t="str">
        <f t="shared" si="27"/>
        <v/>
      </c>
    </row>
    <row r="453" spans="1:12">
      <c r="A453" t="s">
        <v>113</v>
      </c>
      <c r="B453" t="s">
        <v>112</v>
      </c>
      <c r="C453">
        <v>2.12</v>
      </c>
      <c r="D453" s="18">
        <f t="shared" si="30"/>
        <v>0.17270788912579957</v>
      </c>
      <c r="E453" s="56">
        <v>247.46</v>
      </c>
      <c r="F453">
        <v>16.059999999999999</v>
      </c>
      <c r="G453" s="17">
        <v>47119</v>
      </c>
      <c r="H453">
        <v>48</v>
      </c>
      <c r="I453" t="s">
        <v>81</v>
      </c>
      <c r="J453">
        <f t="shared" si="28"/>
        <v>50</v>
      </c>
      <c r="K453" t="str">
        <f t="shared" si="29"/>
        <v>Close</v>
      </c>
      <c r="L453" t="str">
        <f t="shared" si="27"/>
        <v>Wave 1</v>
      </c>
    </row>
    <row r="454" spans="1:12">
      <c r="A454" t="s">
        <v>111</v>
      </c>
      <c r="B454" t="s">
        <v>110</v>
      </c>
      <c r="C454">
        <v>2.6</v>
      </c>
      <c r="D454" s="18">
        <f t="shared" si="30"/>
        <v>0.47761194029850745</v>
      </c>
      <c r="E454" s="56">
        <v>422.74</v>
      </c>
      <c r="F454">
        <v>21.08</v>
      </c>
      <c r="G454" s="17">
        <v>46784</v>
      </c>
      <c r="H454">
        <v>37</v>
      </c>
      <c r="I454" t="s">
        <v>81</v>
      </c>
      <c r="J454">
        <f t="shared" si="28"/>
        <v>10</v>
      </c>
      <c r="K454" t="str">
        <f t="shared" si="29"/>
        <v/>
      </c>
      <c r="L454" t="str">
        <f t="shared" si="27"/>
        <v/>
      </c>
    </row>
    <row r="455" spans="1:12">
      <c r="A455" t="s">
        <v>109</v>
      </c>
      <c r="B455" t="s">
        <v>108</v>
      </c>
      <c r="C455">
        <v>2.2599999999999998</v>
      </c>
      <c r="D455" s="18">
        <f t="shared" si="30"/>
        <v>0.23667377398720682</v>
      </c>
      <c r="E455" s="56">
        <v>108.55</v>
      </c>
      <c r="F455">
        <v>18.55</v>
      </c>
      <c r="G455" s="17">
        <v>47119</v>
      </c>
      <c r="H455">
        <v>48</v>
      </c>
      <c r="I455" t="s">
        <v>81</v>
      </c>
      <c r="J455">
        <f t="shared" si="28"/>
        <v>50</v>
      </c>
      <c r="K455" t="str">
        <f t="shared" si="29"/>
        <v>Close</v>
      </c>
      <c r="L455" t="str">
        <f t="shared" ref="L455:L470" si="31">IF(_xlfn.RANK.EQ($J455,$J$2:$J$470,0)&lt;=40,"Wave 1",
IF(_xlfn.RANK.EQ($J455,$J$2:$J$470,0)&lt;=70,"Wave 2",""))</f>
        <v>Wave 1</v>
      </c>
    </row>
    <row r="456" spans="1:12">
      <c r="A456" t="s">
        <v>107</v>
      </c>
      <c r="B456" t="s">
        <v>106</v>
      </c>
      <c r="C456">
        <v>2.31</v>
      </c>
      <c r="D456" s="18">
        <f t="shared" si="30"/>
        <v>0.27078891257995735</v>
      </c>
      <c r="E456" s="56">
        <v>400.58</v>
      </c>
      <c r="F456">
        <v>11.23</v>
      </c>
      <c r="G456" s="17">
        <v>48458</v>
      </c>
      <c r="H456">
        <v>92</v>
      </c>
      <c r="I456" t="s">
        <v>81</v>
      </c>
      <c r="J456">
        <f t="shared" si="28"/>
        <v>10</v>
      </c>
      <c r="K456" t="str">
        <f t="shared" si="29"/>
        <v/>
      </c>
      <c r="L456" t="str">
        <f t="shared" si="31"/>
        <v/>
      </c>
    </row>
    <row r="457" spans="1:12">
      <c r="A457" t="s">
        <v>105</v>
      </c>
      <c r="B457" t="s">
        <v>104</v>
      </c>
      <c r="C457">
        <v>3.04</v>
      </c>
      <c r="D457" s="18">
        <f t="shared" si="30"/>
        <v>0.78251599147121531</v>
      </c>
      <c r="E457" s="56">
        <v>445.67</v>
      </c>
      <c r="F457">
        <v>9.31</v>
      </c>
      <c r="G457" s="17">
        <v>46966</v>
      </c>
      <c r="H457">
        <v>43</v>
      </c>
      <c r="I457" t="s">
        <v>76</v>
      </c>
      <c r="J457">
        <f t="shared" si="28"/>
        <v>5</v>
      </c>
      <c r="K457" t="str">
        <f t="shared" si="29"/>
        <v/>
      </c>
      <c r="L457" t="str">
        <f t="shared" si="31"/>
        <v/>
      </c>
    </row>
    <row r="458" spans="1:12">
      <c r="A458" t="s">
        <v>103</v>
      </c>
      <c r="B458" t="s">
        <v>102</v>
      </c>
      <c r="C458">
        <v>3.71</v>
      </c>
      <c r="D458" s="18">
        <f t="shared" si="30"/>
        <v>0.98081023454157779</v>
      </c>
      <c r="E458" s="56">
        <v>322.22000000000003</v>
      </c>
      <c r="F458">
        <v>9.66</v>
      </c>
      <c r="G458" s="17">
        <v>46266</v>
      </c>
      <c r="H458">
        <v>20</v>
      </c>
      <c r="I458" t="s">
        <v>81</v>
      </c>
      <c r="J458">
        <f t="shared" si="28"/>
        <v>30</v>
      </c>
      <c r="K458" t="str">
        <f t="shared" si="29"/>
        <v/>
      </c>
      <c r="L458" t="str">
        <f t="shared" si="31"/>
        <v/>
      </c>
    </row>
    <row r="459" spans="1:12">
      <c r="A459" t="s">
        <v>101</v>
      </c>
      <c r="B459" t="s">
        <v>100</v>
      </c>
      <c r="C459">
        <v>1.1100000000000001</v>
      </c>
      <c r="D459" s="18">
        <f t="shared" si="30"/>
        <v>4.2643923240938165E-3</v>
      </c>
      <c r="E459" s="56">
        <v>271.87</v>
      </c>
      <c r="F459">
        <v>8.1999999999999993</v>
      </c>
      <c r="G459" s="17">
        <v>46844</v>
      </c>
      <c r="H459">
        <v>39</v>
      </c>
      <c r="I459" t="s">
        <v>84</v>
      </c>
      <c r="J459">
        <f t="shared" si="28"/>
        <v>40</v>
      </c>
      <c r="K459" t="str">
        <f t="shared" si="29"/>
        <v/>
      </c>
      <c r="L459" t="str">
        <f t="shared" si="31"/>
        <v/>
      </c>
    </row>
    <row r="460" spans="1:12">
      <c r="A460" t="s">
        <v>99</v>
      </c>
      <c r="B460" t="s">
        <v>98</v>
      </c>
      <c r="C460">
        <v>2.4900000000000002</v>
      </c>
      <c r="D460" s="18">
        <f t="shared" si="30"/>
        <v>0.38592750533049042</v>
      </c>
      <c r="E460" s="56">
        <v>319.86</v>
      </c>
      <c r="F460">
        <v>12.75</v>
      </c>
      <c r="G460" s="17">
        <v>46419</v>
      </c>
      <c r="H460">
        <v>25</v>
      </c>
      <c r="I460" t="s">
        <v>81</v>
      </c>
      <c r="J460">
        <f t="shared" si="28"/>
        <v>20</v>
      </c>
      <c r="K460" t="str">
        <f t="shared" si="29"/>
        <v/>
      </c>
      <c r="L460" t="str">
        <f t="shared" si="31"/>
        <v/>
      </c>
    </row>
    <row r="461" spans="1:12">
      <c r="A461" t="s">
        <v>97</v>
      </c>
      <c r="B461" t="s">
        <v>96</v>
      </c>
      <c r="C461">
        <v>2.83</v>
      </c>
      <c r="D461" s="18">
        <f t="shared" si="30"/>
        <v>0.6353944562899787</v>
      </c>
      <c r="E461" s="56">
        <v>316.60000000000002</v>
      </c>
      <c r="F461">
        <v>14.5</v>
      </c>
      <c r="G461" s="17">
        <v>46266</v>
      </c>
      <c r="H461">
        <v>20</v>
      </c>
      <c r="I461" t="s">
        <v>84</v>
      </c>
      <c r="J461">
        <f t="shared" si="28"/>
        <v>20</v>
      </c>
      <c r="K461" t="str">
        <f t="shared" si="29"/>
        <v/>
      </c>
      <c r="L461" t="str">
        <f t="shared" si="31"/>
        <v/>
      </c>
    </row>
    <row r="462" spans="1:12">
      <c r="A462" t="s">
        <v>95</v>
      </c>
      <c r="B462" t="s">
        <v>94</v>
      </c>
      <c r="C462">
        <v>2.66</v>
      </c>
      <c r="D462" s="18">
        <f t="shared" si="30"/>
        <v>0.53304904051172708</v>
      </c>
      <c r="E462" s="56">
        <v>404.1</v>
      </c>
      <c r="F462">
        <v>13.42</v>
      </c>
      <c r="G462" s="17">
        <v>47331</v>
      </c>
      <c r="H462">
        <v>55</v>
      </c>
      <c r="I462" t="s">
        <v>76</v>
      </c>
      <c r="J462">
        <f t="shared" si="28"/>
        <v>5</v>
      </c>
      <c r="K462" t="str">
        <f t="shared" si="29"/>
        <v/>
      </c>
      <c r="L462" t="str">
        <f t="shared" si="31"/>
        <v/>
      </c>
    </row>
    <row r="463" spans="1:12">
      <c r="A463" t="s">
        <v>93</v>
      </c>
      <c r="B463" t="s">
        <v>92</v>
      </c>
      <c r="C463">
        <v>2.4700000000000002</v>
      </c>
      <c r="D463" s="18">
        <f t="shared" si="30"/>
        <v>0.37526652452025588</v>
      </c>
      <c r="E463" s="56">
        <v>352.26</v>
      </c>
      <c r="F463">
        <v>13.47</v>
      </c>
      <c r="G463" s="17">
        <v>48427</v>
      </c>
      <c r="H463">
        <v>91</v>
      </c>
      <c r="I463" t="s">
        <v>81</v>
      </c>
      <c r="J463">
        <f t="shared" si="28"/>
        <v>10</v>
      </c>
      <c r="K463" t="str">
        <f t="shared" si="29"/>
        <v/>
      </c>
      <c r="L463" t="str">
        <f t="shared" si="31"/>
        <v/>
      </c>
    </row>
    <row r="464" spans="1:12">
      <c r="A464" t="s">
        <v>91</v>
      </c>
      <c r="B464" t="s">
        <v>90</v>
      </c>
      <c r="C464">
        <v>1.92</v>
      </c>
      <c r="D464" s="18">
        <f t="shared" si="30"/>
        <v>0.11513859275053305</v>
      </c>
      <c r="E464" s="56">
        <v>273.45</v>
      </c>
      <c r="F464">
        <v>13.31</v>
      </c>
      <c r="G464" s="17">
        <v>47362</v>
      </c>
      <c r="H464">
        <v>56</v>
      </c>
      <c r="I464" t="s">
        <v>84</v>
      </c>
      <c r="J464">
        <f t="shared" si="28"/>
        <v>40</v>
      </c>
      <c r="K464" t="str">
        <f t="shared" si="29"/>
        <v/>
      </c>
      <c r="L464" t="str">
        <f t="shared" si="31"/>
        <v/>
      </c>
    </row>
    <row r="465" spans="1:12">
      <c r="A465" t="s">
        <v>89</v>
      </c>
      <c r="B465" t="s">
        <v>82</v>
      </c>
      <c r="C465">
        <v>2.14</v>
      </c>
      <c r="D465" s="18">
        <f t="shared" si="30"/>
        <v>0.17484008528784648</v>
      </c>
      <c r="E465" s="56">
        <v>208.82</v>
      </c>
      <c r="F465">
        <v>12.01</v>
      </c>
      <c r="G465" s="17">
        <v>47150</v>
      </c>
      <c r="H465">
        <v>49</v>
      </c>
      <c r="I465" t="s">
        <v>76</v>
      </c>
      <c r="J465">
        <f t="shared" si="28"/>
        <v>45</v>
      </c>
      <c r="K465" t="str">
        <f t="shared" si="29"/>
        <v>Close</v>
      </c>
      <c r="L465" t="str">
        <f t="shared" si="31"/>
        <v>Wave 2</v>
      </c>
    </row>
    <row r="466" spans="1:12">
      <c r="A466" t="s">
        <v>88</v>
      </c>
      <c r="B466" t="s">
        <v>87</v>
      </c>
      <c r="C466">
        <v>3.06</v>
      </c>
      <c r="D466" s="18">
        <f t="shared" si="30"/>
        <v>0.79104477611940294</v>
      </c>
      <c r="E466" s="56">
        <v>257.23</v>
      </c>
      <c r="F466">
        <v>9.26</v>
      </c>
      <c r="G466" s="17">
        <v>46388</v>
      </c>
      <c r="H466">
        <v>24</v>
      </c>
      <c r="I466" t="s">
        <v>81</v>
      </c>
      <c r="J466">
        <f t="shared" si="28"/>
        <v>30</v>
      </c>
      <c r="K466" t="str">
        <f t="shared" si="29"/>
        <v/>
      </c>
      <c r="L466" t="str">
        <f t="shared" si="31"/>
        <v/>
      </c>
    </row>
    <row r="467" spans="1:12">
      <c r="A467" t="s">
        <v>86</v>
      </c>
      <c r="B467" t="s">
        <v>85</v>
      </c>
      <c r="C467">
        <v>3.25</v>
      </c>
      <c r="D467" s="18">
        <f t="shared" si="30"/>
        <v>0.88272921108742008</v>
      </c>
      <c r="E467" s="56">
        <v>374.63</v>
      </c>
      <c r="F467">
        <v>20.36</v>
      </c>
      <c r="G467" s="17">
        <v>46600</v>
      </c>
      <c r="H467">
        <v>31</v>
      </c>
      <c r="I467" t="s">
        <v>84</v>
      </c>
      <c r="J467">
        <f t="shared" si="28"/>
        <v>10</v>
      </c>
      <c r="K467" t="str">
        <f t="shared" si="29"/>
        <v/>
      </c>
      <c r="L467" t="str">
        <f t="shared" si="31"/>
        <v/>
      </c>
    </row>
    <row r="468" spans="1:12">
      <c r="A468" t="s">
        <v>83</v>
      </c>
      <c r="B468" t="s">
        <v>82</v>
      </c>
      <c r="C468">
        <v>2.71</v>
      </c>
      <c r="D468" s="18">
        <f t="shared" si="30"/>
        <v>0.56716417910447758</v>
      </c>
      <c r="E468" s="56">
        <v>411.45</v>
      </c>
      <c r="F468">
        <v>17.309999999999999</v>
      </c>
      <c r="G468" s="17">
        <v>47908</v>
      </c>
      <c r="H468">
        <v>74</v>
      </c>
      <c r="I468" t="s">
        <v>81</v>
      </c>
      <c r="J468">
        <f t="shared" si="28"/>
        <v>10</v>
      </c>
      <c r="K468" t="str">
        <f t="shared" si="29"/>
        <v/>
      </c>
      <c r="L468" t="str">
        <f t="shared" si="31"/>
        <v/>
      </c>
    </row>
    <row r="469" spans="1:12">
      <c r="A469" t="s">
        <v>80</v>
      </c>
      <c r="B469" t="s">
        <v>79</v>
      </c>
      <c r="C469">
        <v>2.2000000000000002</v>
      </c>
      <c r="D469" s="18">
        <f t="shared" si="30"/>
        <v>0.20042643923240938</v>
      </c>
      <c r="E469" s="56">
        <v>148.59</v>
      </c>
      <c r="F469">
        <v>8.51</v>
      </c>
      <c r="G469" s="17">
        <v>46692</v>
      </c>
      <c r="H469">
        <v>34</v>
      </c>
      <c r="I469" t="s">
        <v>76</v>
      </c>
      <c r="J469">
        <f t="shared" si="28"/>
        <v>55</v>
      </c>
      <c r="K469" t="str">
        <f t="shared" si="29"/>
        <v>Close</v>
      </c>
      <c r="L469" t="str">
        <f t="shared" si="31"/>
        <v>Wave 1</v>
      </c>
    </row>
    <row r="470" spans="1:12">
      <c r="A470" t="s">
        <v>78</v>
      </c>
      <c r="B470" t="s">
        <v>77</v>
      </c>
      <c r="C470">
        <v>2.71</v>
      </c>
      <c r="D470" s="18">
        <f t="shared" si="30"/>
        <v>0.56716417910447758</v>
      </c>
      <c r="E470" s="56">
        <v>393.12</v>
      </c>
      <c r="F470">
        <v>8.5299999999999994</v>
      </c>
      <c r="G470" s="17">
        <v>46692</v>
      </c>
      <c r="H470">
        <v>34</v>
      </c>
      <c r="I470" t="s">
        <v>76</v>
      </c>
      <c r="J470">
        <f t="shared" si="28"/>
        <v>15</v>
      </c>
      <c r="K470" t="str">
        <f t="shared" si="29"/>
        <v/>
      </c>
      <c r="L470" t="str">
        <f t="shared" si="31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D20"/>
  <sheetViews>
    <sheetView workbookViewId="0">
      <selection activeCell="B4" sqref="B4"/>
    </sheetView>
  </sheetViews>
  <sheetFormatPr defaultRowHeight="14.4"/>
  <cols>
    <col min="1" max="1" width="57.109375" bestFit="1" customWidth="1"/>
    <col min="2" max="3" width="13" bestFit="1" customWidth="1"/>
    <col min="4" max="4" width="12.109375" bestFit="1" customWidth="1"/>
  </cols>
  <sheetData>
    <row r="1" spans="1:4">
      <c r="A1" s="57" t="s">
        <v>861</v>
      </c>
      <c r="B1" s="57"/>
      <c r="C1" s="57"/>
      <c r="D1" s="57"/>
    </row>
    <row r="2" spans="1:4">
      <c r="A2" s="3" t="s">
        <v>26</v>
      </c>
      <c r="B2" s="3" t="s">
        <v>1</v>
      </c>
      <c r="C2" s="3" t="s">
        <v>2</v>
      </c>
      <c r="D2" s="3" t="s">
        <v>3</v>
      </c>
    </row>
    <row r="3" spans="1:4">
      <c r="A3" s="3" t="s">
        <v>856</v>
      </c>
      <c r="B3" s="3"/>
      <c r="C3" s="3"/>
      <c r="D3" s="3"/>
    </row>
    <row r="4" spans="1:4" ht="28.8">
      <c r="A4" s="54" t="s">
        <v>860</v>
      </c>
      <c r="B4" s="52">
        <f>'Income Statment'!B5-('Income Statment'!B6+'Income Statment'!B7+'Income Statment'!B8+'Income Statment'!B9)</f>
        <v>156936</v>
      </c>
      <c r="C4" s="52">
        <f>'Income Statment'!C5-('Income Statment'!C6+'Income Statment'!C7+'Income Statment'!C8+'Income Statment'!C9)</f>
        <v>192786</v>
      </c>
      <c r="D4" s="52">
        <f>'Income Statment'!D5-('Income Statment'!D6+'Income Statment'!D7+'Income Statment'!D8+'Income Statment'!D9)</f>
        <v>194889</v>
      </c>
    </row>
    <row r="5" spans="1:4">
      <c r="A5" s="49" t="s">
        <v>27</v>
      </c>
      <c r="B5" s="50">
        <f>+B4/'Income Statment'!B5</f>
        <v>0.12569359902607805</v>
      </c>
      <c r="C5" s="50">
        <f>+C4/'Income Statment'!C5</f>
        <v>0.14795026422704954</v>
      </c>
      <c r="D5" s="50">
        <f>+D4/'Income Statment'!D5</f>
        <v>0.1539974429766407</v>
      </c>
    </row>
    <row r="6" spans="1:4">
      <c r="A6" t="s">
        <v>73</v>
      </c>
      <c r="B6" s="50">
        <f>+'Income Statment'!B11/'Income Statment'!B5</f>
        <v>9.4861280194784389E-2</v>
      </c>
      <c r="C6" s="50">
        <f>+'Income Statment'!C11/'Income Statment'!C5</f>
        <v>9.5261410571844743E-2</v>
      </c>
      <c r="D6" s="50">
        <f>+'Income Statment'!D11/'Income Statment'!D5</f>
        <v>0.10794810728119514</v>
      </c>
    </row>
    <row r="7" spans="1:4">
      <c r="A7" s="49" t="s">
        <v>74</v>
      </c>
      <c r="B7" s="52">
        <f>'Income Statment'!B15+'Income Statment'!B10++'Income Statment'!B13</f>
        <v>38496</v>
      </c>
      <c r="C7" s="52">
        <f>'Income Statment'!C15+'Income Statment'!C10++'Income Statment'!C13</f>
        <v>68069</v>
      </c>
      <c r="D7" s="52">
        <f>'Income Statment'!D15+'Income Statment'!D10++'Income Statment'!D13</f>
        <v>57709</v>
      </c>
    </row>
    <row r="8" spans="1:4">
      <c r="A8" s="49" t="s">
        <v>859</v>
      </c>
      <c r="B8" s="53">
        <f>+B7/'Income Statment'!B16</f>
        <v>1.5229655417968904</v>
      </c>
      <c r="C8" s="53">
        <f>+C7/'Income Statment'!C16</f>
        <v>2.5628388554216865</v>
      </c>
      <c r="D8" s="53">
        <f>+D7/'Income Statment'!D16</f>
        <v>2.7955723489802837</v>
      </c>
    </row>
    <row r="9" spans="1:4">
      <c r="A9" s="49" t="s">
        <v>58</v>
      </c>
      <c r="B9" s="51">
        <f>+('Income Statment'!B5-'Income Statment'!B14)/'Income Statment'!B5</f>
        <v>-4.2513775869802012E-2</v>
      </c>
      <c r="C9" s="51">
        <f>+('Income Statment'!C5-'Income Statment'!C14)/'Income Statment'!C5</f>
        <v>3.4856789399606769E-3</v>
      </c>
      <c r="D9" s="51">
        <f>+('Income Statment'!D5-'Income Statment'!D14)/'Income Statment'!D5</f>
        <v>-4.5432995083498351E-2</v>
      </c>
    </row>
    <row r="10" spans="1:4">
      <c r="A10" s="49"/>
      <c r="B10" s="51"/>
      <c r="C10" s="51"/>
      <c r="D10" s="51"/>
    </row>
    <row r="11" spans="1:4">
      <c r="A11" s="3" t="s">
        <v>857</v>
      </c>
      <c r="B11" s="13"/>
      <c r="C11" s="13"/>
      <c r="D11" s="13"/>
    </row>
    <row r="12" spans="1:4">
      <c r="A12" s="49" t="s">
        <v>75</v>
      </c>
      <c r="B12" s="52">
        <f>BalanceSheet!B4+BalanceSheet!B8-BalanceSheet!B24</f>
        <v>-150151</v>
      </c>
      <c r="C12" s="52">
        <f>BalanceSheet!C4+BalanceSheet!C8-BalanceSheet!C24</f>
        <v>-154772</v>
      </c>
      <c r="D12" s="13"/>
    </row>
    <row r="13" spans="1:4">
      <c r="A13" s="49" t="s">
        <v>59</v>
      </c>
      <c r="B13" s="53">
        <f>+(BalanceSheet!B24+BalanceSheet!B25)/+(BalanceSheet!B25+BalanceSheet!B26+BalanceSheet!B22)</f>
        <v>0.64291541311385114</v>
      </c>
      <c r="C13" s="53">
        <f>+(BalanceSheet!C24+BalanceSheet!C25)/+(BalanceSheet!C25+BalanceSheet!C26+BalanceSheet!C22)</f>
        <v>0.60495169319769382</v>
      </c>
      <c r="D13" s="13"/>
    </row>
    <row r="14" spans="1:4">
      <c r="A14" s="49"/>
      <c r="D14" s="13"/>
    </row>
    <row r="15" spans="1:4">
      <c r="A15" s="3" t="s">
        <v>858</v>
      </c>
      <c r="B15" s="13"/>
      <c r="C15" s="13"/>
      <c r="D15" s="13"/>
    </row>
    <row r="16" spans="1:4">
      <c r="A16" s="49" t="s">
        <v>57</v>
      </c>
      <c r="B16" s="52">
        <f>+'Income Statment'!B21</f>
        <v>-77541</v>
      </c>
      <c r="C16" s="52">
        <f>+'Income Statment'!C21</f>
        <v>-21228</v>
      </c>
      <c r="D16" s="52">
        <f>+'Income Statment'!D21</f>
        <v>-78883</v>
      </c>
    </row>
    <row r="20" spans="2:2">
      <c r="B20" s="13"/>
    </row>
  </sheetData>
  <mergeCells count="1">
    <mergeCell ref="A1:D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C19CA-CDBD-4263-9AEF-09440B27C98E}">
  <sheetPr codeName="Sheet5"/>
  <dimension ref="B1:I32"/>
  <sheetViews>
    <sheetView tabSelected="1" topLeftCell="B1" zoomScaleNormal="100" workbookViewId="0">
      <selection activeCell="C17" sqref="C17"/>
    </sheetView>
  </sheetViews>
  <sheetFormatPr defaultRowHeight="22.05" customHeight="1"/>
  <cols>
    <col min="2" max="2" width="48.21875" bestFit="1" customWidth="1"/>
    <col min="3" max="3" width="14.6640625" bestFit="1" customWidth="1"/>
    <col min="4" max="4" width="11.5546875" bestFit="1" customWidth="1"/>
    <col min="5" max="5" width="35.21875" customWidth="1"/>
    <col min="6" max="6" width="12.109375" customWidth="1"/>
    <col min="8" max="8" width="34.44140625" customWidth="1"/>
    <col min="9" max="9" width="28.109375" customWidth="1"/>
  </cols>
  <sheetData>
    <row r="1" spans="2:9" ht="22.05" customHeight="1" thickBot="1"/>
    <row r="2" spans="2:9" ht="22.05" customHeight="1">
      <c r="B2" s="58" t="s">
        <v>863</v>
      </c>
      <c r="C2" s="59"/>
      <c r="E2" s="62" t="s">
        <v>866</v>
      </c>
      <c r="F2" s="62"/>
      <c r="H2" s="60" t="s">
        <v>864</v>
      </c>
      <c r="I2" s="61"/>
    </row>
    <row r="3" spans="2:9" ht="22.05" customHeight="1">
      <c r="B3" s="20" t="s">
        <v>842</v>
      </c>
      <c r="C3" s="21">
        <f>COUNTA('Store performances (Hypothesis)'!A:A)-1</f>
        <v>469</v>
      </c>
      <c r="E3" s="12" t="s">
        <v>70</v>
      </c>
      <c r="F3" s="14">
        <f>C4</f>
        <v>60</v>
      </c>
      <c r="H3" s="40" t="s">
        <v>845</v>
      </c>
      <c r="I3" s="21">
        <f>F3+F14</f>
        <v>105</v>
      </c>
    </row>
    <row r="4" spans="2:9" ht="22.05" customHeight="1">
      <c r="B4" s="20" t="s">
        <v>840</v>
      </c>
      <c r="C4" s="21">
        <f>COUNTIF('Store performances (Hypothesis)'!L:L,"Wave 1")</f>
        <v>60</v>
      </c>
      <c r="E4" s="12" t="s">
        <v>62</v>
      </c>
      <c r="F4" s="15">
        <f>+C8*F3</f>
        <v>159730.49040511728</v>
      </c>
      <c r="H4" s="40" t="s">
        <v>846</v>
      </c>
      <c r="I4" s="23">
        <f>F9+F20</f>
        <v>9579.492537313432</v>
      </c>
    </row>
    <row r="5" spans="2:9" ht="22.05" customHeight="1">
      <c r="B5" s="20" t="s">
        <v>841</v>
      </c>
      <c r="C5" s="21">
        <f>COUNTIF('Store performances (Hypothesis)'!L:L,"Wave 2")</f>
        <v>45</v>
      </c>
      <c r="E5" s="12" t="s">
        <v>63</v>
      </c>
      <c r="F5" s="15">
        <f>-F4*C9</f>
        <v>-39932.622601279319</v>
      </c>
      <c r="H5" s="40" t="s">
        <v>847</v>
      </c>
      <c r="I5" s="24">
        <f>F10+F21</f>
        <v>15750</v>
      </c>
    </row>
    <row r="6" spans="2:9" ht="22.05" customHeight="1" thickBot="1">
      <c r="B6" s="20" t="s">
        <v>843</v>
      </c>
      <c r="C6" s="21">
        <f>C4+C5</f>
        <v>105</v>
      </c>
      <c r="E6" s="26" t="s">
        <v>64</v>
      </c>
      <c r="F6" s="28">
        <f>F4+F5</f>
        <v>119797.86780383796</v>
      </c>
      <c r="H6" s="35" t="s">
        <v>848</v>
      </c>
      <c r="I6" s="36">
        <f>(F10+F21)/(F9+F20)</f>
        <v>1.6441371960624844</v>
      </c>
    </row>
    <row r="7" spans="2:9" ht="22.05" customHeight="1" thickBot="1">
      <c r="B7" s="20" t="s">
        <v>844</v>
      </c>
      <c r="C7" s="37">
        <f>C6/C3</f>
        <v>0.22388059701492538</v>
      </c>
      <c r="E7" s="30" t="s">
        <v>65</v>
      </c>
      <c r="F7" s="31">
        <f>(F6*KPIs!B5)</f>
        <v>15057.825159914713</v>
      </c>
    </row>
    <row r="8" spans="2:9" ht="22.05" customHeight="1">
      <c r="B8" s="20" t="s">
        <v>60</v>
      </c>
      <c r="C8" s="38">
        <f>+'Income Statment'!B5/C3</f>
        <v>2662.174840085288</v>
      </c>
      <c r="E8" s="12" t="s">
        <v>66</v>
      </c>
      <c r="F8" s="15">
        <f>F6*C10</f>
        <v>9583.8294243070377</v>
      </c>
      <c r="H8" s="60" t="s">
        <v>865</v>
      </c>
      <c r="I8" s="61"/>
    </row>
    <row r="9" spans="2:9" ht="22.05" customHeight="1">
      <c r="B9" s="20" t="s">
        <v>61</v>
      </c>
      <c r="C9" s="39">
        <v>0.25</v>
      </c>
      <c r="E9" s="26" t="s">
        <v>67</v>
      </c>
      <c r="F9" s="28">
        <f>F7-F8</f>
        <v>5473.9957356076757</v>
      </c>
      <c r="H9" s="40" t="s">
        <v>12</v>
      </c>
      <c r="I9" s="23">
        <f>+'Income Statment'!B10</f>
        <v>57729</v>
      </c>
    </row>
    <row r="10" spans="2:9" ht="22.05" customHeight="1">
      <c r="B10" s="20" t="s">
        <v>71</v>
      </c>
      <c r="C10" s="32">
        <v>0.08</v>
      </c>
      <c r="E10" s="12" t="s">
        <v>68</v>
      </c>
      <c r="F10" s="15">
        <f>+C11*F3</f>
        <v>9000</v>
      </c>
      <c r="H10" s="47" t="s">
        <v>854</v>
      </c>
      <c r="I10" s="48">
        <v>0.05</v>
      </c>
    </row>
    <row r="11" spans="2:9" ht="22.05" customHeight="1" thickBot="1">
      <c r="B11" s="22" t="s">
        <v>72</v>
      </c>
      <c r="C11" s="33">
        <v>150</v>
      </c>
      <c r="E11" s="26" t="s">
        <v>69</v>
      </c>
      <c r="F11" s="27">
        <f>F10/F9</f>
        <v>1.6441371960624842</v>
      </c>
      <c r="G11" s="3"/>
      <c r="H11" s="25" t="s">
        <v>853</v>
      </c>
      <c r="I11" s="33">
        <f>+I9*I10</f>
        <v>2886.4500000000003</v>
      </c>
    </row>
    <row r="12" spans="2:9" ht="14.4">
      <c r="H12" s="3"/>
      <c r="I12" s="16"/>
    </row>
    <row r="13" spans="2:9" ht="22.05" customHeight="1" thickBot="1">
      <c r="E13" s="62" t="s">
        <v>867</v>
      </c>
      <c r="F13" s="62"/>
      <c r="H13" s="3"/>
      <c r="I13" s="16"/>
    </row>
    <row r="14" spans="2:9" ht="22.05" customHeight="1">
      <c r="E14" s="12" t="s">
        <v>70</v>
      </c>
      <c r="F14">
        <f>+C5</f>
        <v>45</v>
      </c>
      <c r="H14" s="34" t="s">
        <v>868</v>
      </c>
      <c r="I14" s="43">
        <v>2024</v>
      </c>
    </row>
    <row r="15" spans="2:9" ht="22.05" customHeight="1">
      <c r="E15" s="12" t="s">
        <v>62</v>
      </c>
      <c r="F15" s="13">
        <f>+C8*F14</f>
        <v>119797.86780383796</v>
      </c>
      <c r="H15" s="40" t="s">
        <v>849</v>
      </c>
      <c r="I15" s="23">
        <f>KPIs!B7</f>
        <v>38496</v>
      </c>
    </row>
    <row r="16" spans="2:9" ht="22.05" customHeight="1">
      <c r="E16" s="12" t="s">
        <v>63</v>
      </c>
      <c r="F16" s="13">
        <f>-F15*C9</f>
        <v>-29949.46695095949</v>
      </c>
      <c r="H16" s="40" t="s">
        <v>850</v>
      </c>
      <c r="I16" s="23">
        <f>+I15+'Turnaround Impact Summary'!I4</f>
        <v>48075.492537313432</v>
      </c>
    </row>
    <row r="17" spans="4:9" ht="22.05" customHeight="1">
      <c r="E17" s="26" t="s">
        <v>64</v>
      </c>
      <c r="F17" s="29">
        <f>F15+F16</f>
        <v>89848.400852878462</v>
      </c>
      <c r="H17" s="41" t="s">
        <v>851</v>
      </c>
      <c r="I17" s="42">
        <f>+I16-I15</f>
        <v>9579.492537313432</v>
      </c>
    </row>
    <row r="18" spans="4:9" ht="22.05" customHeight="1">
      <c r="E18" s="12" t="s">
        <v>65</v>
      </c>
      <c r="F18" s="13">
        <f>(F17*KPIs!B5)</f>
        <v>11293.368869936034</v>
      </c>
      <c r="H18" s="40" t="s">
        <v>852</v>
      </c>
      <c r="I18" s="37">
        <f>+I17/I15</f>
        <v>0.24884384188781775</v>
      </c>
    </row>
    <row r="19" spans="4:9" ht="22.05" customHeight="1">
      <c r="E19" s="12" t="s">
        <v>66</v>
      </c>
      <c r="F19" s="13">
        <f>+F17*C10</f>
        <v>7187.8720682302774</v>
      </c>
      <c r="H19" s="45" t="s">
        <v>853</v>
      </c>
      <c r="I19" s="46">
        <f>+I11</f>
        <v>2886.4500000000003</v>
      </c>
    </row>
    <row r="20" spans="4:9" ht="22.05" customHeight="1" thickBot="1">
      <c r="D20" s="12"/>
      <c r="E20" s="26" t="s">
        <v>67</v>
      </c>
      <c r="F20" s="29">
        <f>+F18-F19</f>
        <v>4105.4968017057563</v>
      </c>
      <c r="H20" s="25" t="s">
        <v>855</v>
      </c>
      <c r="I20" s="44">
        <f>+I19+I17</f>
        <v>12465.942537313433</v>
      </c>
    </row>
    <row r="21" spans="4:9" ht="22.05" customHeight="1">
      <c r="D21" s="12"/>
      <c r="E21" s="12" t="s">
        <v>68</v>
      </c>
      <c r="F21" s="15">
        <f>+C11*F14</f>
        <v>6750</v>
      </c>
    </row>
    <row r="22" spans="4:9" ht="22.05" customHeight="1">
      <c r="D22" s="12"/>
      <c r="E22" s="26" t="s">
        <v>69</v>
      </c>
      <c r="F22" s="27">
        <f>F21/F20</f>
        <v>1.6441371960624844</v>
      </c>
    </row>
    <row r="23" spans="4:9" ht="22.05" customHeight="1">
      <c r="D23" s="12"/>
    </row>
    <row r="24" spans="4:9" ht="22.05" customHeight="1">
      <c r="D24" s="12"/>
    </row>
    <row r="25" spans="4:9" ht="22.05" customHeight="1">
      <c r="D25" s="12"/>
    </row>
    <row r="26" spans="4:9" ht="22.05" customHeight="1">
      <c r="D26" s="12"/>
    </row>
    <row r="27" spans="4:9" ht="22.05" customHeight="1">
      <c r="D27" s="12"/>
    </row>
    <row r="28" spans="4:9" ht="22.05" customHeight="1">
      <c r="D28" s="12"/>
    </row>
    <row r="29" spans="4:9" ht="22.05" customHeight="1">
      <c r="D29" s="12"/>
    </row>
    <row r="30" spans="4:9" ht="22.05" customHeight="1">
      <c r="D30" s="12"/>
    </row>
    <row r="31" spans="4:9" ht="22.05" customHeight="1">
      <c r="D31" s="12"/>
    </row>
    <row r="32" spans="4:9" ht="22.05" customHeight="1">
      <c r="D32" s="12"/>
    </row>
  </sheetData>
  <mergeCells count="5">
    <mergeCell ref="B2:C2"/>
    <mergeCell ref="H2:I2"/>
    <mergeCell ref="H8:I8"/>
    <mergeCell ref="E2:F2"/>
    <mergeCell ref="E13:F13"/>
  </mergeCells>
  <hyperlinks>
    <hyperlink ref="B2:C2" location="'Store performances'!A1" display="Summary table from Store Permances" xr:uid="{6F347428-025F-4B00-8482-71BD678926F4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6f757ee-e041-4cde-bf89-dbc65d4a111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8CD18AD1037C54D8B69146B2C3EE329" ma:contentTypeVersion="9" ma:contentTypeDescription="Creare un nuovo documento." ma:contentTypeScope="" ma:versionID="512d2108e3e6656c9051aeade1404107">
  <xsd:schema xmlns:xsd="http://www.w3.org/2001/XMLSchema" xmlns:xs="http://www.w3.org/2001/XMLSchema" xmlns:p="http://schemas.microsoft.com/office/2006/metadata/properties" xmlns:ns3="a6f757ee-e041-4cde-bf89-dbc65d4a1113" xmlns:ns4="8ebfe2d2-7924-4522-96e4-7358b48b81bb" targetNamespace="http://schemas.microsoft.com/office/2006/metadata/properties" ma:root="true" ma:fieldsID="13d6a9f7f31ded988db270428ff8c206" ns3:_="" ns4:_="">
    <xsd:import namespace="a6f757ee-e041-4cde-bf89-dbc65d4a1113"/>
    <xsd:import namespace="8ebfe2d2-7924-4522-96e4-7358b48b81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earchPropertie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f757ee-e041-4cde-bf89-dbc65d4a111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ebfe2d2-7924-4522-96e4-7358b48b81bb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suggerimento condivisione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C93FF73-18DE-428F-BF5C-0825D527A7A8}">
  <ds:schemaRefs>
    <ds:schemaRef ds:uri="http://www.w3.org/XML/1998/namespace"/>
    <ds:schemaRef ds:uri="a6f757ee-e041-4cde-bf89-dbc65d4a1113"/>
    <ds:schemaRef ds:uri="8ebfe2d2-7924-4522-96e4-7358b48b81bb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http://purl.org/dc/dcmitype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F0020740-8993-4411-9443-1CC24D51D25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F12B5F7-9893-4432-8B85-22193CBD4C4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f757ee-e041-4cde-bf89-dbc65d4a1113"/>
    <ds:schemaRef ds:uri="8ebfe2d2-7924-4522-96e4-7358b48b81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BalanceSheet</vt:lpstr>
      <vt:lpstr>Income Statment</vt:lpstr>
      <vt:lpstr>Store performances (Hypothesis)</vt:lpstr>
      <vt:lpstr>KPIs</vt:lpstr>
      <vt:lpstr>Turnaround Impact 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andrea antonuzzo</cp:lastModifiedBy>
  <dcterms:created xsi:type="dcterms:W3CDTF">2026-01-21T20:33:58Z</dcterms:created>
  <dcterms:modified xsi:type="dcterms:W3CDTF">2026-01-26T00:17:31Z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0x01010038CD18AD1037C54D8B69146B2C3EE329</vt:lpwstr>
  </property>
</Properties>
</file>